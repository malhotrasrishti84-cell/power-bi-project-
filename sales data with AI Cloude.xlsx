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2027\Downloads\"/>
    </mc:Choice>
  </mc:AlternateContent>
  <xr:revisionPtr revIDLastSave="0" documentId="8_{50CEC021-FCB6-4229-9F80-6B48FC550D8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Sheet1" sheetId="2" r:id="rId2"/>
    <sheet name="Sales_Report" sheetId="3" r:id="rId3"/>
    <sheet name="Dashboard_Data" sheetId="4" state="hidden" r:id="rId4"/>
  </sheets>
  <definedNames>
    <definedName name="FilterCategory">Dashboard!$H$7</definedName>
    <definedName name="FilterCity">Dashboard!$F$7</definedName>
    <definedName name="FilterMonthFrom">Dashboard!$B$7</definedName>
    <definedName name="FilterMonthTo">Dashboard!$D$7</definedName>
    <definedName name="FilterRep">Dashboard!$J$7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288" i="4" l="1"/>
  <c r="G1288" i="4"/>
  <c r="F1288" i="4"/>
  <c r="E1288" i="4"/>
  <c r="D1288" i="4"/>
  <c r="I1288" i="4" s="1"/>
  <c r="C1288" i="4"/>
  <c r="B1288" i="4"/>
  <c r="A1288" i="4"/>
  <c r="H1287" i="4"/>
  <c r="G1287" i="4"/>
  <c r="F1287" i="4"/>
  <c r="E1287" i="4"/>
  <c r="D1287" i="4"/>
  <c r="C1287" i="4"/>
  <c r="B1287" i="4"/>
  <c r="A1287" i="4"/>
  <c r="H1286" i="4"/>
  <c r="G1286" i="4"/>
  <c r="F1286" i="4"/>
  <c r="E1286" i="4"/>
  <c r="D1286" i="4"/>
  <c r="C1286" i="4"/>
  <c r="B1286" i="4"/>
  <c r="A1286" i="4"/>
  <c r="H1285" i="4"/>
  <c r="G1285" i="4"/>
  <c r="F1285" i="4"/>
  <c r="E1285" i="4"/>
  <c r="I1285" i="4" s="1"/>
  <c r="D1285" i="4"/>
  <c r="C1285" i="4"/>
  <c r="B1285" i="4"/>
  <c r="A1285" i="4"/>
  <c r="H1284" i="4"/>
  <c r="G1284" i="4"/>
  <c r="F1284" i="4"/>
  <c r="E1284" i="4"/>
  <c r="D1284" i="4"/>
  <c r="C1284" i="4"/>
  <c r="B1284" i="4"/>
  <c r="A1284" i="4"/>
  <c r="H1283" i="4"/>
  <c r="G1283" i="4"/>
  <c r="F1283" i="4"/>
  <c r="E1283" i="4"/>
  <c r="D1283" i="4"/>
  <c r="I1283" i="4" s="1"/>
  <c r="C1283" i="4"/>
  <c r="B1283" i="4"/>
  <c r="A1283" i="4"/>
  <c r="H1282" i="4"/>
  <c r="G1282" i="4"/>
  <c r="F1282" i="4"/>
  <c r="E1282" i="4"/>
  <c r="D1282" i="4"/>
  <c r="I1282" i="4" s="1"/>
  <c r="C1282" i="4"/>
  <c r="B1282" i="4"/>
  <c r="A1282" i="4"/>
  <c r="I1281" i="4"/>
  <c r="H1281" i="4"/>
  <c r="G1281" i="4"/>
  <c r="F1281" i="4"/>
  <c r="E1281" i="4"/>
  <c r="D1281" i="4"/>
  <c r="C1281" i="4"/>
  <c r="B1281" i="4"/>
  <c r="A1281" i="4"/>
  <c r="H1280" i="4"/>
  <c r="G1280" i="4"/>
  <c r="F1280" i="4"/>
  <c r="E1280" i="4"/>
  <c r="D1280" i="4"/>
  <c r="C1280" i="4"/>
  <c r="B1280" i="4"/>
  <c r="A1280" i="4"/>
  <c r="I1279" i="4"/>
  <c r="H1279" i="4"/>
  <c r="G1279" i="4"/>
  <c r="F1279" i="4"/>
  <c r="E1279" i="4"/>
  <c r="D1279" i="4"/>
  <c r="C1279" i="4"/>
  <c r="B1279" i="4"/>
  <c r="A1279" i="4"/>
  <c r="H1278" i="4"/>
  <c r="G1278" i="4"/>
  <c r="F1278" i="4"/>
  <c r="E1278" i="4"/>
  <c r="D1278" i="4"/>
  <c r="I1278" i="4" s="1"/>
  <c r="C1278" i="4"/>
  <c r="B1278" i="4"/>
  <c r="A1278" i="4"/>
  <c r="H1277" i="4"/>
  <c r="G1277" i="4"/>
  <c r="F1277" i="4"/>
  <c r="E1277" i="4"/>
  <c r="D1277" i="4"/>
  <c r="I1277" i="4" s="1"/>
  <c r="C1277" i="4"/>
  <c r="B1277" i="4"/>
  <c r="A1277" i="4"/>
  <c r="H1276" i="4"/>
  <c r="G1276" i="4"/>
  <c r="F1276" i="4"/>
  <c r="E1276" i="4"/>
  <c r="D1276" i="4"/>
  <c r="I1276" i="4" s="1"/>
  <c r="C1276" i="4"/>
  <c r="B1276" i="4"/>
  <c r="A1276" i="4"/>
  <c r="H1275" i="4"/>
  <c r="G1275" i="4"/>
  <c r="F1275" i="4"/>
  <c r="E1275" i="4"/>
  <c r="D1275" i="4"/>
  <c r="I1275" i="4" s="1"/>
  <c r="C1275" i="4"/>
  <c r="B1275" i="4"/>
  <c r="A1275" i="4"/>
  <c r="H1274" i="4"/>
  <c r="G1274" i="4"/>
  <c r="F1274" i="4"/>
  <c r="I1274" i="4" s="1"/>
  <c r="E1274" i="4"/>
  <c r="D1274" i="4"/>
  <c r="C1274" i="4"/>
  <c r="B1274" i="4"/>
  <c r="A1274" i="4"/>
  <c r="H1273" i="4"/>
  <c r="G1273" i="4"/>
  <c r="F1273" i="4"/>
  <c r="E1273" i="4"/>
  <c r="D1273" i="4"/>
  <c r="C1273" i="4"/>
  <c r="B1273" i="4"/>
  <c r="A1273" i="4"/>
  <c r="H1272" i="4"/>
  <c r="G1272" i="4"/>
  <c r="F1272" i="4"/>
  <c r="E1272" i="4"/>
  <c r="D1272" i="4"/>
  <c r="C1272" i="4"/>
  <c r="I1272" i="4" s="1"/>
  <c r="B1272" i="4"/>
  <c r="A1272" i="4"/>
  <c r="H1271" i="4"/>
  <c r="G1271" i="4"/>
  <c r="F1271" i="4"/>
  <c r="E1271" i="4"/>
  <c r="D1271" i="4"/>
  <c r="C1271" i="4"/>
  <c r="I1271" i="4" s="1"/>
  <c r="B1271" i="4"/>
  <c r="A1271" i="4"/>
  <c r="H1270" i="4"/>
  <c r="G1270" i="4"/>
  <c r="F1270" i="4"/>
  <c r="E1270" i="4"/>
  <c r="D1270" i="4"/>
  <c r="C1270" i="4"/>
  <c r="B1270" i="4"/>
  <c r="A1270" i="4"/>
  <c r="H1269" i="4"/>
  <c r="G1269" i="4"/>
  <c r="F1269" i="4"/>
  <c r="E1269" i="4"/>
  <c r="D1269" i="4"/>
  <c r="C1269" i="4"/>
  <c r="B1269" i="4"/>
  <c r="A1269" i="4"/>
  <c r="H1268" i="4"/>
  <c r="G1268" i="4"/>
  <c r="F1268" i="4"/>
  <c r="E1268" i="4"/>
  <c r="D1268" i="4"/>
  <c r="I1268" i="4" s="1"/>
  <c r="C1268" i="4"/>
  <c r="B1268" i="4"/>
  <c r="A1268" i="4"/>
  <c r="I1267" i="4"/>
  <c r="H1267" i="4"/>
  <c r="G1267" i="4"/>
  <c r="F1267" i="4"/>
  <c r="E1267" i="4"/>
  <c r="D1267" i="4"/>
  <c r="C1267" i="4"/>
  <c r="B1267" i="4"/>
  <c r="A1267" i="4"/>
  <c r="H1266" i="4"/>
  <c r="G1266" i="4"/>
  <c r="F1266" i="4"/>
  <c r="I1266" i="4" s="1"/>
  <c r="E1266" i="4"/>
  <c r="D1266" i="4"/>
  <c r="C1266" i="4"/>
  <c r="B1266" i="4"/>
  <c r="A1266" i="4"/>
  <c r="I1265" i="4"/>
  <c r="H1265" i="4"/>
  <c r="G1265" i="4"/>
  <c r="F1265" i="4"/>
  <c r="E1265" i="4"/>
  <c r="D1265" i="4"/>
  <c r="C1265" i="4"/>
  <c r="B1265" i="4"/>
  <c r="A1265" i="4"/>
  <c r="H1264" i="4"/>
  <c r="G1264" i="4"/>
  <c r="F1264" i="4"/>
  <c r="E1264" i="4"/>
  <c r="D1264" i="4"/>
  <c r="I1264" i="4" s="1"/>
  <c r="C1264" i="4"/>
  <c r="B1264" i="4"/>
  <c r="A1264" i="4"/>
  <c r="H1263" i="4"/>
  <c r="G1263" i="4"/>
  <c r="F1263" i="4"/>
  <c r="E1263" i="4"/>
  <c r="D1263" i="4"/>
  <c r="I1263" i="4" s="1"/>
  <c r="C1263" i="4"/>
  <c r="B1263" i="4"/>
  <c r="A1263" i="4"/>
  <c r="H1262" i="4"/>
  <c r="G1262" i="4"/>
  <c r="F1262" i="4"/>
  <c r="E1262" i="4"/>
  <c r="I1262" i="4" s="1"/>
  <c r="D1262" i="4"/>
  <c r="C1262" i="4"/>
  <c r="B1262" i="4"/>
  <c r="A1262" i="4"/>
  <c r="H1261" i="4"/>
  <c r="G1261" i="4"/>
  <c r="F1261" i="4"/>
  <c r="E1261" i="4"/>
  <c r="D1261" i="4"/>
  <c r="C1261" i="4"/>
  <c r="B1261" i="4"/>
  <c r="A1261" i="4"/>
  <c r="H1260" i="4"/>
  <c r="G1260" i="4"/>
  <c r="F1260" i="4"/>
  <c r="E1260" i="4"/>
  <c r="D1260" i="4"/>
  <c r="C1260" i="4"/>
  <c r="B1260" i="4"/>
  <c r="A1260" i="4"/>
  <c r="H1259" i="4"/>
  <c r="G1259" i="4"/>
  <c r="F1259" i="4"/>
  <c r="E1259" i="4"/>
  <c r="D1259" i="4"/>
  <c r="C1259" i="4"/>
  <c r="B1259" i="4"/>
  <c r="A1259" i="4"/>
  <c r="I1258" i="4"/>
  <c r="H1258" i="4"/>
  <c r="G1258" i="4"/>
  <c r="F1258" i="4"/>
  <c r="E1258" i="4"/>
  <c r="D1258" i="4"/>
  <c r="C1258" i="4"/>
  <c r="B1258" i="4"/>
  <c r="A1258" i="4"/>
  <c r="H1257" i="4"/>
  <c r="G1257" i="4"/>
  <c r="F1257" i="4"/>
  <c r="E1257" i="4"/>
  <c r="D1257" i="4"/>
  <c r="C1257" i="4"/>
  <c r="B1257" i="4"/>
  <c r="A1257" i="4"/>
  <c r="H1256" i="4"/>
  <c r="G1256" i="4"/>
  <c r="F1256" i="4"/>
  <c r="E1256" i="4"/>
  <c r="D1256" i="4"/>
  <c r="C1256" i="4"/>
  <c r="I1256" i="4" s="1"/>
  <c r="B1256" i="4"/>
  <c r="A1256" i="4"/>
  <c r="H1255" i="4"/>
  <c r="G1255" i="4"/>
  <c r="F1255" i="4"/>
  <c r="E1255" i="4"/>
  <c r="I1255" i="4" s="1"/>
  <c r="D1255" i="4"/>
  <c r="C1255" i="4"/>
  <c r="B1255" i="4"/>
  <c r="A1255" i="4"/>
  <c r="H1254" i="4"/>
  <c r="G1254" i="4"/>
  <c r="F1254" i="4"/>
  <c r="E1254" i="4"/>
  <c r="D1254" i="4"/>
  <c r="C1254" i="4"/>
  <c r="B1254" i="4"/>
  <c r="A1254" i="4"/>
  <c r="H1253" i="4"/>
  <c r="G1253" i="4"/>
  <c r="F1253" i="4"/>
  <c r="I1253" i="4" s="1"/>
  <c r="E1253" i="4"/>
  <c r="D1253" i="4"/>
  <c r="C1253" i="4"/>
  <c r="B1253" i="4"/>
  <c r="A1253" i="4"/>
  <c r="H1252" i="4"/>
  <c r="G1252" i="4"/>
  <c r="F1252" i="4"/>
  <c r="E1252" i="4"/>
  <c r="D1252" i="4"/>
  <c r="C1252" i="4"/>
  <c r="B1252" i="4"/>
  <c r="A1252" i="4"/>
  <c r="I1251" i="4"/>
  <c r="H1251" i="4"/>
  <c r="G1251" i="4"/>
  <c r="F1251" i="4"/>
  <c r="E1251" i="4"/>
  <c r="D1251" i="4"/>
  <c r="C1251" i="4"/>
  <c r="B1251" i="4"/>
  <c r="A1251" i="4"/>
  <c r="H1250" i="4"/>
  <c r="G1250" i="4"/>
  <c r="F1250" i="4"/>
  <c r="E1250" i="4"/>
  <c r="D1250" i="4"/>
  <c r="I1250" i="4" s="1"/>
  <c r="C1250" i="4"/>
  <c r="B1250" i="4"/>
  <c r="A1250" i="4"/>
  <c r="I1249" i="4"/>
  <c r="H1249" i="4"/>
  <c r="G1249" i="4"/>
  <c r="F1249" i="4"/>
  <c r="E1249" i="4"/>
  <c r="D1249" i="4"/>
  <c r="C1249" i="4"/>
  <c r="B1249" i="4"/>
  <c r="A1249" i="4"/>
  <c r="H1248" i="4"/>
  <c r="G1248" i="4"/>
  <c r="F1248" i="4"/>
  <c r="I1248" i="4" s="1"/>
  <c r="E1248" i="4"/>
  <c r="D1248" i="4"/>
  <c r="C1248" i="4"/>
  <c r="B1248" i="4"/>
  <c r="A1248" i="4"/>
  <c r="I1247" i="4"/>
  <c r="H1247" i="4"/>
  <c r="G1247" i="4"/>
  <c r="F1247" i="4"/>
  <c r="E1247" i="4"/>
  <c r="D1247" i="4"/>
  <c r="C1247" i="4"/>
  <c r="B1247" i="4"/>
  <c r="A1247" i="4"/>
  <c r="H1246" i="4"/>
  <c r="G1246" i="4"/>
  <c r="F1246" i="4"/>
  <c r="E1246" i="4"/>
  <c r="D1246" i="4"/>
  <c r="I1246" i="4" s="1"/>
  <c r="C1246" i="4"/>
  <c r="B1246" i="4"/>
  <c r="A1246" i="4"/>
  <c r="H1245" i="4"/>
  <c r="G1245" i="4"/>
  <c r="F1245" i="4"/>
  <c r="E1245" i="4"/>
  <c r="D1245" i="4"/>
  <c r="I1245" i="4" s="1"/>
  <c r="C1245" i="4"/>
  <c r="B1245" i="4"/>
  <c r="A1245" i="4"/>
  <c r="H1244" i="4"/>
  <c r="G1244" i="4"/>
  <c r="F1244" i="4"/>
  <c r="E1244" i="4"/>
  <c r="D1244" i="4"/>
  <c r="I1244" i="4" s="1"/>
  <c r="C1244" i="4"/>
  <c r="B1244" i="4"/>
  <c r="A1244" i="4"/>
  <c r="H1243" i="4"/>
  <c r="G1243" i="4"/>
  <c r="F1243" i="4"/>
  <c r="E1243" i="4"/>
  <c r="D1243" i="4"/>
  <c r="I1243" i="4" s="1"/>
  <c r="C1243" i="4"/>
  <c r="B1243" i="4"/>
  <c r="A1243" i="4"/>
  <c r="I1242" i="4"/>
  <c r="H1242" i="4"/>
  <c r="G1242" i="4"/>
  <c r="F1242" i="4"/>
  <c r="E1242" i="4"/>
  <c r="D1242" i="4"/>
  <c r="C1242" i="4"/>
  <c r="B1242" i="4"/>
  <c r="A1242" i="4"/>
  <c r="H1241" i="4"/>
  <c r="G1241" i="4"/>
  <c r="F1241" i="4"/>
  <c r="E1241" i="4"/>
  <c r="D1241" i="4"/>
  <c r="C1241" i="4"/>
  <c r="B1241" i="4"/>
  <c r="A1241" i="4"/>
  <c r="I1240" i="4"/>
  <c r="H1240" i="4"/>
  <c r="G1240" i="4"/>
  <c r="F1240" i="4"/>
  <c r="E1240" i="4"/>
  <c r="D1240" i="4"/>
  <c r="C1240" i="4"/>
  <c r="B1240" i="4"/>
  <c r="A1240" i="4"/>
  <c r="H1239" i="4"/>
  <c r="G1239" i="4"/>
  <c r="F1239" i="4"/>
  <c r="E1239" i="4"/>
  <c r="D1239" i="4"/>
  <c r="C1239" i="4"/>
  <c r="B1239" i="4"/>
  <c r="A1239" i="4"/>
  <c r="H1238" i="4"/>
  <c r="G1238" i="4"/>
  <c r="F1238" i="4"/>
  <c r="E1238" i="4"/>
  <c r="D1238" i="4"/>
  <c r="C1238" i="4"/>
  <c r="B1238" i="4"/>
  <c r="A1238" i="4"/>
  <c r="H1237" i="4"/>
  <c r="G1237" i="4"/>
  <c r="F1237" i="4"/>
  <c r="E1237" i="4"/>
  <c r="D1237" i="4"/>
  <c r="C1237" i="4"/>
  <c r="B1237" i="4"/>
  <c r="A1237" i="4"/>
  <c r="H1236" i="4"/>
  <c r="G1236" i="4"/>
  <c r="F1236" i="4"/>
  <c r="E1236" i="4"/>
  <c r="D1236" i="4"/>
  <c r="I1236" i="4" s="1"/>
  <c r="C1236" i="4"/>
  <c r="B1236" i="4"/>
  <c r="A1236" i="4"/>
  <c r="I1235" i="4"/>
  <c r="H1235" i="4"/>
  <c r="G1235" i="4"/>
  <c r="F1235" i="4"/>
  <c r="E1235" i="4"/>
  <c r="D1235" i="4"/>
  <c r="C1235" i="4"/>
  <c r="B1235" i="4"/>
  <c r="A1235" i="4"/>
  <c r="H1234" i="4"/>
  <c r="G1234" i="4"/>
  <c r="F1234" i="4"/>
  <c r="E1234" i="4"/>
  <c r="I1234" i="4" s="1"/>
  <c r="D1234" i="4"/>
  <c r="C1234" i="4"/>
  <c r="B1234" i="4"/>
  <c r="A1234" i="4"/>
  <c r="I1233" i="4"/>
  <c r="H1233" i="4"/>
  <c r="G1233" i="4"/>
  <c r="F1233" i="4"/>
  <c r="E1233" i="4"/>
  <c r="D1233" i="4"/>
  <c r="C1233" i="4"/>
  <c r="B1233" i="4"/>
  <c r="A1233" i="4"/>
  <c r="H1232" i="4"/>
  <c r="G1232" i="4"/>
  <c r="F1232" i="4"/>
  <c r="E1232" i="4"/>
  <c r="D1232" i="4"/>
  <c r="C1232" i="4"/>
  <c r="B1232" i="4"/>
  <c r="A1232" i="4"/>
  <c r="I1231" i="4"/>
  <c r="H1231" i="4"/>
  <c r="G1231" i="4"/>
  <c r="F1231" i="4"/>
  <c r="E1231" i="4"/>
  <c r="D1231" i="4"/>
  <c r="C1231" i="4"/>
  <c r="B1231" i="4"/>
  <c r="A1231" i="4"/>
  <c r="H1230" i="4"/>
  <c r="G1230" i="4"/>
  <c r="F1230" i="4"/>
  <c r="E1230" i="4"/>
  <c r="D1230" i="4"/>
  <c r="I1230" i="4" s="1"/>
  <c r="C1230" i="4"/>
  <c r="B1230" i="4"/>
  <c r="A1230" i="4"/>
  <c r="H1229" i="4"/>
  <c r="G1229" i="4"/>
  <c r="F1229" i="4"/>
  <c r="E1229" i="4"/>
  <c r="D1229" i="4"/>
  <c r="C1229" i="4"/>
  <c r="B1229" i="4"/>
  <c r="A1229" i="4"/>
  <c r="H1228" i="4"/>
  <c r="G1228" i="4"/>
  <c r="F1228" i="4"/>
  <c r="E1228" i="4"/>
  <c r="D1228" i="4"/>
  <c r="I1228" i="4" s="1"/>
  <c r="C1228" i="4"/>
  <c r="B1228" i="4"/>
  <c r="A1228" i="4"/>
  <c r="H1227" i="4"/>
  <c r="G1227" i="4"/>
  <c r="F1227" i="4"/>
  <c r="E1227" i="4"/>
  <c r="D1227" i="4"/>
  <c r="C1227" i="4"/>
  <c r="B1227" i="4"/>
  <c r="A1227" i="4"/>
  <c r="H1226" i="4"/>
  <c r="G1226" i="4"/>
  <c r="F1226" i="4"/>
  <c r="I1226" i="4" s="1"/>
  <c r="E1226" i="4"/>
  <c r="D1226" i="4"/>
  <c r="C1226" i="4"/>
  <c r="B1226" i="4"/>
  <c r="A1226" i="4"/>
  <c r="H1225" i="4"/>
  <c r="G1225" i="4"/>
  <c r="F1225" i="4"/>
  <c r="E1225" i="4"/>
  <c r="D1225" i="4"/>
  <c r="C1225" i="4"/>
  <c r="B1225" i="4"/>
  <c r="A1225" i="4"/>
  <c r="H1224" i="4"/>
  <c r="G1224" i="4"/>
  <c r="F1224" i="4"/>
  <c r="E1224" i="4"/>
  <c r="D1224" i="4"/>
  <c r="C1224" i="4"/>
  <c r="I1224" i="4" s="1"/>
  <c r="B1224" i="4"/>
  <c r="A1224" i="4"/>
  <c r="H1223" i="4"/>
  <c r="G1223" i="4"/>
  <c r="F1223" i="4"/>
  <c r="E1223" i="4"/>
  <c r="I1223" i="4" s="1"/>
  <c r="D1223" i="4"/>
  <c r="C1223" i="4"/>
  <c r="B1223" i="4"/>
  <c r="A1223" i="4"/>
  <c r="H1222" i="4"/>
  <c r="G1222" i="4"/>
  <c r="F1222" i="4"/>
  <c r="E1222" i="4"/>
  <c r="D1222" i="4"/>
  <c r="I1222" i="4" s="1"/>
  <c r="C1222" i="4"/>
  <c r="B1222" i="4"/>
  <c r="A1222" i="4"/>
  <c r="H1221" i="4"/>
  <c r="G1221" i="4"/>
  <c r="F1221" i="4"/>
  <c r="E1221" i="4"/>
  <c r="D1221" i="4"/>
  <c r="C1221" i="4"/>
  <c r="B1221" i="4"/>
  <c r="A1221" i="4"/>
  <c r="H1220" i="4"/>
  <c r="G1220" i="4"/>
  <c r="F1220" i="4"/>
  <c r="E1220" i="4"/>
  <c r="D1220" i="4"/>
  <c r="I1220" i="4" s="1"/>
  <c r="C1220" i="4"/>
  <c r="B1220" i="4"/>
  <c r="A1220" i="4"/>
  <c r="I1219" i="4"/>
  <c r="H1219" i="4"/>
  <c r="G1219" i="4"/>
  <c r="F1219" i="4"/>
  <c r="E1219" i="4"/>
  <c r="D1219" i="4"/>
  <c r="C1219" i="4"/>
  <c r="B1219" i="4"/>
  <c r="A1219" i="4"/>
  <c r="H1218" i="4"/>
  <c r="G1218" i="4"/>
  <c r="F1218" i="4"/>
  <c r="E1218" i="4"/>
  <c r="I1218" i="4" s="1"/>
  <c r="D1218" i="4"/>
  <c r="C1218" i="4"/>
  <c r="B1218" i="4"/>
  <c r="A1218" i="4"/>
  <c r="I1217" i="4"/>
  <c r="H1217" i="4"/>
  <c r="G1217" i="4"/>
  <c r="F1217" i="4"/>
  <c r="E1217" i="4"/>
  <c r="D1217" i="4"/>
  <c r="C1217" i="4"/>
  <c r="B1217" i="4"/>
  <c r="A1217" i="4"/>
  <c r="I1216" i="4"/>
  <c r="H1216" i="4"/>
  <c r="G1216" i="4"/>
  <c r="F1216" i="4"/>
  <c r="E1216" i="4"/>
  <c r="D1216" i="4"/>
  <c r="C1216" i="4"/>
  <c r="B1216" i="4"/>
  <c r="A1216" i="4"/>
  <c r="H1215" i="4"/>
  <c r="G1215" i="4"/>
  <c r="F1215" i="4"/>
  <c r="E1215" i="4"/>
  <c r="D1215" i="4"/>
  <c r="I1215" i="4" s="1"/>
  <c r="C1215" i="4"/>
  <c r="B1215" i="4"/>
  <c r="A1215" i="4"/>
  <c r="I1214" i="4"/>
  <c r="H1214" i="4"/>
  <c r="G1214" i="4"/>
  <c r="F1214" i="4"/>
  <c r="E1214" i="4"/>
  <c r="D1214" i="4"/>
  <c r="C1214" i="4"/>
  <c r="B1214" i="4"/>
  <c r="A1214" i="4"/>
  <c r="H1213" i="4"/>
  <c r="G1213" i="4"/>
  <c r="F1213" i="4"/>
  <c r="E1213" i="4"/>
  <c r="D1213" i="4"/>
  <c r="C1213" i="4"/>
  <c r="B1213" i="4"/>
  <c r="A1213" i="4"/>
  <c r="H1212" i="4"/>
  <c r="G1212" i="4"/>
  <c r="F1212" i="4"/>
  <c r="E1212" i="4"/>
  <c r="D1212" i="4"/>
  <c r="I1212" i="4" s="1"/>
  <c r="C1212" i="4"/>
  <c r="B1212" i="4"/>
  <c r="A1212" i="4"/>
  <c r="H1211" i="4"/>
  <c r="G1211" i="4"/>
  <c r="F1211" i="4"/>
  <c r="E1211" i="4"/>
  <c r="D1211" i="4"/>
  <c r="C1211" i="4"/>
  <c r="B1211" i="4"/>
  <c r="A1211" i="4"/>
  <c r="I1210" i="4"/>
  <c r="H1210" i="4"/>
  <c r="G1210" i="4"/>
  <c r="F1210" i="4"/>
  <c r="E1210" i="4"/>
  <c r="D1210" i="4"/>
  <c r="C1210" i="4"/>
  <c r="B1210" i="4"/>
  <c r="A1210" i="4"/>
  <c r="H1209" i="4"/>
  <c r="G1209" i="4"/>
  <c r="F1209" i="4"/>
  <c r="E1209" i="4"/>
  <c r="D1209" i="4"/>
  <c r="C1209" i="4"/>
  <c r="B1209" i="4"/>
  <c r="A1209" i="4"/>
  <c r="H1208" i="4"/>
  <c r="G1208" i="4"/>
  <c r="F1208" i="4"/>
  <c r="E1208" i="4"/>
  <c r="D1208" i="4"/>
  <c r="C1208" i="4"/>
  <c r="I1208" i="4" s="1"/>
  <c r="B1208" i="4"/>
  <c r="A1208" i="4"/>
  <c r="H1207" i="4"/>
  <c r="G1207" i="4"/>
  <c r="F1207" i="4"/>
  <c r="E1207" i="4"/>
  <c r="D1207" i="4"/>
  <c r="I1207" i="4" s="1"/>
  <c r="C1207" i="4"/>
  <c r="B1207" i="4"/>
  <c r="A1207" i="4"/>
  <c r="H1206" i="4"/>
  <c r="G1206" i="4"/>
  <c r="F1206" i="4"/>
  <c r="E1206" i="4"/>
  <c r="D1206" i="4"/>
  <c r="C1206" i="4"/>
  <c r="B1206" i="4"/>
  <c r="A1206" i="4"/>
  <c r="H1205" i="4"/>
  <c r="G1205" i="4"/>
  <c r="F1205" i="4"/>
  <c r="E1205" i="4"/>
  <c r="D1205" i="4"/>
  <c r="C1205" i="4"/>
  <c r="B1205" i="4"/>
  <c r="A1205" i="4"/>
  <c r="H1204" i="4"/>
  <c r="G1204" i="4"/>
  <c r="F1204" i="4"/>
  <c r="E1204" i="4"/>
  <c r="D1204" i="4"/>
  <c r="C1204" i="4"/>
  <c r="B1204" i="4"/>
  <c r="A1204" i="4"/>
  <c r="I1203" i="4"/>
  <c r="H1203" i="4"/>
  <c r="G1203" i="4"/>
  <c r="F1203" i="4"/>
  <c r="E1203" i="4"/>
  <c r="D1203" i="4"/>
  <c r="C1203" i="4"/>
  <c r="B1203" i="4"/>
  <c r="A1203" i="4"/>
  <c r="H1202" i="4"/>
  <c r="G1202" i="4"/>
  <c r="F1202" i="4"/>
  <c r="E1202" i="4"/>
  <c r="D1202" i="4"/>
  <c r="C1202" i="4"/>
  <c r="B1202" i="4"/>
  <c r="A1202" i="4"/>
  <c r="I1201" i="4"/>
  <c r="H1201" i="4"/>
  <c r="G1201" i="4"/>
  <c r="F1201" i="4"/>
  <c r="E1201" i="4"/>
  <c r="D1201" i="4"/>
  <c r="C1201" i="4"/>
  <c r="B1201" i="4"/>
  <c r="A1201" i="4"/>
  <c r="H1200" i="4"/>
  <c r="G1200" i="4"/>
  <c r="F1200" i="4"/>
  <c r="E1200" i="4"/>
  <c r="D1200" i="4"/>
  <c r="C1200" i="4"/>
  <c r="B1200" i="4"/>
  <c r="A1200" i="4"/>
  <c r="I1199" i="4"/>
  <c r="H1199" i="4"/>
  <c r="G1199" i="4"/>
  <c r="F1199" i="4"/>
  <c r="E1199" i="4"/>
  <c r="D1199" i="4"/>
  <c r="C1199" i="4"/>
  <c r="B1199" i="4"/>
  <c r="A1199" i="4"/>
  <c r="H1198" i="4"/>
  <c r="G1198" i="4"/>
  <c r="F1198" i="4"/>
  <c r="E1198" i="4"/>
  <c r="D1198" i="4"/>
  <c r="C1198" i="4"/>
  <c r="B1198" i="4"/>
  <c r="A1198" i="4"/>
  <c r="H1197" i="4"/>
  <c r="G1197" i="4"/>
  <c r="F1197" i="4"/>
  <c r="E1197" i="4"/>
  <c r="D1197" i="4"/>
  <c r="C1197" i="4"/>
  <c r="B1197" i="4"/>
  <c r="A1197" i="4"/>
  <c r="H1196" i="4"/>
  <c r="G1196" i="4"/>
  <c r="F1196" i="4"/>
  <c r="E1196" i="4"/>
  <c r="D1196" i="4"/>
  <c r="I1196" i="4" s="1"/>
  <c r="C1196" i="4"/>
  <c r="B1196" i="4"/>
  <c r="A1196" i="4"/>
  <c r="H1195" i="4"/>
  <c r="G1195" i="4"/>
  <c r="F1195" i="4"/>
  <c r="E1195" i="4"/>
  <c r="D1195" i="4"/>
  <c r="C1195" i="4"/>
  <c r="B1195" i="4"/>
  <c r="A1195" i="4"/>
  <c r="H1194" i="4"/>
  <c r="G1194" i="4"/>
  <c r="F1194" i="4"/>
  <c r="I1194" i="4" s="1"/>
  <c r="E1194" i="4"/>
  <c r="D1194" i="4"/>
  <c r="C1194" i="4"/>
  <c r="B1194" i="4"/>
  <c r="A1194" i="4"/>
  <c r="H1193" i="4"/>
  <c r="G1193" i="4"/>
  <c r="F1193" i="4"/>
  <c r="E1193" i="4"/>
  <c r="D1193" i="4"/>
  <c r="C1193" i="4"/>
  <c r="B1193" i="4"/>
  <c r="A1193" i="4"/>
  <c r="I1192" i="4"/>
  <c r="H1192" i="4"/>
  <c r="G1192" i="4"/>
  <c r="F1192" i="4"/>
  <c r="E1192" i="4"/>
  <c r="D1192" i="4"/>
  <c r="C1192" i="4"/>
  <c r="B1192" i="4"/>
  <c r="A1192" i="4"/>
  <c r="I1191" i="4"/>
  <c r="H1191" i="4"/>
  <c r="G1191" i="4"/>
  <c r="F1191" i="4"/>
  <c r="E1191" i="4"/>
  <c r="D1191" i="4"/>
  <c r="C1191" i="4"/>
  <c r="B1191" i="4"/>
  <c r="A1191" i="4"/>
  <c r="H1190" i="4"/>
  <c r="G1190" i="4"/>
  <c r="F1190" i="4"/>
  <c r="E1190" i="4"/>
  <c r="I1190" i="4" s="1"/>
  <c r="D1190" i="4"/>
  <c r="C1190" i="4"/>
  <c r="B1190" i="4"/>
  <c r="A1190" i="4"/>
  <c r="H1189" i="4"/>
  <c r="G1189" i="4"/>
  <c r="F1189" i="4"/>
  <c r="E1189" i="4"/>
  <c r="D1189" i="4"/>
  <c r="C1189" i="4"/>
  <c r="B1189" i="4"/>
  <c r="A1189" i="4"/>
  <c r="H1188" i="4"/>
  <c r="G1188" i="4"/>
  <c r="F1188" i="4"/>
  <c r="E1188" i="4"/>
  <c r="D1188" i="4"/>
  <c r="I1188" i="4" s="1"/>
  <c r="C1188" i="4"/>
  <c r="B1188" i="4"/>
  <c r="A1188" i="4"/>
  <c r="H1187" i="4"/>
  <c r="G1187" i="4"/>
  <c r="F1187" i="4"/>
  <c r="E1187" i="4"/>
  <c r="I1187" i="4" s="1"/>
  <c r="D1187" i="4"/>
  <c r="C1187" i="4"/>
  <c r="B1187" i="4"/>
  <c r="A1187" i="4"/>
  <c r="H1186" i="4"/>
  <c r="G1186" i="4"/>
  <c r="F1186" i="4"/>
  <c r="E1186" i="4"/>
  <c r="D1186" i="4"/>
  <c r="I1186" i="4" s="1"/>
  <c r="C1186" i="4"/>
  <c r="B1186" i="4"/>
  <c r="A1186" i="4"/>
  <c r="I1185" i="4"/>
  <c r="H1185" i="4"/>
  <c r="G1185" i="4"/>
  <c r="F1185" i="4"/>
  <c r="E1185" i="4"/>
  <c r="D1185" i="4"/>
  <c r="C1185" i="4"/>
  <c r="B1185" i="4"/>
  <c r="A1185" i="4"/>
  <c r="H1184" i="4"/>
  <c r="G1184" i="4"/>
  <c r="F1184" i="4"/>
  <c r="I1184" i="4" s="1"/>
  <c r="E1184" i="4"/>
  <c r="D1184" i="4"/>
  <c r="C1184" i="4"/>
  <c r="B1184" i="4"/>
  <c r="A1184" i="4"/>
  <c r="H1183" i="4"/>
  <c r="G1183" i="4"/>
  <c r="F1183" i="4"/>
  <c r="E1183" i="4"/>
  <c r="D1183" i="4"/>
  <c r="I1183" i="4" s="1"/>
  <c r="C1183" i="4"/>
  <c r="B1183" i="4"/>
  <c r="A1183" i="4"/>
  <c r="H1182" i="4"/>
  <c r="G1182" i="4"/>
  <c r="F1182" i="4"/>
  <c r="E1182" i="4"/>
  <c r="D1182" i="4"/>
  <c r="I1182" i="4" s="1"/>
  <c r="C1182" i="4"/>
  <c r="B1182" i="4"/>
  <c r="A1182" i="4"/>
  <c r="H1181" i="4"/>
  <c r="G1181" i="4"/>
  <c r="F1181" i="4"/>
  <c r="E1181" i="4"/>
  <c r="D1181" i="4"/>
  <c r="I1181" i="4" s="1"/>
  <c r="C1181" i="4"/>
  <c r="B1181" i="4"/>
  <c r="A1181" i="4"/>
  <c r="H1180" i="4"/>
  <c r="G1180" i="4"/>
  <c r="F1180" i="4"/>
  <c r="E1180" i="4"/>
  <c r="D1180" i="4"/>
  <c r="I1180" i="4" s="1"/>
  <c r="C1180" i="4"/>
  <c r="B1180" i="4"/>
  <c r="A1180" i="4"/>
  <c r="H1179" i="4"/>
  <c r="G1179" i="4"/>
  <c r="F1179" i="4"/>
  <c r="E1179" i="4"/>
  <c r="D1179" i="4"/>
  <c r="I1179" i="4" s="1"/>
  <c r="C1179" i="4"/>
  <c r="B1179" i="4"/>
  <c r="A1179" i="4"/>
  <c r="I1178" i="4"/>
  <c r="H1178" i="4"/>
  <c r="G1178" i="4"/>
  <c r="F1178" i="4"/>
  <c r="E1178" i="4"/>
  <c r="D1178" i="4"/>
  <c r="C1178" i="4"/>
  <c r="B1178" i="4"/>
  <c r="A1178" i="4"/>
  <c r="H1177" i="4"/>
  <c r="G1177" i="4"/>
  <c r="F1177" i="4"/>
  <c r="E1177" i="4"/>
  <c r="D1177" i="4"/>
  <c r="C1177" i="4"/>
  <c r="B1177" i="4"/>
  <c r="A1177" i="4"/>
  <c r="H1176" i="4"/>
  <c r="G1176" i="4"/>
  <c r="F1176" i="4"/>
  <c r="E1176" i="4"/>
  <c r="D1176" i="4"/>
  <c r="C1176" i="4"/>
  <c r="I1176" i="4" s="1"/>
  <c r="B1176" i="4"/>
  <c r="A1176" i="4"/>
  <c r="H1175" i="4"/>
  <c r="G1175" i="4"/>
  <c r="F1175" i="4"/>
  <c r="E1175" i="4"/>
  <c r="D1175" i="4"/>
  <c r="C1175" i="4"/>
  <c r="I1175" i="4" s="1"/>
  <c r="B1175" i="4"/>
  <c r="A1175" i="4"/>
  <c r="H1174" i="4"/>
  <c r="G1174" i="4"/>
  <c r="F1174" i="4"/>
  <c r="E1174" i="4"/>
  <c r="D1174" i="4"/>
  <c r="C1174" i="4"/>
  <c r="B1174" i="4"/>
  <c r="A1174" i="4"/>
  <c r="H1173" i="4"/>
  <c r="G1173" i="4"/>
  <c r="F1173" i="4"/>
  <c r="E1173" i="4"/>
  <c r="D1173" i="4"/>
  <c r="I1173" i="4" s="1"/>
  <c r="C1173" i="4"/>
  <c r="B1173" i="4"/>
  <c r="A1173" i="4"/>
  <c r="H1172" i="4"/>
  <c r="G1172" i="4"/>
  <c r="F1172" i="4"/>
  <c r="E1172" i="4"/>
  <c r="D1172" i="4"/>
  <c r="C1172" i="4"/>
  <c r="B1172" i="4"/>
  <c r="A1172" i="4"/>
  <c r="H1171" i="4"/>
  <c r="G1171" i="4"/>
  <c r="F1171" i="4"/>
  <c r="E1171" i="4"/>
  <c r="I1171" i="4" s="1"/>
  <c r="D1171" i="4"/>
  <c r="C1171" i="4"/>
  <c r="B1171" i="4"/>
  <c r="A1171" i="4"/>
  <c r="I1170" i="4"/>
  <c r="H1170" i="4"/>
  <c r="G1170" i="4"/>
  <c r="F1170" i="4"/>
  <c r="E1170" i="4"/>
  <c r="D1170" i="4"/>
  <c r="C1170" i="4"/>
  <c r="B1170" i="4"/>
  <c r="A1170" i="4"/>
  <c r="I1169" i="4"/>
  <c r="H1169" i="4"/>
  <c r="G1169" i="4"/>
  <c r="F1169" i="4"/>
  <c r="E1169" i="4"/>
  <c r="D1169" i="4"/>
  <c r="C1169" i="4"/>
  <c r="B1169" i="4"/>
  <c r="A1169" i="4"/>
  <c r="H1168" i="4"/>
  <c r="G1168" i="4"/>
  <c r="F1168" i="4"/>
  <c r="I1168" i="4" s="1"/>
  <c r="E1168" i="4"/>
  <c r="D1168" i="4"/>
  <c r="C1168" i="4"/>
  <c r="B1168" i="4"/>
  <c r="A1168" i="4"/>
  <c r="H1167" i="4"/>
  <c r="G1167" i="4"/>
  <c r="F1167" i="4"/>
  <c r="E1167" i="4"/>
  <c r="D1167" i="4"/>
  <c r="I1167" i="4" s="1"/>
  <c r="C1167" i="4"/>
  <c r="B1167" i="4"/>
  <c r="A1167" i="4"/>
  <c r="I1166" i="4"/>
  <c r="H1166" i="4"/>
  <c r="G1166" i="4"/>
  <c r="F1166" i="4"/>
  <c r="E1166" i="4"/>
  <c r="D1166" i="4"/>
  <c r="C1166" i="4"/>
  <c r="B1166" i="4"/>
  <c r="A1166" i="4"/>
  <c r="H1165" i="4"/>
  <c r="G1165" i="4"/>
  <c r="F1165" i="4"/>
  <c r="E1165" i="4"/>
  <c r="D1165" i="4"/>
  <c r="C1165" i="4"/>
  <c r="B1165" i="4"/>
  <c r="A1165" i="4"/>
  <c r="H1164" i="4"/>
  <c r="G1164" i="4"/>
  <c r="F1164" i="4"/>
  <c r="E1164" i="4"/>
  <c r="D1164" i="4"/>
  <c r="C1164" i="4"/>
  <c r="B1164" i="4"/>
  <c r="A1164" i="4"/>
  <c r="H1163" i="4"/>
  <c r="G1163" i="4"/>
  <c r="F1163" i="4"/>
  <c r="E1163" i="4"/>
  <c r="D1163" i="4"/>
  <c r="C1163" i="4"/>
  <c r="B1163" i="4"/>
  <c r="A1163" i="4"/>
  <c r="I1162" i="4"/>
  <c r="H1162" i="4"/>
  <c r="G1162" i="4"/>
  <c r="F1162" i="4"/>
  <c r="E1162" i="4"/>
  <c r="D1162" i="4"/>
  <c r="C1162" i="4"/>
  <c r="B1162" i="4"/>
  <c r="A1162" i="4"/>
  <c r="H1161" i="4"/>
  <c r="G1161" i="4"/>
  <c r="F1161" i="4"/>
  <c r="E1161" i="4"/>
  <c r="D1161" i="4"/>
  <c r="C1161" i="4"/>
  <c r="B1161" i="4"/>
  <c r="A1161" i="4"/>
  <c r="I1160" i="4"/>
  <c r="H1160" i="4"/>
  <c r="G1160" i="4"/>
  <c r="F1160" i="4"/>
  <c r="E1160" i="4"/>
  <c r="D1160" i="4"/>
  <c r="C1160" i="4"/>
  <c r="B1160" i="4"/>
  <c r="A1160" i="4"/>
  <c r="I1159" i="4"/>
  <c r="H1159" i="4"/>
  <c r="G1159" i="4"/>
  <c r="F1159" i="4"/>
  <c r="E1159" i="4"/>
  <c r="D1159" i="4"/>
  <c r="C1159" i="4"/>
  <c r="B1159" i="4"/>
  <c r="A1159" i="4"/>
  <c r="H1158" i="4"/>
  <c r="G1158" i="4"/>
  <c r="F1158" i="4"/>
  <c r="E1158" i="4"/>
  <c r="I1158" i="4" s="1"/>
  <c r="D1158" i="4"/>
  <c r="C1158" i="4"/>
  <c r="B1158" i="4"/>
  <c r="A1158" i="4"/>
  <c r="I1157" i="4"/>
  <c r="H1157" i="4"/>
  <c r="G1157" i="4"/>
  <c r="F1157" i="4"/>
  <c r="E1157" i="4"/>
  <c r="D1157" i="4"/>
  <c r="C1157" i="4"/>
  <c r="B1157" i="4"/>
  <c r="A1157" i="4"/>
  <c r="H1156" i="4"/>
  <c r="G1156" i="4"/>
  <c r="F1156" i="4"/>
  <c r="E1156" i="4"/>
  <c r="D1156" i="4"/>
  <c r="C1156" i="4"/>
  <c r="B1156" i="4"/>
  <c r="A1156" i="4"/>
  <c r="H1155" i="4"/>
  <c r="G1155" i="4"/>
  <c r="F1155" i="4"/>
  <c r="E1155" i="4"/>
  <c r="I1155" i="4" s="1"/>
  <c r="D1155" i="4"/>
  <c r="C1155" i="4"/>
  <c r="B1155" i="4"/>
  <c r="A1155" i="4"/>
  <c r="H1154" i="4"/>
  <c r="G1154" i="4"/>
  <c r="F1154" i="4"/>
  <c r="E1154" i="4"/>
  <c r="D1154" i="4"/>
  <c r="I1154" i="4" s="1"/>
  <c r="C1154" i="4"/>
  <c r="B1154" i="4"/>
  <c r="A1154" i="4"/>
  <c r="I1153" i="4"/>
  <c r="H1153" i="4"/>
  <c r="G1153" i="4"/>
  <c r="F1153" i="4"/>
  <c r="E1153" i="4"/>
  <c r="D1153" i="4"/>
  <c r="C1153" i="4"/>
  <c r="B1153" i="4"/>
  <c r="A1153" i="4"/>
  <c r="H1152" i="4"/>
  <c r="G1152" i="4"/>
  <c r="F1152" i="4"/>
  <c r="E1152" i="4"/>
  <c r="D1152" i="4"/>
  <c r="C1152" i="4"/>
  <c r="B1152" i="4"/>
  <c r="A1152" i="4"/>
  <c r="I1151" i="4"/>
  <c r="H1151" i="4"/>
  <c r="G1151" i="4"/>
  <c r="F1151" i="4"/>
  <c r="E1151" i="4"/>
  <c r="D1151" i="4"/>
  <c r="C1151" i="4"/>
  <c r="B1151" i="4"/>
  <c r="A1151" i="4"/>
  <c r="H1150" i="4"/>
  <c r="G1150" i="4"/>
  <c r="F1150" i="4"/>
  <c r="E1150" i="4"/>
  <c r="D1150" i="4"/>
  <c r="I1150" i="4" s="1"/>
  <c r="C1150" i="4"/>
  <c r="B1150" i="4"/>
  <c r="A1150" i="4"/>
  <c r="H1149" i="4"/>
  <c r="G1149" i="4"/>
  <c r="F1149" i="4"/>
  <c r="E1149" i="4"/>
  <c r="D1149" i="4"/>
  <c r="I1149" i="4" s="1"/>
  <c r="C1149" i="4"/>
  <c r="B1149" i="4"/>
  <c r="A1149" i="4"/>
  <c r="H1148" i="4"/>
  <c r="G1148" i="4"/>
  <c r="F1148" i="4"/>
  <c r="E1148" i="4"/>
  <c r="D1148" i="4"/>
  <c r="I1148" i="4" s="1"/>
  <c r="C1148" i="4"/>
  <c r="B1148" i="4"/>
  <c r="A1148" i="4"/>
  <c r="H1147" i="4"/>
  <c r="G1147" i="4"/>
  <c r="F1147" i="4"/>
  <c r="E1147" i="4"/>
  <c r="D1147" i="4"/>
  <c r="I1147" i="4" s="1"/>
  <c r="C1147" i="4"/>
  <c r="B1147" i="4"/>
  <c r="A1147" i="4"/>
  <c r="H1146" i="4"/>
  <c r="G1146" i="4"/>
  <c r="F1146" i="4"/>
  <c r="I1146" i="4" s="1"/>
  <c r="E1146" i="4"/>
  <c r="D1146" i="4"/>
  <c r="C1146" i="4"/>
  <c r="B1146" i="4"/>
  <c r="A1146" i="4"/>
  <c r="H1145" i="4"/>
  <c r="G1145" i="4"/>
  <c r="F1145" i="4"/>
  <c r="E1145" i="4"/>
  <c r="D1145" i="4"/>
  <c r="C1145" i="4"/>
  <c r="B1145" i="4"/>
  <c r="A1145" i="4"/>
  <c r="I1144" i="4"/>
  <c r="H1144" i="4"/>
  <c r="G1144" i="4"/>
  <c r="F1144" i="4"/>
  <c r="E1144" i="4"/>
  <c r="D1144" i="4"/>
  <c r="C1144" i="4"/>
  <c r="B1144" i="4"/>
  <c r="A1144" i="4"/>
  <c r="H1143" i="4"/>
  <c r="G1143" i="4"/>
  <c r="F1143" i="4"/>
  <c r="E1143" i="4"/>
  <c r="D1143" i="4"/>
  <c r="C1143" i="4"/>
  <c r="I1143" i="4" s="1"/>
  <c r="B1143" i="4"/>
  <c r="A1143" i="4"/>
  <c r="H1142" i="4"/>
  <c r="G1142" i="4"/>
  <c r="F1142" i="4"/>
  <c r="E1142" i="4"/>
  <c r="D1142" i="4"/>
  <c r="C1142" i="4"/>
  <c r="B1142" i="4"/>
  <c r="A1142" i="4"/>
  <c r="H1141" i="4"/>
  <c r="G1141" i="4"/>
  <c r="F1141" i="4"/>
  <c r="E1141" i="4"/>
  <c r="D1141" i="4"/>
  <c r="I1141" i="4" s="1"/>
  <c r="C1141" i="4"/>
  <c r="B1141" i="4"/>
  <c r="A1141" i="4"/>
  <c r="H1140" i="4"/>
  <c r="G1140" i="4"/>
  <c r="F1140" i="4"/>
  <c r="E1140" i="4"/>
  <c r="D1140" i="4"/>
  <c r="C1140" i="4"/>
  <c r="B1140" i="4"/>
  <c r="A1140" i="4"/>
  <c r="H1139" i="4"/>
  <c r="G1139" i="4"/>
  <c r="F1139" i="4"/>
  <c r="E1139" i="4"/>
  <c r="I1139" i="4" s="1"/>
  <c r="D1139" i="4"/>
  <c r="C1139" i="4"/>
  <c r="B1139" i="4"/>
  <c r="A1139" i="4"/>
  <c r="I1138" i="4"/>
  <c r="H1138" i="4"/>
  <c r="G1138" i="4"/>
  <c r="F1138" i="4"/>
  <c r="E1138" i="4"/>
  <c r="D1138" i="4"/>
  <c r="C1138" i="4"/>
  <c r="B1138" i="4"/>
  <c r="A1138" i="4"/>
  <c r="I1137" i="4"/>
  <c r="H1137" i="4"/>
  <c r="G1137" i="4"/>
  <c r="F1137" i="4"/>
  <c r="E1137" i="4"/>
  <c r="D1137" i="4"/>
  <c r="C1137" i="4"/>
  <c r="B1137" i="4"/>
  <c r="A1137" i="4"/>
  <c r="I1136" i="4"/>
  <c r="H1136" i="4"/>
  <c r="G1136" i="4"/>
  <c r="F1136" i="4"/>
  <c r="E1136" i="4"/>
  <c r="D1136" i="4"/>
  <c r="C1136" i="4"/>
  <c r="B1136" i="4"/>
  <c r="A1136" i="4"/>
  <c r="H1135" i="4"/>
  <c r="G1135" i="4"/>
  <c r="F1135" i="4"/>
  <c r="E1135" i="4"/>
  <c r="D1135" i="4"/>
  <c r="I1135" i="4" s="1"/>
  <c r="C1135" i="4"/>
  <c r="B1135" i="4"/>
  <c r="A1135" i="4"/>
  <c r="H1134" i="4"/>
  <c r="G1134" i="4"/>
  <c r="F1134" i="4"/>
  <c r="E1134" i="4"/>
  <c r="D1134" i="4"/>
  <c r="C1134" i="4"/>
  <c r="B1134" i="4"/>
  <c r="A1134" i="4"/>
  <c r="H1133" i="4"/>
  <c r="G1133" i="4"/>
  <c r="F1133" i="4"/>
  <c r="E1133" i="4"/>
  <c r="D1133" i="4"/>
  <c r="C1133" i="4"/>
  <c r="B1133" i="4"/>
  <c r="A1133" i="4"/>
  <c r="H1132" i="4"/>
  <c r="G1132" i="4"/>
  <c r="F1132" i="4"/>
  <c r="E1132" i="4"/>
  <c r="D1132" i="4"/>
  <c r="C1132" i="4"/>
  <c r="B1132" i="4"/>
  <c r="A1132" i="4"/>
  <c r="H1131" i="4"/>
  <c r="G1131" i="4"/>
  <c r="F1131" i="4"/>
  <c r="E1131" i="4"/>
  <c r="D1131" i="4"/>
  <c r="C1131" i="4"/>
  <c r="B1131" i="4"/>
  <c r="A1131" i="4"/>
  <c r="I1130" i="4"/>
  <c r="H1130" i="4"/>
  <c r="G1130" i="4"/>
  <c r="F1130" i="4"/>
  <c r="E1130" i="4"/>
  <c r="D1130" i="4"/>
  <c r="C1130" i="4"/>
  <c r="B1130" i="4"/>
  <c r="A1130" i="4"/>
  <c r="H1129" i="4"/>
  <c r="G1129" i="4"/>
  <c r="F1129" i="4"/>
  <c r="E1129" i="4"/>
  <c r="D1129" i="4"/>
  <c r="I1129" i="4" s="1"/>
  <c r="C1129" i="4"/>
  <c r="B1129" i="4"/>
  <c r="A1129" i="4"/>
  <c r="H1128" i="4"/>
  <c r="G1128" i="4"/>
  <c r="F1128" i="4"/>
  <c r="E1128" i="4"/>
  <c r="D1128" i="4"/>
  <c r="C1128" i="4"/>
  <c r="I1128" i="4" s="1"/>
  <c r="B1128" i="4"/>
  <c r="A1128" i="4"/>
  <c r="H1127" i="4"/>
  <c r="G1127" i="4"/>
  <c r="F1127" i="4"/>
  <c r="E1127" i="4"/>
  <c r="I1127" i="4" s="1"/>
  <c r="D1127" i="4"/>
  <c r="C1127" i="4"/>
  <c r="B1127" i="4"/>
  <c r="A1127" i="4"/>
  <c r="H1126" i="4"/>
  <c r="G1126" i="4"/>
  <c r="F1126" i="4"/>
  <c r="E1126" i="4"/>
  <c r="D1126" i="4"/>
  <c r="C1126" i="4"/>
  <c r="B1126" i="4"/>
  <c r="A1126" i="4"/>
  <c r="H1125" i="4"/>
  <c r="G1125" i="4"/>
  <c r="F1125" i="4"/>
  <c r="I1125" i="4" s="1"/>
  <c r="E1125" i="4"/>
  <c r="D1125" i="4"/>
  <c r="C1125" i="4"/>
  <c r="B1125" i="4"/>
  <c r="A1125" i="4"/>
  <c r="H1124" i="4"/>
  <c r="G1124" i="4"/>
  <c r="F1124" i="4"/>
  <c r="E1124" i="4"/>
  <c r="D1124" i="4"/>
  <c r="I1124" i="4" s="1"/>
  <c r="C1124" i="4"/>
  <c r="B1124" i="4"/>
  <c r="A1124" i="4"/>
  <c r="I1123" i="4"/>
  <c r="H1123" i="4"/>
  <c r="G1123" i="4"/>
  <c r="F1123" i="4"/>
  <c r="E1123" i="4"/>
  <c r="D1123" i="4"/>
  <c r="C1123" i="4"/>
  <c r="B1123" i="4"/>
  <c r="A1123" i="4"/>
  <c r="H1122" i="4"/>
  <c r="G1122" i="4"/>
  <c r="F1122" i="4"/>
  <c r="E1122" i="4"/>
  <c r="D1122" i="4"/>
  <c r="C1122" i="4"/>
  <c r="B1122" i="4"/>
  <c r="A1122" i="4"/>
  <c r="I1121" i="4"/>
  <c r="H1121" i="4"/>
  <c r="G1121" i="4"/>
  <c r="F1121" i="4"/>
  <c r="E1121" i="4"/>
  <c r="D1121" i="4"/>
  <c r="C1121" i="4"/>
  <c r="B1121" i="4"/>
  <c r="A1121" i="4"/>
  <c r="H1120" i="4"/>
  <c r="G1120" i="4"/>
  <c r="F1120" i="4"/>
  <c r="E1120" i="4"/>
  <c r="D1120" i="4"/>
  <c r="C1120" i="4"/>
  <c r="B1120" i="4"/>
  <c r="A1120" i="4"/>
  <c r="I1119" i="4"/>
  <c r="H1119" i="4"/>
  <c r="G1119" i="4"/>
  <c r="F1119" i="4"/>
  <c r="E1119" i="4"/>
  <c r="D1119" i="4"/>
  <c r="C1119" i="4"/>
  <c r="B1119" i="4"/>
  <c r="A1119" i="4"/>
  <c r="H1118" i="4"/>
  <c r="G1118" i="4"/>
  <c r="F1118" i="4"/>
  <c r="E1118" i="4"/>
  <c r="D1118" i="4"/>
  <c r="I1118" i="4" s="1"/>
  <c r="C1118" i="4"/>
  <c r="B1118" i="4"/>
  <c r="A1118" i="4"/>
  <c r="H1117" i="4"/>
  <c r="G1117" i="4"/>
  <c r="F1117" i="4"/>
  <c r="E1117" i="4"/>
  <c r="D1117" i="4"/>
  <c r="C1117" i="4"/>
  <c r="B1117" i="4"/>
  <c r="A1117" i="4"/>
  <c r="H1116" i="4"/>
  <c r="G1116" i="4"/>
  <c r="F1116" i="4"/>
  <c r="E1116" i="4"/>
  <c r="D1116" i="4"/>
  <c r="I1116" i="4" s="1"/>
  <c r="C1116" i="4"/>
  <c r="B1116" i="4"/>
  <c r="A1116" i="4"/>
  <c r="H1115" i="4"/>
  <c r="G1115" i="4"/>
  <c r="F1115" i="4"/>
  <c r="E1115" i="4"/>
  <c r="D1115" i="4"/>
  <c r="C1115" i="4"/>
  <c r="B1115" i="4"/>
  <c r="A1115" i="4"/>
  <c r="I1114" i="4"/>
  <c r="H1114" i="4"/>
  <c r="G1114" i="4"/>
  <c r="F1114" i="4"/>
  <c r="E1114" i="4"/>
  <c r="D1114" i="4"/>
  <c r="C1114" i="4"/>
  <c r="B1114" i="4"/>
  <c r="A1114" i="4"/>
  <c r="H1113" i="4"/>
  <c r="G1113" i="4"/>
  <c r="F1113" i="4"/>
  <c r="E1113" i="4"/>
  <c r="D1113" i="4"/>
  <c r="C1113" i="4"/>
  <c r="B1113" i="4"/>
  <c r="A1113" i="4"/>
  <c r="I1112" i="4"/>
  <c r="H1112" i="4"/>
  <c r="G1112" i="4"/>
  <c r="F1112" i="4"/>
  <c r="E1112" i="4"/>
  <c r="D1112" i="4"/>
  <c r="C1112" i="4"/>
  <c r="B1112" i="4"/>
  <c r="A1112" i="4"/>
  <c r="H1111" i="4"/>
  <c r="G1111" i="4"/>
  <c r="F1111" i="4"/>
  <c r="E1111" i="4"/>
  <c r="D1111" i="4"/>
  <c r="I1111" i="4" s="1"/>
  <c r="C1111" i="4"/>
  <c r="B1111" i="4"/>
  <c r="A1111" i="4"/>
  <c r="H1110" i="4"/>
  <c r="G1110" i="4"/>
  <c r="F1110" i="4"/>
  <c r="E1110" i="4"/>
  <c r="D1110" i="4"/>
  <c r="C1110" i="4"/>
  <c r="B1110" i="4"/>
  <c r="A1110" i="4"/>
  <c r="H1109" i="4"/>
  <c r="G1109" i="4"/>
  <c r="F1109" i="4"/>
  <c r="E1109" i="4"/>
  <c r="D1109" i="4"/>
  <c r="I1109" i="4" s="1"/>
  <c r="C1109" i="4"/>
  <c r="B1109" i="4"/>
  <c r="A1109" i="4"/>
  <c r="H1108" i="4"/>
  <c r="G1108" i="4"/>
  <c r="F1108" i="4"/>
  <c r="E1108" i="4"/>
  <c r="D1108" i="4"/>
  <c r="I1108" i="4" s="1"/>
  <c r="C1108" i="4"/>
  <c r="B1108" i="4"/>
  <c r="A1108" i="4"/>
  <c r="H1107" i="4"/>
  <c r="G1107" i="4"/>
  <c r="F1107" i="4"/>
  <c r="E1107" i="4"/>
  <c r="I1107" i="4" s="1"/>
  <c r="D1107" i="4"/>
  <c r="C1107" i="4"/>
  <c r="B1107" i="4"/>
  <c r="A1107" i="4"/>
  <c r="H1106" i="4"/>
  <c r="G1106" i="4"/>
  <c r="F1106" i="4"/>
  <c r="E1106" i="4"/>
  <c r="D1106" i="4"/>
  <c r="C1106" i="4"/>
  <c r="B1106" i="4"/>
  <c r="A1106" i="4"/>
  <c r="I1105" i="4"/>
  <c r="H1105" i="4"/>
  <c r="G1105" i="4"/>
  <c r="F1105" i="4"/>
  <c r="E1105" i="4"/>
  <c r="D1105" i="4"/>
  <c r="C1105" i="4"/>
  <c r="B1105" i="4"/>
  <c r="A1105" i="4"/>
  <c r="H1104" i="4"/>
  <c r="G1104" i="4"/>
  <c r="F1104" i="4"/>
  <c r="E1104" i="4"/>
  <c r="D1104" i="4"/>
  <c r="C1104" i="4"/>
  <c r="B1104" i="4"/>
  <c r="A1104" i="4"/>
  <c r="I1103" i="4"/>
  <c r="H1103" i="4"/>
  <c r="G1103" i="4"/>
  <c r="F1103" i="4"/>
  <c r="E1103" i="4"/>
  <c r="D1103" i="4"/>
  <c r="C1103" i="4"/>
  <c r="B1103" i="4"/>
  <c r="A1103" i="4"/>
  <c r="H1102" i="4"/>
  <c r="G1102" i="4"/>
  <c r="F1102" i="4"/>
  <c r="E1102" i="4"/>
  <c r="D1102" i="4"/>
  <c r="I1102" i="4" s="1"/>
  <c r="C1102" i="4"/>
  <c r="B1102" i="4"/>
  <c r="A1102" i="4"/>
  <c r="H1101" i="4"/>
  <c r="G1101" i="4"/>
  <c r="F1101" i="4"/>
  <c r="E1101" i="4"/>
  <c r="D1101" i="4"/>
  <c r="C1101" i="4"/>
  <c r="B1101" i="4"/>
  <c r="A1101" i="4"/>
  <c r="H1100" i="4"/>
  <c r="G1100" i="4"/>
  <c r="F1100" i="4"/>
  <c r="E1100" i="4"/>
  <c r="D1100" i="4"/>
  <c r="I1100" i="4" s="1"/>
  <c r="C1100" i="4"/>
  <c r="B1100" i="4"/>
  <c r="A1100" i="4"/>
  <c r="H1099" i="4"/>
  <c r="G1099" i="4"/>
  <c r="F1099" i="4"/>
  <c r="E1099" i="4"/>
  <c r="D1099" i="4"/>
  <c r="C1099" i="4"/>
  <c r="B1099" i="4"/>
  <c r="A1099" i="4"/>
  <c r="H1098" i="4"/>
  <c r="G1098" i="4"/>
  <c r="F1098" i="4"/>
  <c r="I1098" i="4" s="1"/>
  <c r="E1098" i="4"/>
  <c r="D1098" i="4"/>
  <c r="C1098" i="4"/>
  <c r="B1098" i="4"/>
  <c r="A1098" i="4"/>
  <c r="H1097" i="4"/>
  <c r="G1097" i="4"/>
  <c r="F1097" i="4"/>
  <c r="E1097" i="4"/>
  <c r="D1097" i="4"/>
  <c r="C1097" i="4"/>
  <c r="B1097" i="4"/>
  <c r="A1097" i="4"/>
  <c r="H1096" i="4"/>
  <c r="G1096" i="4"/>
  <c r="F1096" i="4"/>
  <c r="E1096" i="4"/>
  <c r="D1096" i="4"/>
  <c r="C1096" i="4"/>
  <c r="I1096" i="4" s="1"/>
  <c r="B1096" i="4"/>
  <c r="A1096" i="4"/>
  <c r="H1095" i="4"/>
  <c r="G1095" i="4"/>
  <c r="F1095" i="4"/>
  <c r="E1095" i="4"/>
  <c r="I1095" i="4" s="1"/>
  <c r="D1095" i="4"/>
  <c r="C1095" i="4"/>
  <c r="B1095" i="4"/>
  <c r="A1095" i="4"/>
  <c r="H1094" i="4"/>
  <c r="G1094" i="4"/>
  <c r="F1094" i="4"/>
  <c r="E1094" i="4"/>
  <c r="I1094" i="4" s="1"/>
  <c r="D1094" i="4"/>
  <c r="C1094" i="4"/>
  <c r="B1094" i="4"/>
  <c r="A1094" i="4"/>
  <c r="H1093" i="4"/>
  <c r="G1093" i="4"/>
  <c r="F1093" i="4"/>
  <c r="E1093" i="4"/>
  <c r="D1093" i="4"/>
  <c r="C1093" i="4"/>
  <c r="B1093" i="4"/>
  <c r="A1093" i="4"/>
  <c r="H1092" i="4"/>
  <c r="G1092" i="4"/>
  <c r="F1092" i="4"/>
  <c r="E1092" i="4"/>
  <c r="D1092" i="4"/>
  <c r="C1092" i="4"/>
  <c r="B1092" i="4"/>
  <c r="A1092" i="4"/>
  <c r="I1091" i="4"/>
  <c r="H1091" i="4"/>
  <c r="G1091" i="4"/>
  <c r="F1091" i="4"/>
  <c r="E1091" i="4"/>
  <c r="D1091" i="4"/>
  <c r="C1091" i="4"/>
  <c r="B1091" i="4"/>
  <c r="A1091" i="4"/>
  <c r="H1090" i="4"/>
  <c r="G1090" i="4"/>
  <c r="F1090" i="4"/>
  <c r="I1090" i="4" s="1"/>
  <c r="E1090" i="4"/>
  <c r="D1090" i="4"/>
  <c r="C1090" i="4"/>
  <c r="B1090" i="4"/>
  <c r="A1090" i="4"/>
  <c r="I1089" i="4"/>
  <c r="H1089" i="4"/>
  <c r="G1089" i="4"/>
  <c r="F1089" i="4"/>
  <c r="E1089" i="4"/>
  <c r="D1089" i="4"/>
  <c r="C1089" i="4"/>
  <c r="B1089" i="4"/>
  <c r="A1089" i="4"/>
  <c r="I1088" i="4"/>
  <c r="H1088" i="4"/>
  <c r="G1088" i="4"/>
  <c r="F1088" i="4"/>
  <c r="E1088" i="4"/>
  <c r="D1088" i="4"/>
  <c r="C1088" i="4"/>
  <c r="B1088" i="4"/>
  <c r="A1088" i="4"/>
  <c r="H1087" i="4"/>
  <c r="G1087" i="4"/>
  <c r="F1087" i="4"/>
  <c r="E1087" i="4"/>
  <c r="D1087" i="4"/>
  <c r="I1087" i="4" s="1"/>
  <c r="C1087" i="4"/>
  <c r="B1087" i="4"/>
  <c r="A1087" i="4"/>
  <c r="H1086" i="4"/>
  <c r="G1086" i="4"/>
  <c r="F1086" i="4"/>
  <c r="E1086" i="4"/>
  <c r="D1086" i="4"/>
  <c r="I1086" i="4" s="1"/>
  <c r="C1086" i="4"/>
  <c r="B1086" i="4"/>
  <c r="A1086" i="4"/>
  <c r="H1085" i="4"/>
  <c r="G1085" i="4"/>
  <c r="F1085" i="4"/>
  <c r="E1085" i="4"/>
  <c r="D1085" i="4"/>
  <c r="C1085" i="4"/>
  <c r="B1085" i="4"/>
  <c r="A1085" i="4"/>
  <c r="H1084" i="4"/>
  <c r="G1084" i="4"/>
  <c r="F1084" i="4"/>
  <c r="E1084" i="4"/>
  <c r="D1084" i="4"/>
  <c r="I1084" i="4" s="1"/>
  <c r="C1084" i="4"/>
  <c r="B1084" i="4"/>
  <c r="A1084" i="4"/>
  <c r="H1083" i="4"/>
  <c r="G1083" i="4"/>
  <c r="F1083" i="4"/>
  <c r="E1083" i="4"/>
  <c r="D1083" i="4"/>
  <c r="C1083" i="4"/>
  <c r="B1083" i="4"/>
  <c r="A1083" i="4"/>
  <c r="I1082" i="4"/>
  <c r="H1082" i="4"/>
  <c r="G1082" i="4"/>
  <c r="F1082" i="4"/>
  <c r="E1082" i="4"/>
  <c r="D1082" i="4"/>
  <c r="C1082" i="4"/>
  <c r="B1082" i="4"/>
  <c r="A1082" i="4"/>
  <c r="H1081" i="4"/>
  <c r="G1081" i="4"/>
  <c r="F1081" i="4"/>
  <c r="E1081" i="4"/>
  <c r="D1081" i="4"/>
  <c r="C1081" i="4"/>
  <c r="B1081" i="4"/>
  <c r="A1081" i="4"/>
  <c r="H1080" i="4"/>
  <c r="G1080" i="4"/>
  <c r="F1080" i="4"/>
  <c r="E1080" i="4"/>
  <c r="D1080" i="4"/>
  <c r="C1080" i="4"/>
  <c r="I1080" i="4" s="1"/>
  <c r="B1080" i="4"/>
  <c r="A1080" i="4"/>
  <c r="I1079" i="4"/>
  <c r="H1079" i="4"/>
  <c r="G1079" i="4"/>
  <c r="F1079" i="4"/>
  <c r="E1079" i="4"/>
  <c r="D1079" i="4"/>
  <c r="C1079" i="4"/>
  <c r="B1079" i="4"/>
  <c r="A1079" i="4"/>
  <c r="H1078" i="4"/>
  <c r="G1078" i="4"/>
  <c r="F1078" i="4"/>
  <c r="E1078" i="4"/>
  <c r="D1078" i="4"/>
  <c r="C1078" i="4"/>
  <c r="B1078" i="4"/>
  <c r="A1078" i="4"/>
  <c r="I1077" i="4"/>
  <c r="H1077" i="4"/>
  <c r="G1077" i="4"/>
  <c r="F1077" i="4"/>
  <c r="E1077" i="4"/>
  <c r="D1077" i="4"/>
  <c r="C1077" i="4"/>
  <c r="B1077" i="4"/>
  <c r="A1077" i="4"/>
  <c r="H1076" i="4"/>
  <c r="G1076" i="4"/>
  <c r="F1076" i="4"/>
  <c r="E1076" i="4"/>
  <c r="D1076" i="4"/>
  <c r="I1076" i="4" s="1"/>
  <c r="C1076" i="4"/>
  <c r="B1076" i="4"/>
  <c r="A1076" i="4"/>
  <c r="H1075" i="4"/>
  <c r="G1075" i="4"/>
  <c r="F1075" i="4"/>
  <c r="E1075" i="4"/>
  <c r="I1075" i="4" s="1"/>
  <c r="D1075" i="4"/>
  <c r="C1075" i="4"/>
  <c r="B1075" i="4"/>
  <c r="A1075" i="4"/>
  <c r="H1074" i="4"/>
  <c r="G1074" i="4"/>
  <c r="F1074" i="4"/>
  <c r="E1074" i="4"/>
  <c r="D1074" i="4"/>
  <c r="C1074" i="4"/>
  <c r="B1074" i="4"/>
  <c r="A1074" i="4"/>
  <c r="I1073" i="4"/>
  <c r="H1073" i="4"/>
  <c r="G1073" i="4"/>
  <c r="F1073" i="4"/>
  <c r="E1073" i="4"/>
  <c r="D1073" i="4"/>
  <c r="C1073" i="4"/>
  <c r="B1073" i="4"/>
  <c r="A1073" i="4"/>
  <c r="H1072" i="4"/>
  <c r="G1072" i="4"/>
  <c r="F1072" i="4"/>
  <c r="E1072" i="4"/>
  <c r="D1072" i="4"/>
  <c r="C1072" i="4"/>
  <c r="B1072" i="4"/>
  <c r="A1072" i="4"/>
  <c r="I1071" i="4"/>
  <c r="H1071" i="4"/>
  <c r="G1071" i="4"/>
  <c r="F1071" i="4"/>
  <c r="E1071" i="4"/>
  <c r="D1071" i="4"/>
  <c r="C1071" i="4"/>
  <c r="B1071" i="4"/>
  <c r="A1071" i="4"/>
  <c r="I1070" i="4"/>
  <c r="H1070" i="4"/>
  <c r="G1070" i="4"/>
  <c r="F1070" i="4"/>
  <c r="E1070" i="4"/>
  <c r="D1070" i="4"/>
  <c r="C1070" i="4"/>
  <c r="B1070" i="4"/>
  <c r="A1070" i="4"/>
  <c r="H1069" i="4"/>
  <c r="G1069" i="4"/>
  <c r="F1069" i="4"/>
  <c r="E1069" i="4"/>
  <c r="D1069" i="4"/>
  <c r="C1069" i="4"/>
  <c r="B1069" i="4"/>
  <c r="A1069" i="4"/>
  <c r="H1068" i="4"/>
  <c r="G1068" i="4"/>
  <c r="F1068" i="4"/>
  <c r="E1068" i="4"/>
  <c r="D1068" i="4"/>
  <c r="C1068" i="4"/>
  <c r="B1068" i="4"/>
  <c r="A1068" i="4"/>
  <c r="H1067" i="4"/>
  <c r="G1067" i="4"/>
  <c r="F1067" i="4"/>
  <c r="E1067" i="4"/>
  <c r="D1067" i="4"/>
  <c r="C1067" i="4"/>
  <c r="B1067" i="4"/>
  <c r="A1067" i="4"/>
  <c r="H1066" i="4"/>
  <c r="G1066" i="4"/>
  <c r="F1066" i="4"/>
  <c r="I1066" i="4" s="1"/>
  <c r="E1066" i="4"/>
  <c r="D1066" i="4"/>
  <c r="C1066" i="4"/>
  <c r="B1066" i="4"/>
  <c r="A1066" i="4"/>
  <c r="H1065" i="4"/>
  <c r="G1065" i="4"/>
  <c r="F1065" i="4"/>
  <c r="E1065" i="4"/>
  <c r="D1065" i="4"/>
  <c r="C1065" i="4"/>
  <c r="B1065" i="4"/>
  <c r="A1065" i="4"/>
  <c r="I1064" i="4"/>
  <c r="H1064" i="4"/>
  <c r="G1064" i="4"/>
  <c r="F1064" i="4"/>
  <c r="E1064" i="4"/>
  <c r="D1064" i="4"/>
  <c r="C1064" i="4"/>
  <c r="B1064" i="4"/>
  <c r="A1064" i="4"/>
  <c r="H1063" i="4"/>
  <c r="G1063" i="4"/>
  <c r="F1063" i="4"/>
  <c r="E1063" i="4"/>
  <c r="D1063" i="4"/>
  <c r="C1063" i="4"/>
  <c r="B1063" i="4"/>
  <c r="A1063" i="4"/>
  <c r="H1062" i="4"/>
  <c r="G1062" i="4"/>
  <c r="F1062" i="4"/>
  <c r="E1062" i="4"/>
  <c r="I1062" i="4" s="1"/>
  <c r="D1062" i="4"/>
  <c r="C1062" i="4"/>
  <c r="B1062" i="4"/>
  <c r="A1062" i="4"/>
  <c r="H1061" i="4"/>
  <c r="G1061" i="4"/>
  <c r="F1061" i="4"/>
  <c r="E1061" i="4"/>
  <c r="D1061" i="4"/>
  <c r="C1061" i="4"/>
  <c r="B1061" i="4"/>
  <c r="A1061" i="4"/>
  <c r="H1060" i="4"/>
  <c r="G1060" i="4"/>
  <c r="F1060" i="4"/>
  <c r="E1060" i="4"/>
  <c r="D1060" i="4"/>
  <c r="I1060" i="4" s="1"/>
  <c r="C1060" i="4"/>
  <c r="B1060" i="4"/>
  <c r="A1060" i="4"/>
  <c r="H1059" i="4"/>
  <c r="G1059" i="4"/>
  <c r="F1059" i="4"/>
  <c r="E1059" i="4"/>
  <c r="I1059" i="4" s="1"/>
  <c r="D1059" i="4"/>
  <c r="C1059" i="4"/>
  <c r="B1059" i="4"/>
  <c r="A1059" i="4"/>
  <c r="I1058" i="4"/>
  <c r="H1058" i="4"/>
  <c r="G1058" i="4"/>
  <c r="F1058" i="4"/>
  <c r="E1058" i="4"/>
  <c r="D1058" i="4"/>
  <c r="C1058" i="4"/>
  <c r="B1058" i="4"/>
  <c r="A1058" i="4"/>
  <c r="I1057" i="4"/>
  <c r="H1057" i="4"/>
  <c r="G1057" i="4"/>
  <c r="F1057" i="4"/>
  <c r="E1057" i="4"/>
  <c r="D1057" i="4"/>
  <c r="C1057" i="4"/>
  <c r="B1057" i="4"/>
  <c r="A1057" i="4"/>
  <c r="H1056" i="4"/>
  <c r="G1056" i="4"/>
  <c r="F1056" i="4"/>
  <c r="I1056" i="4" s="1"/>
  <c r="E1056" i="4"/>
  <c r="D1056" i="4"/>
  <c r="C1056" i="4"/>
  <c r="B1056" i="4"/>
  <c r="A1056" i="4"/>
  <c r="I1055" i="4"/>
  <c r="H1055" i="4"/>
  <c r="G1055" i="4"/>
  <c r="F1055" i="4"/>
  <c r="E1055" i="4"/>
  <c r="D1055" i="4"/>
  <c r="C1055" i="4"/>
  <c r="B1055" i="4"/>
  <c r="A1055" i="4"/>
  <c r="H1054" i="4"/>
  <c r="G1054" i="4"/>
  <c r="F1054" i="4"/>
  <c r="E1054" i="4"/>
  <c r="D1054" i="4"/>
  <c r="C1054" i="4"/>
  <c r="B1054" i="4"/>
  <c r="A1054" i="4"/>
  <c r="H1053" i="4"/>
  <c r="G1053" i="4"/>
  <c r="F1053" i="4"/>
  <c r="E1053" i="4"/>
  <c r="D1053" i="4"/>
  <c r="C1053" i="4"/>
  <c r="B1053" i="4"/>
  <c r="A1053" i="4"/>
  <c r="H1052" i="4"/>
  <c r="G1052" i="4"/>
  <c r="F1052" i="4"/>
  <c r="E1052" i="4"/>
  <c r="D1052" i="4"/>
  <c r="I1052" i="4" s="1"/>
  <c r="C1052" i="4"/>
  <c r="B1052" i="4"/>
  <c r="A1052" i="4"/>
  <c r="H1051" i="4"/>
  <c r="G1051" i="4"/>
  <c r="F1051" i="4"/>
  <c r="E1051" i="4"/>
  <c r="D1051" i="4"/>
  <c r="C1051" i="4"/>
  <c r="B1051" i="4"/>
  <c r="A1051" i="4"/>
  <c r="I1050" i="4"/>
  <c r="H1050" i="4"/>
  <c r="G1050" i="4"/>
  <c r="F1050" i="4"/>
  <c r="E1050" i="4"/>
  <c r="D1050" i="4"/>
  <c r="C1050" i="4"/>
  <c r="B1050" i="4"/>
  <c r="A1050" i="4"/>
  <c r="H1049" i="4"/>
  <c r="G1049" i="4"/>
  <c r="F1049" i="4"/>
  <c r="E1049" i="4"/>
  <c r="D1049" i="4"/>
  <c r="C1049" i="4"/>
  <c r="B1049" i="4"/>
  <c r="A1049" i="4"/>
  <c r="H1048" i="4"/>
  <c r="G1048" i="4"/>
  <c r="F1048" i="4"/>
  <c r="E1048" i="4"/>
  <c r="D1048" i="4"/>
  <c r="C1048" i="4"/>
  <c r="I1048" i="4" s="1"/>
  <c r="B1048" i="4"/>
  <c r="A1048" i="4"/>
  <c r="I1047" i="4"/>
  <c r="H1047" i="4"/>
  <c r="G1047" i="4"/>
  <c r="F1047" i="4"/>
  <c r="E1047" i="4"/>
  <c r="D1047" i="4"/>
  <c r="C1047" i="4"/>
  <c r="B1047" i="4"/>
  <c r="A1047" i="4"/>
  <c r="H1046" i="4"/>
  <c r="G1046" i="4"/>
  <c r="F1046" i="4"/>
  <c r="E1046" i="4"/>
  <c r="D1046" i="4"/>
  <c r="C1046" i="4"/>
  <c r="B1046" i="4"/>
  <c r="A1046" i="4"/>
  <c r="I1045" i="4"/>
  <c r="H1045" i="4"/>
  <c r="G1045" i="4"/>
  <c r="F1045" i="4"/>
  <c r="E1045" i="4"/>
  <c r="D1045" i="4"/>
  <c r="C1045" i="4"/>
  <c r="B1045" i="4"/>
  <c r="A1045" i="4"/>
  <c r="H1044" i="4"/>
  <c r="G1044" i="4"/>
  <c r="F1044" i="4"/>
  <c r="E1044" i="4"/>
  <c r="D1044" i="4"/>
  <c r="C1044" i="4"/>
  <c r="B1044" i="4"/>
  <c r="A1044" i="4"/>
  <c r="I1043" i="4"/>
  <c r="H1043" i="4"/>
  <c r="G1043" i="4"/>
  <c r="F1043" i="4"/>
  <c r="E1043" i="4"/>
  <c r="D1043" i="4"/>
  <c r="C1043" i="4"/>
  <c r="B1043" i="4"/>
  <c r="A1043" i="4"/>
  <c r="H1042" i="4"/>
  <c r="G1042" i="4"/>
  <c r="F1042" i="4"/>
  <c r="E1042" i="4"/>
  <c r="D1042" i="4"/>
  <c r="I1042" i="4" s="1"/>
  <c r="C1042" i="4"/>
  <c r="B1042" i="4"/>
  <c r="A1042" i="4"/>
  <c r="I1041" i="4"/>
  <c r="H1041" i="4"/>
  <c r="G1041" i="4"/>
  <c r="F1041" i="4"/>
  <c r="E1041" i="4"/>
  <c r="D1041" i="4"/>
  <c r="C1041" i="4"/>
  <c r="B1041" i="4"/>
  <c r="A1041" i="4"/>
  <c r="H1040" i="4"/>
  <c r="G1040" i="4"/>
  <c r="F1040" i="4"/>
  <c r="E1040" i="4"/>
  <c r="D1040" i="4"/>
  <c r="I1040" i="4" s="1"/>
  <c r="C1040" i="4"/>
  <c r="B1040" i="4"/>
  <c r="A1040" i="4"/>
  <c r="I1039" i="4"/>
  <c r="H1039" i="4"/>
  <c r="G1039" i="4"/>
  <c r="F1039" i="4"/>
  <c r="E1039" i="4"/>
  <c r="D1039" i="4"/>
  <c r="C1039" i="4"/>
  <c r="B1039" i="4"/>
  <c r="A1039" i="4"/>
  <c r="H1038" i="4"/>
  <c r="G1038" i="4"/>
  <c r="F1038" i="4"/>
  <c r="I1038" i="4" s="1"/>
  <c r="E1038" i="4"/>
  <c r="D1038" i="4"/>
  <c r="C1038" i="4"/>
  <c r="B1038" i="4"/>
  <c r="A1038" i="4"/>
  <c r="H1037" i="4"/>
  <c r="G1037" i="4"/>
  <c r="F1037" i="4"/>
  <c r="E1037" i="4"/>
  <c r="D1037" i="4"/>
  <c r="C1037" i="4"/>
  <c r="B1037" i="4"/>
  <c r="A1037" i="4"/>
  <c r="H1036" i="4"/>
  <c r="G1036" i="4"/>
  <c r="F1036" i="4"/>
  <c r="E1036" i="4"/>
  <c r="D1036" i="4"/>
  <c r="C1036" i="4"/>
  <c r="B1036" i="4"/>
  <c r="A1036" i="4"/>
  <c r="H1035" i="4"/>
  <c r="G1035" i="4"/>
  <c r="F1035" i="4"/>
  <c r="E1035" i="4"/>
  <c r="D1035" i="4"/>
  <c r="C1035" i="4"/>
  <c r="B1035" i="4"/>
  <c r="A1035" i="4"/>
  <c r="I1034" i="4"/>
  <c r="H1034" i="4"/>
  <c r="G1034" i="4"/>
  <c r="F1034" i="4"/>
  <c r="E1034" i="4"/>
  <c r="D1034" i="4"/>
  <c r="C1034" i="4"/>
  <c r="B1034" i="4"/>
  <c r="A1034" i="4"/>
  <c r="H1033" i="4"/>
  <c r="G1033" i="4"/>
  <c r="F1033" i="4"/>
  <c r="E1033" i="4"/>
  <c r="D1033" i="4"/>
  <c r="C1033" i="4"/>
  <c r="B1033" i="4"/>
  <c r="A1033" i="4"/>
  <c r="I1032" i="4"/>
  <c r="H1032" i="4"/>
  <c r="G1032" i="4"/>
  <c r="F1032" i="4"/>
  <c r="E1032" i="4"/>
  <c r="D1032" i="4"/>
  <c r="C1032" i="4"/>
  <c r="B1032" i="4"/>
  <c r="A1032" i="4"/>
  <c r="H1031" i="4"/>
  <c r="G1031" i="4"/>
  <c r="F1031" i="4"/>
  <c r="E1031" i="4"/>
  <c r="D1031" i="4"/>
  <c r="C1031" i="4"/>
  <c r="B1031" i="4"/>
  <c r="A1031" i="4"/>
  <c r="H1030" i="4"/>
  <c r="G1030" i="4"/>
  <c r="F1030" i="4"/>
  <c r="E1030" i="4"/>
  <c r="I1030" i="4" s="1"/>
  <c r="D1030" i="4"/>
  <c r="C1030" i="4"/>
  <c r="B1030" i="4"/>
  <c r="A1030" i="4"/>
  <c r="H1029" i="4"/>
  <c r="G1029" i="4"/>
  <c r="F1029" i="4"/>
  <c r="E1029" i="4"/>
  <c r="D1029" i="4"/>
  <c r="C1029" i="4"/>
  <c r="B1029" i="4"/>
  <c r="A1029" i="4"/>
  <c r="H1028" i="4"/>
  <c r="G1028" i="4"/>
  <c r="F1028" i="4"/>
  <c r="E1028" i="4"/>
  <c r="D1028" i="4"/>
  <c r="C1028" i="4"/>
  <c r="B1028" i="4"/>
  <c r="A1028" i="4"/>
  <c r="H1027" i="4"/>
  <c r="G1027" i="4"/>
  <c r="F1027" i="4"/>
  <c r="E1027" i="4"/>
  <c r="I1027" i="4" s="1"/>
  <c r="D1027" i="4"/>
  <c r="C1027" i="4"/>
  <c r="B1027" i="4"/>
  <c r="A1027" i="4"/>
  <c r="H1026" i="4"/>
  <c r="G1026" i="4"/>
  <c r="F1026" i="4"/>
  <c r="E1026" i="4"/>
  <c r="D1026" i="4"/>
  <c r="I1026" i="4" s="1"/>
  <c r="C1026" i="4"/>
  <c r="B1026" i="4"/>
  <c r="A1026" i="4"/>
  <c r="I1025" i="4"/>
  <c r="H1025" i="4"/>
  <c r="G1025" i="4"/>
  <c r="F1025" i="4"/>
  <c r="E1025" i="4"/>
  <c r="D1025" i="4"/>
  <c r="C1025" i="4"/>
  <c r="B1025" i="4"/>
  <c r="A1025" i="4"/>
  <c r="H1024" i="4"/>
  <c r="G1024" i="4"/>
  <c r="F1024" i="4"/>
  <c r="E1024" i="4"/>
  <c r="D1024" i="4"/>
  <c r="C1024" i="4"/>
  <c r="B1024" i="4"/>
  <c r="A1024" i="4"/>
  <c r="I1023" i="4"/>
  <c r="H1023" i="4"/>
  <c r="G1023" i="4"/>
  <c r="F1023" i="4"/>
  <c r="E1023" i="4"/>
  <c r="D1023" i="4"/>
  <c r="C1023" i="4"/>
  <c r="B1023" i="4"/>
  <c r="A1023" i="4"/>
  <c r="H1022" i="4"/>
  <c r="G1022" i="4"/>
  <c r="F1022" i="4"/>
  <c r="E1022" i="4"/>
  <c r="D1022" i="4"/>
  <c r="C1022" i="4"/>
  <c r="B1022" i="4"/>
  <c r="A1022" i="4"/>
  <c r="H1021" i="4"/>
  <c r="G1021" i="4"/>
  <c r="F1021" i="4"/>
  <c r="E1021" i="4"/>
  <c r="D1021" i="4"/>
  <c r="I1021" i="4" s="1"/>
  <c r="C1021" i="4"/>
  <c r="B1021" i="4"/>
  <c r="A1021" i="4"/>
  <c r="H1020" i="4"/>
  <c r="G1020" i="4"/>
  <c r="F1020" i="4"/>
  <c r="E1020" i="4"/>
  <c r="D1020" i="4"/>
  <c r="C1020" i="4"/>
  <c r="B1020" i="4"/>
  <c r="A1020" i="4"/>
  <c r="H1019" i="4"/>
  <c r="G1019" i="4"/>
  <c r="F1019" i="4"/>
  <c r="E1019" i="4"/>
  <c r="D1019" i="4"/>
  <c r="I1019" i="4" s="1"/>
  <c r="C1019" i="4"/>
  <c r="B1019" i="4"/>
  <c r="A1019" i="4"/>
  <c r="I1018" i="4"/>
  <c r="H1018" i="4"/>
  <c r="G1018" i="4"/>
  <c r="F1018" i="4"/>
  <c r="E1018" i="4"/>
  <c r="D1018" i="4"/>
  <c r="C1018" i="4"/>
  <c r="B1018" i="4"/>
  <c r="A1018" i="4"/>
  <c r="H1017" i="4"/>
  <c r="G1017" i="4"/>
  <c r="F1017" i="4"/>
  <c r="E1017" i="4"/>
  <c r="D1017" i="4"/>
  <c r="C1017" i="4"/>
  <c r="B1017" i="4"/>
  <c r="A1017" i="4"/>
  <c r="H1016" i="4"/>
  <c r="G1016" i="4"/>
  <c r="F1016" i="4"/>
  <c r="E1016" i="4"/>
  <c r="D1016" i="4"/>
  <c r="C1016" i="4"/>
  <c r="I1016" i="4" s="1"/>
  <c r="B1016" i="4"/>
  <c r="A1016" i="4"/>
  <c r="H1015" i="4"/>
  <c r="G1015" i="4"/>
  <c r="F1015" i="4"/>
  <c r="E1015" i="4"/>
  <c r="D1015" i="4"/>
  <c r="C1015" i="4"/>
  <c r="I1015" i="4" s="1"/>
  <c r="B1015" i="4"/>
  <c r="A1015" i="4"/>
  <c r="H1014" i="4"/>
  <c r="G1014" i="4"/>
  <c r="F1014" i="4"/>
  <c r="E1014" i="4"/>
  <c r="D1014" i="4"/>
  <c r="C1014" i="4"/>
  <c r="B1014" i="4"/>
  <c r="A1014" i="4"/>
  <c r="H1013" i="4"/>
  <c r="G1013" i="4"/>
  <c r="F1013" i="4"/>
  <c r="E1013" i="4"/>
  <c r="D1013" i="4"/>
  <c r="C1013" i="4"/>
  <c r="B1013" i="4"/>
  <c r="A1013" i="4"/>
  <c r="H1012" i="4"/>
  <c r="G1012" i="4"/>
  <c r="F1012" i="4"/>
  <c r="E1012" i="4"/>
  <c r="D1012" i="4"/>
  <c r="I1012" i="4" s="1"/>
  <c r="C1012" i="4"/>
  <c r="B1012" i="4"/>
  <c r="A1012" i="4"/>
  <c r="I1011" i="4"/>
  <c r="H1011" i="4"/>
  <c r="G1011" i="4"/>
  <c r="F1011" i="4"/>
  <c r="E1011" i="4"/>
  <c r="D1011" i="4"/>
  <c r="C1011" i="4"/>
  <c r="B1011" i="4"/>
  <c r="A1011" i="4"/>
  <c r="H1010" i="4"/>
  <c r="G1010" i="4"/>
  <c r="F1010" i="4"/>
  <c r="I1010" i="4" s="1"/>
  <c r="E1010" i="4"/>
  <c r="D1010" i="4"/>
  <c r="C1010" i="4"/>
  <c r="B1010" i="4"/>
  <c r="A1010" i="4"/>
  <c r="I1009" i="4"/>
  <c r="H1009" i="4"/>
  <c r="G1009" i="4"/>
  <c r="F1009" i="4"/>
  <c r="E1009" i="4"/>
  <c r="D1009" i="4"/>
  <c r="C1009" i="4"/>
  <c r="B1009" i="4"/>
  <c r="A1009" i="4"/>
  <c r="H1008" i="4"/>
  <c r="G1008" i="4"/>
  <c r="F1008" i="4"/>
  <c r="E1008" i="4"/>
  <c r="D1008" i="4"/>
  <c r="I1008" i="4" s="1"/>
  <c r="C1008" i="4"/>
  <c r="B1008" i="4"/>
  <c r="A1008" i="4"/>
  <c r="I1007" i="4"/>
  <c r="H1007" i="4"/>
  <c r="G1007" i="4"/>
  <c r="F1007" i="4"/>
  <c r="E1007" i="4"/>
  <c r="D1007" i="4"/>
  <c r="C1007" i="4"/>
  <c r="B1007" i="4"/>
  <c r="A1007" i="4"/>
  <c r="H1006" i="4"/>
  <c r="G1006" i="4"/>
  <c r="F1006" i="4"/>
  <c r="E1006" i="4"/>
  <c r="I1006" i="4" s="1"/>
  <c r="D1006" i="4"/>
  <c r="C1006" i="4"/>
  <c r="B1006" i="4"/>
  <c r="A1006" i="4"/>
  <c r="H1005" i="4"/>
  <c r="G1005" i="4"/>
  <c r="F1005" i="4"/>
  <c r="E1005" i="4"/>
  <c r="D1005" i="4"/>
  <c r="C1005" i="4"/>
  <c r="B1005" i="4"/>
  <c r="A1005" i="4"/>
  <c r="H1004" i="4"/>
  <c r="G1004" i="4"/>
  <c r="F1004" i="4"/>
  <c r="E1004" i="4"/>
  <c r="D1004" i="4"/>
  <c r="C1004" i="4"/>
  <c r="B1004" i="4"/>
  <c r="A1004" i="4"/>
  <c r="H1003" i="4"/>
  <c r="G1003" i="4"/>
  <c r="F1003" i="4"/>
  <c r="E1003" i="4"/>
  <c r="D1003" i="4"/>
  <c r="C1003" i="4"/>
  <c r="B1003" i="4"/>
  <c r="A1003" i="4"/>
  <c r="I1002" i="4"/>
  <c r="H1002" i="4"/>
  <c r="G1002" i="4"/>
  <c r="F1002" i="4"/>
  <c r="E1002" i="4"/>
  <c r="D1002" i="4"/>
  <c r="C1002" i="4"/>
  <c r="B1002" i="4"/>
  <c r="A1002" i="4"/>
  <c r="H1001" i="4"/>
  <c r="G1001" i="4"/>
  <c r="F1001" i="4"/>
  <c r="E1001" i="4"/>
  <c r="D1001" i="4"/>
  <c r="C1001" i="4"/>
  <c r="B1001" i="4"/>
  <c r="A1001" i="4"/>
  <c r="H1000" i="4"/>
  <c r="G1000" i="4"/>
  <c r="F1000" i="4"/>
  <c r="E1000" i="4"/>
  <c r="D1000" i="4"/>
  <c r="C1000" i="4"/>
  <c r="I1000" i="4" s="1"/>
  <c r="B1000" i="4"/>
  <c r="A1000" i="4"/>
  <c r="H999" i="4"/>
  <c r="G999" i="4"/>
  <c r="F999" i="4"/>
  <c r="E999" i="4"/>
  <c r="I999" i="4" s="1"/>
  <c r="D999" i="4"/>
  <c r="C999" i="4"/>
  <c r="B999" i="4"/>
  <c r="A999" i="4"/>
  <c r="H998" i="4"/>
  <c r="G998" i="4"/>
  <c r="F998" i="4"/>
  <c r="E998" i="4"/>
  <c r="I998" i="4" s="1"/>
  <c r="D998" i="4"/>
  <c r="C998" i="4"/>
  <c r="B998" i="4"/>
  <c r="A998" i="4"/>
  <c r="H997" i="4"/>
  <c r="G997" i="4"/>
  <c r="F997" i="4"/>
  <c r="I997" i="4" s="1"/>
  <c r="E997" i="4"/>
  <c r="D997" i="4"/>
  <c r="C997" i="4"/>
  <c r="B997" i="4"/>
  <c r="A997" i="4"/>
  <c r="H996" i="4"/>
  <c r="G996" i="4"/>
  <c r="F996" i="4"/>
  <c r="E996" i="4"/>
  <c r="D996" i="4"/>
  <c r="C996" i="4"/>
  <c r="B996" i="4"/>
  <c r="A996" i="4"/>
  <c r="I995" i="4"/>
  <c r="H995" i="4"/>
  <c r="G995" i="4"/>
  <c r="F995" i="4"/>
  <c r="E995" i="4"/>
  <c r="D995" i="4"/>
  <c r="C995" i="4"/>
  <c r="B995" i="4"/>
  <c r="A995" i="4"/>
  <c r="H994" i="4"/>
  <c r="G994" i="4"/>
  <c r="F994" i="4"/>
  <c r="E994" i="4"/>
  <c r="D994" i="4"/>
  <c r="C994" i="4"/>
  <c r="B994" i="4"/>
  <c r="A994" i="4"/>
  <c r="I993" i="4"/>
  <c r="H993" i="4"/>
  <c r="G993" i="4"/>
  <c r="F993" i="4"/>
  <c r="E993" i="4"/>
  <c r="D993" i="4"/>
  <c r="C993" i="4"/>
  <c r="B993" i="4"/>
  <c r="A993" i="4"/>
  <c r="I992" i="4"/>
  <c r="H992" i="4"/>
  <c r="G992" i="4"/>
  <c r="F992" i="4"/>
  <c r="E992" i="4"/>
  <c r="D992" i="4"/>
  <c r="C992" i="4"/>
  <c r="B992" i="4"/>
  <c r="A992" i="4"/>
  <c r="I991" i="4"/>
  <c r="H991" i="4"/>
  <c r="G991" i="4"/>
  <c r="F991" i="4"/>
  <c r="E991" i="4"/>
  <c r="D991" i="4"/>
  <c r="C991" i="4"/>
  <c r="B991" i="4"/>
  <c r="A991" i="4"/>
  <c r="H990" i="4"/>
  <c r="G990" i="4"/>
  <c r="F990" i="4"/>
  <c r="E990" i="4"/>
  <c r="I990" i="4" s="1"/>
  <c r="D990" i="4"/>
  <c r="C990" i="4"/>
  <c r="B990" i="4"/>
  <c r="A990" i="4"/>
  <c r="H989" i="4"/>
  <c r="G989" i="4"/>
  <c r="F989" i="4"/>
  <c r="E989" i="4"/>
  <c r="D989" i="4"/>
  <c r="C989" i="4"/>
  <c r="B989" i="4"/>
  <c r="A989" i="4"/>
  <c r="H988" i="4"/>
  <c r="G988" i="4"/>
  <c r="F988" i="4"/>
  <c r="E988" i="4"/>
  <c r="D988" i="4"/>
  <c r="C988" i="4"/>
  <c r="B988" i="4"/>
  <c r="A988" i="4"/>
  <c r="H987" i="4"/>
  <c r="G987" i="4"/>
  <c r="F987" i="4"/>
  <c r="E987" i="4"/>
  <c r="D987" i="4"/>
  <c r="C987" i="4"/>
  <c r="B987" i="4"/>
  <c r="A987" i="4"/>
  <c r="I986" i="4"/>
  <c r="H986" i="4"/>
  <c r="G986" i="4"/>
  <c r="F986" i="4"/>
  <c r="E986" i="4"/>
  <c r="D986" i="4"/>
  <c r="C986" i="4"/>
  <c r="B986" i="4"/>
  <c r="A986" i="4"/>
  <c r="H985" i="4"/>
  <c r="G985" i="4"/>
  <c r="F985" i="4"/>
  <c r="E985" i="4"/>
  <c r="D985" i="4"/>
  <c r="C985" i="4"/>
  <c r="B985" i="4"/>
  <c r="A985" i="4"/>
  <c r="I984" i="4"/>
  <c r="H984" i="4"/>
  <c r="G984" i="4"/>
  <c r="F984" i="4"/>
  <c r="E984" i="4"/>
  <c r="D984" i="4"/>
  <c r="C984" i="4"/>
  <c r="B984" i="4"/>
  <c r="A984" i="4"/>
  <c r="H983" i="4"/>
  <c r="G983" i="4"/>
  <c r="F983" i="4"/>
  <c r="E983" i="4"/>
  <c r="D983" i="4"/>
  <c r="I983" i="4" s="1"/>
  <c r="C983" i="4"/>
  <c r="B983" i="4"/>
  <c r="A983" i="4"/>
  <c r="H982" i="4"/>
  <c r="G982" i="4"/>
  <c r="F982" i="4"/>
  <c r="E982" i="4"/>
  <c r="D982" i="4"/>
  <c r="C982" i="4"/>
  <c r="B982" i="4"/>
  <c r="A982" i="4"/>
  <c r="H981" i="4"/>
  <c r="G981" i="4"/>
  <c r="F981" i="4"/>
  <c r="E981" i="4"/>
  <c r="D981" i="4"/>
  <c r="I981" i="4" s="1"/>
  <c r="C981" i="4"/>
  <c r="B981" i="4"/>
  <c r="A981" i="4"/>
  <c r="H980" i="4"/>
  <c r="G980" i="4"/>
  <c r="F980" i="4"/>
  <c r="E980" i="4"/>
  <c r="D980" i="4"/>
  <c r="I980" i="4" s="1"/>
  <c r="C980" i="4"/>
  <c r="B980" i="4"/>
  <c r="A980" i="4"/>
  <c r="H979" i="4"/>
  <c r="G979" i="4"/>
  <c r="F979" i="4"/>
  <c r="E979" i="4"/>
  <c r="I979" i="4" s="1"/>
  <c r="D979" i="4"/>
  <c r="C979" i="4"/>
  <c r="B979" i="4"/>
  <c r="A979" i="4"/>
  <c r="H978" i="4"/>
  <c r="G978" i="4"/>
  <c r="F978" i="4"/>
  <c r="E978" i="4"/>
  <c r="I978" i="4" s="1"/>
  <c r="D978" i="4"/>
  <c r="C978" i="4"/>
  <c r="B978" i="4"/>
  <c r="A978" i="4"/>
  <c r="I977" i="4"/>
  <c r="H977" i="4"/>
  <c r="G977" i="4"/>
  <c r="F977" i="4"/>
  <c r="E977" i="4"/>
  <c r="D977" i="4"/>
  <c r="C977" i="4"/>
  <c r="B977" i="4"/>
  <c r="A977" i="4"/>
  <c r="H976" i="4"/>
  <c r="G976" i="4"/>
  <c r="F976" i="4"/>
  <c r="E976" i="4"/>
  <c r="D976" i="4"/>
  <c r="C976" i="4"/>
  <c r="B976" i="4"/>
  <c r="A976" i="4"/>
  <c r="I975" i="4"/>
  <c r="H975" i="4"/>
  <c r="G975" i="4"/>
  <c r="F975" i="4"/>
  <c r="E975" i="4"/>
  <c r="D975" i="4"/>
  <c r="C975" i="4"/>
  <c r="B975" i="4"/>
  <c r="A975" i="4"/>
  <c r="H974" i="4"/>
  <c r="G974" i="4"/>
  <c r="F974" i="4"/>
  <c r="E974" i="4"/>
  <c r="D974" i="4"/>
  <c r="I974" i="4" s="1"/>
  <c r="C974" i="4"/>
  <c r="B974" i="4"/>
  <c r="A974" i="4"/>
  <c r="H973" i="4"/>
  <c r="G973" i="4"/>
  <c r="F973" i="4"/>
  <c r="E973" i="4"/>
  <c r="D973" i="4"/>
  <c r="C973" i="4"/>
  <c r="B973" i="4"/>
  <c r="A973" i="4"/>
  <c r="H972" i="4"/>
  <c r="G972" i="4"/>
  <c r="F972" i="4"/>
  <c r="E972" i="4"/>
  <c r="D972" i="4"/>
  <c r="I972" i="4" s="1"/>
  <c r="C972" i="4"/>
  <c r="B972" i="4"/>
  <c r="A972" i="4"/>
  <c r="H971" i="4"/>
  <c r="G971" i="4"/>
  <c r="F971" i="4"/>
  <c r="E971" i="4"/>
  <c r="D971" i="4"/>
  <c r="C971" i="4"/>
  <c r="B971" i="4"/>
  <c r="A971" i="4"/>
  <c r="H970" i="4"/>
  <c r="G970" i="4"/>
  <c r="F970" i="4"/>
  <c r="I970" i="4" s="1"/>
  <c r="E970" i="4"/>
  <c r="D970" i="4"/>
  <c r="C970" i="4"/>
  <c r="B970" i="4"/>
  <c r="A970" i="4"/>
  <c r="H969" i="4"/>
  <c r="G969" i="4"/>
  <c r="F969" i="4"/>
  <c r="E969" i="4"/>
  <c r="D969" i="4"/>
  <c r="C969" i="4"/>
  <c r="B969" i="4"/>
  <c r="A969" i="4"/>
  <c r="H968" i="4"/>
  <c r="G968" i="4"/>
  <c r="F968" i="4"/>
  <c r="E968" i="4"/>
  <c r="D968" i="4"/>
  <c r="C968" i="4"/>
  <c r="I968" i="4" s="1"/>
  <c r="B968" i="4"/>
  <c r="A968" i="4"/>
  <c r="I967" i="4"/>
  <c r="H967" i="4"/>
  <c r="G967" i="4"/>
  <c r="F967" i="4"/>
  <c r="E967" i="4"/>
  <c r="D967" i="4"/>
  <c r="C967" i="4"/>
  <c r="B967" i="4"/>
  <c r="A967" i="4"/>
  <c r="H966" i="4"/>
  <c r="G966" i="4"/>
  <c r="F966" i="4"/>
  <c r="E966" i="4"/>
  <c r="I966" i="4" s="1"/>
  <c r="D966" i="4"/>
  <c r="C966" i="4"/>
  <c r="B966" i="4"/>
  <c r="A966" i="4"/>
  <c r="H965" i="4"/>
  <c r="G965" i="4"/>
  <c r="F965" i="4"/>
  <c r="E965" i="4"/>
  <c r="I965" i="4" s="1"/>
  <c r="D965" i="4"/>
  <c r="C965" i="4"/>
  <c r="B965" i="4"/>
  <c r="A965" i="4"/>
  <c r="H964" i="4"/>
  <c r="G964" i="4"/>
  <c r="F964" i="4"/>
  <c r="E964" i="4"/>
  <c r="D964" i="4"/>
  <c r="C964" i="4"/>
  <c r="B964" i="4"/>
  <c r="A964" i="4"/>
  <c r="I963" i="4"/>
  <c r="H963" i="4"/>
  <c r="G963" i="4"/>
  <c r="F963" i="4"/>
  <c r="E963" i="4"/>
  <c r="D963" i="4"/>
  <c r="C963" i="4"/>
  <c r="B963" i="4"/>
  <c r="A963" i="4"/>
  <c r="I962" i="4"/>
  <c r="H962" i="4"/>
  <c r="G962" i="4"/>
  <c r="F962" i="4"/>
  <c r="E962" i="4"/>
  <c r="D962" i="4"/>
  <c r="C962" i="4"/>
  <c r="B962" i="4"/>
  <c r="A962" i="4"/>
  <c r="I961" i="4"/>
  <c r="H961" i="4"/>
  <c r="G961" i="4"/>
  <c r="F961" i="4"/>
  <c r="E961" i="4"/>
  <c r="D961" i="4"/>
  <c r="C961" i="4"/>
  <c r="B961" i="4"/>
  <c r="A961" i="4"/>
  <c r="I960" i="4"/>
  <c r="H960" i="4"/>
  <c r="G960" i="4"/>
  <c r="F960" i="4"/>
  <c r="E960" i="4"/>
  <c r="D960" i="4"/>
  <c r="C960" i="4"/>
  <c r="B960" i="4"/>
  <c r="A960" i="4"/>
  <c r="H959" i="4"/>
  <c r="G959" i="4"/>
  <c r="F959" i="4"/>
  <c r="E959" i="4"/>
  <c r="D959" i="4"/>
  <c r="I959" i="4" s="1"/>
  <c r="C959" i="4"/>
  <c r="B959" i="4"/>
  <c r="A959" i="4"/>
  <c r="I958" i="4"/>
  <c r="H958" i="4"/>
  <c r="G958" i="4"/>
  <c r="F958" i="4"/>
  <c r="E958" i="4"/>
  <c r="D958" i="4"/>
  <c r="C958" i="4"/>
  <c r="B958" i="4"/>
  <c r="A958" i="4"/>
  <c r="H957" i="4"/>
  <c r="G957" i="4"/>
  <c r="F957" i="4"/>
  <c r="E957" i="4"/>
  <c r="D957" i="4"/>
  <c r="I957" i="4" s="1"/>
  <c r="C957" i="4"/>
  <c r="B957" i="4"/>
  <c r="A957" i="4"/>
  <c r="H956" i="4"/>
  <c r="G956" i="4"/>
  <c r="F956" i="4"/>
  <c r="E956" i="4"/>
  <c r="D956" i="4"/>
  <c r="I956" i="4" s="1"/>
  <c r="C956" i="4"/>
  <c r="B956" i="4"/>
  <c r="A956" i="4"/>
  <c r="H955" i="4"/>
  <c r="G955" i="4"/>
  <c r="F955" i="4"/>
  <c r="E955" i="4"/>
  <c r="D955" i="4"/>
  <c r="I955" i="4" s="1"/>
  <c r="C955" i="4"/>
  <c r="B955" i="4"/>
  <c r="A955" i="4"/>
  <c r="I954" i="4"/>
  <c r="H954" i="4"/>
  <c r="G954" i="4"/>
  <c r="F954" i="4"/>
  <c r="E954" i="4"/>
  <c r="D954" i="4"/>
  <c r="C954" i="4"/>
  <c r="B954" i="4"/>
  <c r="A954" i="4"/>
  <c r="H953" i="4"/>
  <c r="G953" i="4"/>
  <c r="F953" i="4"/>
  <c r="E953" i="4"/>
  <c r="D953" i="4"/>
  <c r="C953" i="4"/>
  <c r="B953" i="4"/>
  <c r="A953" i="4"/>
  <c r="H952" i="4"/>
  <c r="G952" i="4"/>
  <c r="F952" i="4"/>
  <c r="E952" i="4"/>
  <c r="D952" i="4"/>
  <c r="C952" i="4"/>
  <c r="I952" i="4" s="1"/>
  <c r="B952" i="4"/>
  <c r="A952" i="4"/>
  <c r="H951" i="4"/>
  <c r="G951" i="4"/>
  <c r="F951" i="4"/>
  <c r="E951" i="4"/>
  <c r="D951" i="4"/>
  <c r="C951" i="4"/>
  <c r="B951" i="4"/>
  <c r="A951" i="4"/>
  <c r="H950" i="4"/>
  <c r="G950" i="4"/>
  <c r="F950" i="4"/>
  <c r="E950" i="4"/>
  <c r="D950" i="4"/>
  <c r="C950" i="4"/>
  <c r="B950" i="4"/>
  <c r="A950" i="4"/>
  <c r="H949" i="4"/>
  <c r="G949" i="4"/>
  <c r="F949" i="4"/>
  <c r="E949" i="4"/>
  <c r="D949" i="4"/>
  <c r="C949" i="4"/>
  <c r="B949" i="4"/>
  <c r="A949" i="4"/>
  <c r="H948" i="4"/>
  <c r="G948" i="4"/>
  <c r="F948" i="4"/>
  <c r="E948" i="4"/>
  <c r="D948" i="4"/>
  <c r="I948" i="4" s="1"/>
  <c r="C948" i="4"/>
  <c r="B948" i="4"/>
  <c r="A948" i="4"/>
  <c r="H947" i="4"/>
  <c r="G947" i="4"/>
  <c r="F947" i="4"/>
  <c r="E947" i="4"/>
  <c r="I947" i="4" s="1"/>
  <c r="D947" i="4"/>
  <c r="C947" i="4"/>
  <c r="B947" i="4"/>
  <c r="A947" i="4"/>
  <c r="H946" i="4"/>
  <c r="G946" i="4"/>
  <c r="F946" i="4"/>
  <c r="E946" i="4"/>
  <c r="D946" i="4"/>
  <c r="C946" i="4"/>
  <c r="B946" i="4"/>
  <c r="A946" i="4"/>
  <c r="I945" i="4"/>
  <c r="H945" i="4"/>
  <c r="G945" i="4"/>
  <c r="F945" i="4"/>
  <c r="E945" i="4"/>
  <c r="D945" i="4"/>
  <c r="C945" i="4"/>
  <c r="B945" i="4"/>
  <c r="A945" i="4"/>
  <c r="H944" i="4"/>
  <c r="G944" i="4"/>
  <c r="F944" i="4"/>
  <c r="E944" i="4"/>
  <c r="D944" i="4"/>
  <c r="C944" i="4"/>
  <c r="B944" i="4"/>
  <c r="A944" i="4"/>
  <c r="I943" i="4"/>
  <c r="H943" i="4"/>
  <c r="G943" i="4"/>
  <c r="F943" i="4"/>
  <c r="E943" i="4"/>
  <c r="D943" i="4"/>
  <c r="C943" i="4"/>
  <c r="B943" i="4"/>
  <c r="A943" i="4"/>
  <c r="H942" i="4"/>
  <c r="G942" i="4"/>
  <c r="F942" i="4"/>
  <c r="E942" i="4"/>
  <c r="D942" i="4"/>
  <c r="C942" i="4"/>
  <c r="B942" i="4"/>
  <c r="A942" i="4"/>
  <c r="H941" i="4"/>
  <c r="G941" i="4"/>
  <c r="F941" i="4"/>
  <c r="E941" i="4"/>
  <c r="D941" i="4"/>
  <c r="C941" i="4"/>
  <c r="B941" i="4"/>
  <c r="A941" i="4"/>
  <c r="H940" i="4"/>
  <c r="G940" i="4"/>
  <c r="F940" i="4"/>
  <c r="E940" i="4"/>
  <c r="D940" i="4"/>
  <c r="I940" i="4" s="1"/>
  <c r="C940" i="4"/>
  <c r="B940" i="4"/>
  <c r="A940" i="4"/>
  <c r="H939" i="4"/>
  <c r="G939" i="4"/>
  <c r="F939" i="4"/>
  <c r="E939" i="4"/>
  <c r="D939" i="4"/>
  <c r="C939" i="4"/>
  <c r="B939" i="4"/>
  <c r="A939" i="4"/>
  <c r="H938" i="4"/>
  <c r="G938" i="4"/>
  <c r="F938" i="4"/>
  <c r="I938" i="4" s="1"/>
  <c r="E938" i="4"/>
  <c r="D938" i="4"/>
  <c r="C938" i="4"/>
  <c r="B938" i="4"/>
  <c r="A938" i="4"/>
  <c r="H937" i="4"/>
  <c r="G937" i="4"/>
  <c r="F937" i="4"/>
  <c r="E937" i="4"/>
  <c r="D937" i="4"/>
  <c r="C937" i="4"/>
  <c r="B937" i="4"/>
  <c r="A937" i="4"/>
  <c r="I936" i="4"/>
  <c r="H936" i="4"/>
  <c r="G936" i="4"/>
  <c r="F936" i="4"/>
  <c r="E936" i="4"/>
  <c r="D936" i="4"/>
  <c r="C936" i="4"/>
  <c r="B936" i="4"/>
  <c r="A936" i="4"/>
  <c r="I935" i="4"/>
  <c r="H935" i="4"/>
  <c r="G935" i="4"/>
  <c r="F935" i="4"/>
  <c r="E935" i="4"/>
  <c r="D935" i="4"/>
  <c r="C935" i="4"/>
  <c r="B935" i="4"/>
  <c r="A935" i="4"/>
  <c r="H934" i="4"/>
  <c r="G934" i="4"/>
  <c r="F934" i="4"/>
  <c r="E934" i="4"/>
  <c r="I934" i="4" s="1"/>
  <c r="D934" i="4"/>
  <c r="C934" i="4"/>
  <c r="B934" i="4"/>
  <c r="A934" i="4"/>
  <c r="H933" i="4"/>
  <c r="G933" i="4"/>
  <c r="F933" i="4"/>
  <c r="E933" i="4"/>
  <c r="D933" i="4"/>
  <c r="C933" i="4"/>
  <c r="B933" i="4"/>
  <c r="A933" i="4"/>
  <c r="H932" i="4"/>
  <c r="G932" i="4"/>
  <c r="F932" i="4"/>
  <c r="E932" i="4"/>
  <c r="D932" i="4"/>
  <c r="I932" i="4" s="1"/>
  <c r="C932" i="4"/>
  <c r="B932" i="4"/>
  <c r="A932" i="4"/>
  <c r="H931" i="4"/>
  <c r="G931" i="4"/>
  <c r="F931" i="4"/>
  <c r="E931" i="4"/>
  <c r="I931" i="4" s="1"/>
  <c r="D931" i="4"/>
  <c r="C931" i="4"/>
  <c r="B931" i="4"/>
  <c r="A931" i="4"/>
  <c r="H930" i="4"/>
  <c r="G930" i="4"/>
  <c r="F930" i="4"/>
  <c r="E930" i="4"/>
  <c r="D930" i="4"/>
  <c r="I930" i="4" s="1"/>
  <c r="C930" i="4"/>
  <c r="B930" i="4"/>
  <c r="A930" i="4"/>
  <c r="I929" i="4"/>
  <c r="H929" i="4"/>
  <c r="G929" i="4"/>
  <c r="F929" i="4"/>
  <c r="E929" i="4"/>
  <c r="D929" i="4"/>
  <c r="C929" i="4"/>
  <c r="B929" i="4"/>
  <c r="A929" i="4"/>
  <c r="H928" i="4"/>
  <c r="G928" i="4"/>
  <c r="F928" i="4"/>
  <c r="I928" i="4" s="1"/>
  <c r="E928" i="4"/>
  <c r="D928" i="4"/>
  <c r="C928" i="4"/>
  <c r="B928" i="4"/>
  <c r="A928" i="4"/>
  <c r="I927" i="4"/>
  <c r="H927" i="4"/>
  <c r="G927" i="4"/>
  <c r="F927" i="4"/>
  <c r="E927" i="4"/>
  <c r="D927" i="4"/>
  <c r="C927" i="4"/>
  <c r="B927" i="4"/>
  <c r="A927" i="4"/>
  <c r="H926" i="4"/>
  <c r="G926" i="4"/>
  <c r="F926" i="4"/>
  <c r="E926" i="4"/>
  <c r="D926" i="4"/>
  <c r="C926" i="4"/>
  <c r="B926" i="4"/>
  <c r="A926" i="4"/>
  <c r="H925" i="4"/>
  <c r="G925" i="4"/>
  <c r="F925" i="4"/>
  <c r="E925" i="4"/>
  <c r="D925" i="4"/>
  <c r="C925" i="4"/>
  <c r="B925" i="4"/>
  <c r="A925" i="4"/>
  <c r="H924" i="4"/>
  <c r="G924" i="4"/>
  <c r="F924" i="4"/>
  <c r="E924" i="4"/>
  <c r="D924" i="4"/>
  <c r="I924" i="4" s="1"/>
  <c r="C924" i="4"/>
  <c r="B924" i="4"/>
  <c r="A924" i="4"/>
  <c r="H923" i="4"/>
  <c r="G923" i="4"/>
  <c r="F923" i="4"/>
  <c r="E923" i="4"/>
  <c r="D923" i="4"/>
  <c r="C923" i="4"/>
  <c r="B923" i="4"/>
  <c r="A923" i="4"/>
  <c r="I922" i="4"/>
  <c r="H922" i="4"/>
  <c r="G922" i="4"/>
  <c r="F922" i="4"/>
  <c r="E922" i="4"/>
  <c r="D922" i="4"/>
  <c r="C922" i="4"/>
  <c r="B922" i="4"/>
  <c r="A922" i="4"/>
  <c r="H921" i="4"/>
  <c r="G921" i="4"/>
  <c r="F921" i="4"/>
  <c r="E921" i="4"/>
  <c r="D921" i="4"/>
  <c r="C921" i="4"/>
  <c r="B921" i="4"/>
  <c r="A921" i="4"/>
  <c r="H920" i="4"/>
  <c r="G920" i="4"/>
  <c r="F920" i="4"/>
  <c r="E920" i="4"/>
  <c r="D920" i="4"/>
  <c r="C920" i="4"/>
  <c r="I920" i="4" s="1"/>
  <c r="B920" i="4"/>
  <c r="A920" i="4"/>
  <c r="H919" i="4"/>
  <c r="G919" i="4"/>
  <c r="F919" i="4"/>
  <c r="E919" i="4"/>
  <c r="D919" i="4"/>
  <c r="C919" i="4"/>
  <c r="I919" i="4" s="1"/>
  <c r="B919" i="4"/>
  <c r="A919" i="4"/>
  <c r="H918" i="4"/>
  <c r="G918" i="4"/>
  <c r="F918" i="4"/>
  <c r="E918" i="4"/>
  <c r="I918" i="4" s="1"/>
  <c r="D918" i="4"/>
  <c r="C918" i="4"/>
  <c r="B918" i="4"/>
  <c r="A918" i="4"/>
  <c r="H917" i="4"/>
  <c r="G917" i="4"/>
  <c r="F917" i="4"/>
  <c r="E917" i="4"/>
  <c r="D917" i="4"/>
  <c r="I917" i="4" s="1"/>
  <c r="C917" i="4"/>
  <c r="B917" i="4"/>
  <c r="A917" i="4"/>
  <c r="H916" i="4"/>
  <c r="G916" i="4"/>
  <c r="F916" i="4"/>
  <c r="E916" i="4"/>
  <c r="D916" i="4"/>
  <c r="C916" i="4"/>
  <c r="B916" i="4"/>
  <c r="A916" i="4"/>
  <c r="H915" i="4"/>
  <c r="G915" i="4"/>
  <c r="F915" i="4"/>
  <c r="E915" i="4"/>
  <c r="I915" i="4" s="1"/>
  <c r="D915" i="4"/>
  <c r="C915" i="4"/>
  <c r="B915" i="4"/>
  <c r="A915" i="4"/>
  <c r="I914" i="4"/>
  <c r="H914" i="4"/>
  <c r="G914" i="4"/>
  <c r="F914" i="4"/>
  <c r="E914" i="4"/>
  <c r="D914" i="4"/>
  <c r="C914" i="4"/>
  <c r="B914" i="4"/>
  <c r="A914" i="4"/>
  <c r="I913" i="4"/>
  <c r="H913" i="4"/>
  <c r="G913" i="4"/>
  <c r="F913" i="4"/>
  <c r="E913" i="4"/>
  <c r="D913" i="4"/>
  <c r="C913" i="4"/>
  <c r="B913" i="4"/>
  <c r="A913" i="4"/>
  <c r="I912" i="4"/>
  <c r="H912" i="4"/>
  <c r="G912" i="4"/>
  <c r="F912" i="4"/>
  <c r="E912" i="4"/>
  <c r="D912" i="4"/>
  <c r="C912" i="4"/>
  <c r="B912" i="4"/>
  <c r="A912" i="4"/>
  <c r="H911" i="4"/>
  <c r="G911" i="4"/>
  <c r="F911" i="4"/>
  <c r="E911" i="4"/>
  <c r="D911" i="4"/>
  <c r="I911" i="4" s="1"/>
  <c r="C911" i="4"/>
  <c r="B911" i="4"/>
  <c r="A911" i="4"/>
  <c r="I910" i="4"/>
  <c r="H910" i="4"/>
  <c r="G910" i="4"/>
  <c r="F910" i="4"/>
  <c r="E910" i="4"/>
  <c r="D910" i="4"/>
  <c r="C910" i="4"/>
  <c r="B910" i="4"/>
  <c r="A910" i="4"/>
  <c r="H909" i="4"/>
  <c r="G909" i="4"/>
  <c r="F909" i="4"/>
  <c r="E909" i="4"/>
  <c r="D909" i="4"/>
  <c r="C909" i="4"/>
  <c r="B909" i="4"/>
  <c r="A909" i="4"/>
  <c r="H908" i="4"/>
  <c r="G908" i="4"/>
  <c r="F908" i="4"/>
  <c r="E908" i="4"/>
  <c r="D908" i="4"/>
  <c r="C908" i="4"/>
  <c r="B908" i="4"/>
  <c r="A908" i="4"/>
  <c r="H907" i="4"/>
  <c r="G907" i="4"/>
  <c r="F907" i="4"/>
  <c r="E907" i="4"/>
  <c r="D907" i="4"/>
  <c r="C907" i="4"/>
  <c r="B907" i="4"/>
  <c r="A907" i="4"/>
  <c r="I906" i="4"/>
  <c r="H906" i="4"/>
  <c r="G906" i="4"/>
  <c r="F906" i="4"/>
  <c r="E906" i="4"/>
  <c r="D906" i="4"/>
  <c r="C906" i="4"/>
  <c r="B906" i="4"/>
  <c r="A906" i="4"/>
  <c r="H905" i="4"/>
  <c r="G905" i="4"/>
  <c r="F905" i="4"/>
  <c r="E905" i="4"/>
  <c r="D905" i="4"/>
  <c r="I905" i="4" s="1"/>
  <c r="C905" i="4"/>
  <c r="B905" i="4"/>
  <c r="A905" i="4"/>
  <c r="I904" i="4"/>
  <c r="H904" i="4"/>
  <c r="G904" i="4"/>
  <c r="F904" i="4"/>
  <c r="E904" i="4"/>
  <c r="D904" i="4"/>
  <c r="C904" i="4"/>
  <c r="B904" i="4"/>
  <c r="A904" i="4"/>
  <c r="I903" i="4"/>
  <c r="H903" i="4"/>
  <c r="G903" i="4"/>
  <c r="F903" i="4"/>
  <c r="E903" i="4"/>
  <c r="D903" i="4"/>
  <c r="C903" i="4"/>
  <c r="B903" i="4"/>
  <c r="A903" i="4"/>
  <c r="H902" i="4"/>
  <c r="G902" i="4"/>
  <c r="F902" i="4"/>
  <c r="E902" i="4"/>
  <c r="I902" i="4" s="1"/>
  <c r="D902" i="4"/>
  <c r="C902" i="4"/>
  <c r="B902" i="4"/>
  <c r="A902" i="4"/>
  <c r="I901" i="4"/>
  <c r="H901" i="4"/>
  <c r="G901" i="4"/>
  <c r="F901" i="4"/>
  <c r="E901" i="4"/>
  <c r="D901" i="4"/>
  <c r="C901" i="4"/>
  <c r="B901" i="4"/>
  <c r="A901" i="4"/>
  <c r="H900" i="4"/>
  <c r="G900" i="4"/>
  <c r="F900" i="4"/>
  <c r="E900" i="4"/>
  <c r="D900" i="4"/>
  <c r="C900" i="4"/>
  <c r="B900" i="4"/>
  <c r="A900" i="4"/>
  <c r="I899" i="4"/>
  <c r="H899" i="4"/>
  <c r="G899" i="4"/>
  <c r="F899" i="4"/>
  <c r="E899" i="4"/>
  <c r="D899" i="4"/>
  <c r="C899" i="4"/>
  <c r="B899" i="4"/>
  <c r="A899" i="4"/>
  <c r="H898" i="4"/>
  <c r="G898" i="4"/>
  <c r="F898" i="4"/>
  <c r="E898" i="4"/>
  <c r="D898" i="4"/>
  <c r="I898" i="4" s="1"/>
  <c r="C898" i="4"/>
  <c r="B898" i="4"/>
  <c r="A898" i="4"/>
  <c r="I897" i="4"/>
  <c r="H897" i="4"/>
  <c r="G897" i="4"/>
  <c r="F897" i="4"/>
  <c r="E897" i="4"/>
  <c r="D897" i="4"/>
  <c r="C897" i="4"/>
  <c r="B897" i="4"/>
  <c r="A897" i="4"/>
  <c r="H896" i="4"/>
  <c r="G896" i="4"/>
  <c r="F896" i="4"/>
  <c r="E896" i="4"/>
  <c r="D896" i="4"/>
  <c r="C896" i="4"/>
  <c r="B896" i="4"/>
  <c r="A896" i="4"/>
  <c r="I895" i="4"/>
  <c r="H895" i="4"/>
  <c r="G895" i="4"/>
  <c r="F895" i="4"/>
  <c r="E895" i="4"/>
  <c r="D895" i="4"/>
  <c r="C895" i="4"/>
  <c r="B895" i="4"/>
  <c r="A895" i="4"/>
  <c r="H894" i="4"/>
  <c r="G894" i="4"/>
  <c r="F894" i="4"/>
  <c r="E894" i="4"/>
  <c r="D894" i="4"/>
  <c r="C894" i="4"/>
  <c r="B894" i="4"/>
  <c r="A894" i="4"/>
  <c r="H893" i="4"/>
  <c r="G893" i="4"/>
  <c r="F893" i="4"/>
  <c r="E893" i="4"/>
  <c r="D893" i="4"/>
  <c r="I893" i="4" s="1"/>
  <c r="C893" i="4"/>
  <c r="B893" i="4"/>
  <c r="A893" i="4"/>
  <c r="H892" i="4"/>
  <c r="G892" i="4"/>
  <c r="F892" i="4"/>
  <c r="E892" i="4"/>
  <c r="D892" i="4"/>
  <c r="I892" i="4" s="1"/>
  <c r="C892" i="4"/>
  <c r="B892" i="4"/>
  <c r="A892" i="4"/>
  <c r="H891" i="4"/>
  <c r="G891" i="4"/>
  <c r="F891" i="4"/>
  <c r="E891" i="4"/>
  <c r="D891" i="4"/>
  <c r="I891" i="4" s="1"/>
  <c r="C891" i="4"/>
  <c r="B891" i="4"/>
  <c r="A891" i="4"/>
  <c r="H890" i="4"/>
  <c r="G890" i="4"/>
  <c r="F890" i="4"/>
  <c r="I890" i="4" s="1"/>
  <c r="E890" i="4"/>
  <c r="D890" i="4"/>
  <c r="C890" i="4"/>
  <c r="B890" i="4"/>
  <c r="A890" i="4"/>
  <c r="H889" i="4"/>
  <c r="G889" i="4"/>
  <c r="F889" i="4"/>
  <c r="E889" i="4"/>
  <c r="D889" i="4"/>
  <c r="C889" i="4"/>
  <c r="B889" i="4"/>
  <c r="A889" i="4"/>
  <c r="I888" i="4"/>
  <c r="H888" i="4"/>
  <c r="G888" i="4"/>
  <c r="F888" i="4"/>
  <c r="E888" i="4"/>
  <c r="D888" i="4"/>
  <c r="C888" i="4"/>
  <c r="B888" i="4"/>
  <c r="A888" i="4"/>
  <c r="H887" i="4"/>
  <c r="G887" i="4"/>
  <c r="F887" i="4"/>
  <c r="E887" i="4"/>
  <c r="D887" i="4"/>
  <c r="C887" i="4"/>
  <c r="I887" i="4" s="1"/>
  <c r="B887" i="4"/>
  <c r="A887" i="4"/>
  <c r="H886" i="4"/>
  <c r="G886" i="4"/>
  <c r="F886" i="4"/>
  <c r="E886" i="4"/>
  <c r="I886" i="4" s="1"/>
  <c r="D886" i="4"/>
  <c r="C886" i="4"/>
  <c r="B886" i="4"/>
  <c r="A886" i="4"/>
  <c r="H885" i="4"/>
  <c r="G885" i="4"/>
  <c r="F885" i="4"/>
  <c r="E885" i="4"/>
  <c r="D885" i="4"/>
  <c r="C885" i="4"/>
  <c r="B885" i="4"/>
  <c r="A885" i="4"/>
  <c r="H884" i="4"/>
  <c r="G884" i="4"/>
  <c r="F884" i="4"/>
  <c r="E884" i="4"/>
  <c r="D884" i="4"/>
  <c r="I884" i="4" s="1"/>
  <c r="C884" i="4"/>
  <c r="B884" i="4"/>
  <c r="A884" i="4"/>
  <c r="H883" i="4"/>
  <c r="G883" i="4"/>
  <c r="F883" i="4"/>
  <c r="E883" i="4"/>
  <c r="I883" i="4" s="1"/>
  <c r="D883" i="4"/>
  <c r="C883" i="4"/>
  <c r="B883" i="4"/>
  <c r="A883" i="4"/>
  <c r="H882" i="4"/>
  <c r="G882" i="4"/>
  <c r="F882" i="4"/>
  <c r="I882" i="4" s="1"/>
  <c r="E882" i="4"/>
  <c r="D882" i="4"/>
  <c r="C882" i="4"/>
  <c r="B882" i="4"/>
  <c r="A882" i="4"/>
  <c r="I881" i="4"/>
  <c r="H881" i="4"/>
  <c r="G881" i="4"/>
  <c r="F881" i="4"/>
  <c r="E881" i="4"/>
  <c r="D881" i="4"/>
  <c r="C881" i="4"/>
  <c r="B881" i="4"/>
  <c r="A881" i="4"/>
  <c r="I880" i="4"/>
  <c r="H880" i="4"/>
  <c r="G880" i="4"/>
  <c r="F880" i="4"/>
  <c r="E880" i="4"/>
  <c r="D880" i="4"/>
  <c r="C880" i="4"/>
  <c r="B880" i="4"/>
  <c r="A880" i="4"/>
  <c r="H879" i="4"/>
  <c r="G879" i="4"/>
  <c r="F879" i="4"/>
  <c r="E879" i="4"/>
  <c r="D879" i="4"/>
  <c r="I879" i="4" s="1"/>
  <c r="C879" i="4"/>
  <c r="B879" i="4"/>
  <c r="A879" i="4"/>
  <c r="H878" i="4"/>
  <c r="G878" i="4"/>
  <c r="F878" i="4"/>
  <c r="E878" i="4"/>
  <c r="I878" i="4" s="1"/>
  <c r="D878" i="4"/>
  <c r="C878" i="4"/>
  <c r="B878" i="4"/>
  <c r="A878" i="4"/>
  <c r="H877" i="4"/>
  <c r="G877" i="4"/>
  <c r="F877" i="4"/>
  <c r="E877" i="4"/>
  <c r="D877" i="4"/>
  <c r="C877" i="4"/>
  <c r="B877" i="4"/>
  <c r="A877" i="4"/>
  <c r="H876" i="4"/>
  <c r="G876" i="4"/>
  <c r="F876" i="4"/>
  <c r="E876" i="4"/>
  <c r="D876" i="4"/>
  <c r="C876" i="4"/>
  <c r="B876" i="4"/>
  <c r="A876" i="4"/>
  <c r="H875" i="4"/>
  <c r="G875" i="4"/>
  <c r="F875" i="4"/>
  <c r="E875" i="4"/>
  <c r="D875" i="4"/>
  <c r="C875" i="4"/>
  <c r="B875" i="4"/>
  <c r="A875" i="4"/>
  <c r="I874" i="4"/>
  <c r="H874" i="4"/>
  <c r="G874" i="4"/>
  <c r="F874" i="4"/>
  <c r="E874" i="4"/>
  <c r="D874" i="4"/>
  <c r="C874" i="4"/>
  <c r="B874" i="4"/>
  <c r="A874" i="4"/>
  <c r="H873" i="4"/>
  <c r="G873" i="4"/>
  <c r="F873" i="4"/>
  <c r="E873" i="4"/>
  <c r="D873" i="4"/>
  <c r="C873" i="4"/>
  <c r="B873" i="4"/>
  <c r="A873" i="4"/>
  <c r="H872" i="4"/>
  <c r="G872" i="4"/>
  <c r="F872" i="4"/>
  <c r="E872" i="4"/>
  <c r="D872" i="4"/>
  <c r="C872" i="4"/>
  <c r="I872" i="4" s="1"/>
  <c r="B872" i="4"/>
  <c r="A872" i="4"/>
  <c r="H871" i="4"/>
  <c r="G871" i="4"/>
  <c r="F871" i="4"/>
  <c r="E871" i="4"/>
  <c r="I871" i="4" s="1"/>
  <c r="D871" i="4"/>
  <c r="C871" i="4"/>
  <c r="B871" i="4"/>
  <c r="A871" i="4"/>
  <c r="H870" i="4"/>
  <c r="G870" i="4"/>
  <c r="F870" i="4"/>
  <c r="E870" i="4"/>
  <c r="D870" i="4"/>
  <c r="C870" i="4"/>
  <c r="B870" i="4"/>
  <c r="A870" i="4"/>
  <c r="H869" i="4"/>
  <c r="G869" i="4"/>
  <c r="F869" i="4"/>
  <c r="I869" i="4" s="1"/>
  <c r="E869" i="4"/>
  <c r="D869" i="4"/>
  <c r="C869" i="4"/>
  <c r="B869" i="4"/>
  <c r="A869" i="4"/>
  <c r="H868" i="4"/>
  <c r="G868" i="4"/>
  <c r="F868" i="4"/>
  <c r="E868" i="4"/>
  <c r="D868" i="4"/>
  <c r="C868" i="4"/>
  <c r="B868" i="4"/>
  <c r="A868" i="4"/>
  <c r="I867" i="4"/>
  <c r="H867" i="4"/>
  <c r="G867" i="4"/>
  <c r="F867" i="4"/>
  <c r="E867" i="4"/>
  <c r="D867" i="4"/>
  <c r="C867" i="4"/>
  <c r="B867" i="4"/>
  <c r="A867" i="4"/>
  <c r="H866" i="4"/>
  <c r="G866" i="4"/>
  <c r="F866" i="4"/>
  <c r="E866" i="4"/>
  <c r="D866" i="4"/>
  <c r="I866" i="4" s="1"/>
  <c r="C866" i="4"/>
  <c r="B866" i="4"/>
  <c r="A866" i="4"/>
  <c r="I865" i="4"/>
  <c r="H865" i="4"/>
  <c r="G865" i="4"/>
  <c r="F865" i="4"/>
  <c r="E865" i="4"/>
  <c r="D865" i="4"/>
  <c r="C865" i="4"/>
  <c r="B865" i="4"/>
  <c r="A865" i="4"/>
  <c r="H864" i="4"/>
  <c r="G864" i="4"/>
  <c r="F864" i="4"/>
  <c r="E864" i="4"/>
  <c r="D864" i="4"/>
  <c r="C864" i="4"/>
  <c r="B864" i="4"/>
  <c r="A864" i="4"/>
  <c r="I863" i="4"/>
  <c r="H863" i="4"/>
  <c r="G863" i="4"/>
  <c r="F863" i="4"/>
  <c r="E863" i="4"/>
  <c r="D863" i="4"/>
  <c r="C863" i="4"/>
  <c r="B863" i="4"/>
  <c r="A863" i="4"/>
  <c r="H862" i="4"/>
  <c r="G862" i="4"/>
  <c r="F862" i="4"/>
  <c r="E862" i="4"/>
  <c r="D862" i="4"/>
  <c r="I862" i="4" s="1"/>
  <c r="C862" i="4"/>
  <c r="B862" i="4"/>
  <c r="A862" i="4"/>
  <c r="H861" i="4"/>
  <c r="G861" i="4"/>
  <c r="F861" i="4"/>
  <c r="E861" i="4"/>
  <c r="D861" i="4"/>
  <c r="I861" i="4" s="1"/>
  <c r="C861" i="4"/>
  <c r="B861" i="4"/>
  <c r="A861" i="4"/>
  <c r="H860" i="4"/>
  <c r="G860" i="4"/>
  <c r="F860" i="4"/>
  <c r="E860" i="4"/>
  <c r="D860" i="4"/>
  <c r="I860" i="4" s="1"/>
  <c r="C860" i="4"/>
  <c r="B860" i="4"/>
  <c r="A860" i="4"/>
  <c r="H859" i="4"/>
  <c r="G859" i="4"/>
  <c r="F859" i="4"/>
  <c r="E859" i="4"/>
  <c r="D859" i="4"/>
  <c r="I859" i="4" s="1"/>
  <c r="C859" i="4"/>
  <c r="B859" i="4"/>
  <c r="A859" i="4"/>
  <c r="H858" i="4"/>
  <c r="G858" i="4"/>
  <c r="F858" i="4"/>
  <c r="I858" i="4" s="1"/>
  <c r="E858" i="4"/>
  <c r="D858" i="4"/>
  <c r="C858" i="4"/>
  <c r="B858" i="4"/>
  <c r="A858" i="4"/>
  <c r="H857" i="4"/>
  <c r="G857" i="4"/>
  <c r="F857" i="4"/>
  <c r="E857" i="4"/>
  <c r="D857" i="4"/>
  <c r="C857" i="4"/>
  <c r="B857" i="4"/>
  <c r="A857" i="4"/>
  <c r="I856" i="4"/>
  <c r="H856" i="4"/>
  <c r="G856" i="4"/>
  <c r="F856" i="4"/>
  <c r="E856" i="4"/>
  <c r="D856" i="4"/>
  <c r="C856" i="4"/>
  <c r="B856" i="4"/>
  <c r="A856" i="4"/>
  <c r="H855" i="4"/>
  <c r="G855" i="4"/>
  <c r="F855" i="4"/>
  <c r="E855" i="4"/>
  <c r="D855" i="4"/>
  <c r="C855" i="4"/>
  <c r="B855" i="4"/>
  <c r="A855" i="4"/>
  <c r="H854" i="4"/>
  <c r="G854" i="4"/>
  <c r="F854" i="4"/>
  <c r="E854" i="4"/>
  <c r="D854" i="4"/>
  <c r="C854" i="4"/>
  <c r="B854" i="4"/>
  <c r="A854" i="4"/>
  <c r="H853" i="4"/>
  <c r="G853" i="4"/>
  <c r="F853" i="4"/>
  <c r="E853" i="4"/>
  <c r="D853" i="4"/>
  <c r="C853" i="4"/>
  <c r="B853" i="4"/>
  <c r="A853" i="4"/>
  <c r="H852" i="4"/>
  <c r="G852" i="4"/>
  <c r="F852" i="4"/>
  <c r="E852" i="4"/>
  <c r="D852" i="4"/>
  <c r="I852" i="4" s="1"/>
  <c r="C852" i="4"/>
  <c r="B852" i="4"/>
  <c r="A852" i="4"/>
  <c r="H851" i="4"/>
  <c r="G851" i="4"/>
  <c r="F851" i="4"/>
  <c r="E851" i="4"/>
  <c r="I851" i="4" s="1"/>
  <c r="D851" i="4"/>
  <c r="C851" i="4"/>
  <c r="B851" i="4"/>
  <c r="A851" i="4"/>
  <c r="H850" i="4"/>
  <c r="G850" i="4"/>
  <c r="F850" i="4"/>
  <c r="E850" i="4"/>
  <c r="I850" i="4" s="1"/>
  <c r="D850" i="4"/>
  <c r="C850" i="4"/>
  <c r="B850" i="4"/>
  <c r="A850" i="4"/>
  <c r="I849" i="4"/>
  <c r="H849" i="4"/>
  <c r="G849" i="4"/>
  <c r="F849" i="4"/>
  <c r="E849" i="4"/>
  <c r="D849" i="4"/>
  <c r="C849" i="4"/>
  <c r="B849" i="4"/>
  <c r="A849" i="4"/>
  <c r="H848" i="4"/>
  <c r="G848" i="4"/>
  <c r="F848" i="4"/>
  <c r="E848" i="4"/>
  <c r="D848" i="4"/>
  <c r="I848" i="4" s="1"/>
  <c r="C848" i="4"/>
  <c r="B848" i="4"/>
  <c r="A848" i="4"/>
  <c r="I847" i="4"/>
  <c r="H847" i="4"/>
  <c r="G847" i="4"/>
  <c r="F847" i="4"/>
  <c r="E847" i="4"/>
  <c r="D847" i="4"/>
  <c r="C847" i="4"/>
  <c r="B847" i="4"/>
  <c r="A847" i="4"/>
  <c r="H846" i="4"/>
  <c r="G846" i="4"/>
  <c r="F846" i="4"/>
  <c r="E846" i="4"/>
  <c r="D846" i="4"/>
  <c r="C846" i="4"/>
  <c r="B846" i="4"/>
  <c r="A846" i="4"/>
  <c r="H845" i="4"/>
  <c r="G845" i="4"/>
  <c r="F845" i="4"/>
  <c r="E845" i="4"/>
  <c r="D845" i="4"/>
  <c r="C845" i="4"/>
  <c r="B845" i="4"/>
  <c r="A845" i="4"/>
  <c r="H844" i="4"/>
  <c r="G844" i="4"/>
  <c r="F844" i="4"/>
  <c r="E844" i="4"/>
  <c r="D844" i="4"/>
  <c r="C844" i="4"/>
  <c r="B844" i="4"/>
  <c r="A844" i="4"/>
  <c r="H843" i="4"/>
  <c r="G843" i="4"/>
  <c r="F843" i="4"/>
  <c r="E843" i="4"/>
  <c r="D843" i="4"/>
  <c r="C843" i="4"/>
  <c r="B843" i="4"/>
  <c r="A843" i="4"/>
  <c r="H842" i="4"/>
  <c r="G842" i="4"/>
  <c r="F842" i="4"/>
  <c r="I842" i="4" s="1"/>
  <c r="E842" i="4"/>
  <c r="D842" i="4"/>
  <c r="C842" i="4"/>
  <c r="B842" i="4"/>
  <c r="A842" i="4"/>
  <c r="H841" i="4"/>
  <c r="G841" i="4"/>
  <c r="F841" i="4"/>
  <c r="E841" i="4"/>
  <c r="D841" i="4"/>
  <c r="C841" i="4"/>
  <c r="B841" i="4"/>
  <c r="A841" i="4"/>
  <c r="H840" i="4"/>
  <c r="G840" i="4"/>
  <c r="F840" i="4"/>
  <c r="E840" i="4"/>
  <c r="D840" i="4"/>
  <c r="C840" i="4"/>
  <c r="I840" i="4" s="1"/>
  <c r="B840" i="4"/>
  <c r="A840" i="4"/>
  <c r="H839" i="4"/>
  <c r="G839" i="4"/>
  <c r="F839" i="4"/>
  <c r="E839" i="4"/>
  <c r="I839" i="4" s="1"/>
  <c r="D839" i="4"/>
  <c r="C839" i="4"/>
  <c r="B839" i="4"/>
  <c r="A839" i="4"/>
  <c r="H838" i="4"/>
  <c r="G838" i="4"/>
  <c r="F838" i="4"/>
  <c r="E838" i="4"/>
  <c r="D838" i="4"/>
  <c r="C838" i="4"/>
  <c r="B838" i="4"/>
  <c r="A838" i="4"/>
  <c r="H837" i="4"/>
  <c r="G837" i="4"/>
  <c r="F837" i="4"/>
  <c r="E837" i="4"/>
  <c r="I837" i="4" s="1"/>
  <c r="D837" i="4"/>
  <c r="C837" i="4"/>
  <c r="B837" i="4"/>
  <c r="A837" i="4"/>
  <c r="H836" i="4"/>
  <c r="G836" i="4"/>
  <c r="F836" i="4"/>
  <c r="E836" i="4"/>
  <c r="D836" i="4"/>
  <c r="C836" i="4"/>
  <c r="B836" i="4"/>
  <c r="A836" i="4"/>
  <c r="I835" i="4"/>
  <c r="H835" i="4"/>
  <c r="G835" i="4"/>
  <c r="F835" i="4"/>
  <c r="E835" i="4"/>
  <c r="D835" i="4"/>
  <c r="C835" i="4"/>
  <c r="B835" i="4"/>
  <c r="A835" i="4"/>
  <c r="I834" i="4"/>
  <c r="H834" i="4"/>
  <c r="G834" i="4"/>
  <c r="F834" i="4"/>
  <c r="E834" i="4"/>
  <c r="D834" i="4"/>
  <c r="C834" i="4"/>
  <c r="B834" i="4"/>
  <c r="A834" i="4"/>
  <c r="I833" i="4"/>
  <c r="H833" i="4"/>
  <c r="G833" i="4"/>
  <c r="F833" i="4"/>
  <c r="E833" i="4"/>
  <c r="D833" i="4"/>
  <c r="C833" i="4"/>
  <c r="B833" i="4"/>
  <c r="A833" i="4"/>
  <c r="I832" i="4"/>
  <c r="H832" i="4"/>
  <c r="G832" i="4"/>
  <c r="F832" i="4"/>
  <c r="E832" i="4"/>
  <c r="D832" i="4"/>
  <c r="C832" i="4"/>
  <c r="B832" i="4"/>
  <c r="A832" i="4"/>
  <c r="H831" i="4"/>
  <c r="G831" i="4"/>
  <c r="F831" i="4"/>
  <c r="E831" i="4"/>
  <c r="D831" i="4"/>
  <c r="I831" i="4" s="1"/>
  <c r="C831" i="4"/>
  <c r="B831" i="4"/>
  <c r="A831" i="4"/>
  <c r="H830" i="4"/>
  <c r="G830" i="4"/>
  <c r="F830" i="4"/>
  <c r="E830" i="4"/>
  <c r="D830" i="4"/>
  <c r="I830" i="4" s="1"/>
  <c r="C830" i="4"/>
  <c r="B830" i="4"/>
  <c r="A830" i="4"/>
  <c r="H829" i="4"/>
  <c r="G829" i="4"/>
  <c r="F829" i="4"/>
  <c r="E829" i="4"/>
  <c r="D829" i="4"/>
  <c r="I829" i="4" s="1"/>
  <c r="C829" i="4"/>
  <c r="B829" i="4"/>
  <c r="A829" i="4"/>
  <c r="H828" i="4"/>
  <c r="G828" i="4"/>
  <c r="F828" i="4"/>
  <c r="E828" i="4"/>
  <c r="D828" i="4"/>
  <c r="I828" i="4" s="1"/>
  <c r="C828" i="4"/>
  <c r="B828" i="4"/>
  <c r="A828" i="4"/>
  <c r="H827" i="4"/>
  <c r="G827" i="4"/>
  <c r="F827" i="4"/>
  <c r="E827" i="4"/>
  <c r="D827" i="4"/>
  <c r="I827" i="4" s="1"/>
  <c r="C827" i="4"/>
  <c r="B827" i="4"/>
  <c r="A827" i="4"/>
  <c r="I826" i="4"/>
  <c r="H826" i="4"/>
  <c r="G826" i="4"/>
  <c r="F826" i="4"/>
  <c r="E826" i="4"/>
  <c r="D826" i="4"/>
  <c r="C826" i="4"/>
  <c r="B826" i="4"/>
  <c r="A826" i="4"/>
  <c r="H825" i="4"/>
  <c r="G825" i="4"/>
  <c r="F825" i="4"/>
  <c r="E825" i="4"/>
  <c r="D825" i="4"/>
  <c r="C825" i="4"/>
  <c r="B825" i="4"/>
  <c r="A825" i="4"/>
  <c r="H824" i="4"/>
  <c r="G824" i="4"/>
  <c r="F824" i="4"/>
  <c r="E824" i="4"/>
  <c r="D824" i="4"/>
  <c r="C824" i="4"/>
  <c r="I824" i="4" s="1"/>
  <c r="B824" i="4"/>
  <c r="A824" i="4"/>
  <c r="I823" i="4"/>
  <c r="H823" i="4"/>
  <c r="G823" i="4"/>
  <c r="F823" i="4"/>
  <c r="E823" i="4"/>
  <c r="D823" i="4"/>
  <c r="C823" i="4"/>
  <c r="B823" i="4"/>
  <c r="A823" i="4"/>
  <c r="H822" i="4"/>
  <c r="G822" i="4"/>
  <c r="F822" i="4"/>
  <c r="E822" i="4"/>
  <c r="D822" i="4"/>
  <c r="C822" i="4"/>
  <c r="B822" i="4"/>
  <c r="A822" i="4"/>
  <c r="I821" i="4"/>
  <c r="H821" i="4"/>
  <c r="G821" i="4"/>
  <c r="F821" i="4"/>
  <c r="E821" i="4"/>
  <c r="D821" i="4"/>
  <c r="C821" i="4"/>
  <c r="B821" i="4"/>
  <c r="A821" i="4"/>
  <c r="H820" i="4"/>
  <c r="G820" i="4"/>
  <c r="F820" i="4"/>
  <c r="E820" i="4"/>
  <c r="D820" i="4"/>
  <c r="I820" i="4" s="1"/>
  <c r="C820" i="4"/>
  <c r="B820" i="4"/>
  <c r="A820" i="4"/>
  <c r="I819" i="4"/>
  <c r="H819" i="4"/>
  <c r="G819" i="4"/>
  <c r="F819" i="4"/>
  <c r="E819" i="4"/>
  <c r="D819" i="4"/>
  <c r="C819" i="4"/>
  <c r="B819" i="4"/>
  <c r="A819" i="4"/>
  <c r="H818" i="4"/>
  <c r="G818" i="4"/>
  <c r="F818" i="4"/>
  <c r="E818" i="4"/>
  <c r="D818" i="4"/>
  <c r="C818" i="4"/>
  <c r="B818" i="4"/>
  <c r="A818" i="4"/>
  <c r="I817" i="4"/>
  <c r="H817" i="4"/>
  <c r="G817" i="4"/>
  <c r="F817" i="4"/>
  <c r="E817" i="4"/>
  <c r="D817" i="4"/>
  <c r="C817" i="4"/>
  <c r="B817" i="4"/>
  <c r="A817" i="4"/>
  <c r="H816" i="4"/>
  <c r="G816" i="4"/>
  <c r="F816" i="4"/>
  <c r="E816" i="4"/>
  <c r="D816" i="4"/>
  <c r="C816" i="4"/>
  <c r="B816" i="4"/>
  <c r="A816" i="4"/>
  <c r="I815" i="4"/>
  <c r="H815" i="4"/>
  <c r="G815" i="4"/>
  <c r="F815" i="4"/>
  <c r="E815" i="4"/>
  <c r="D815" i="4"/>
  <c r="C815" i="4"/>
  <c r="B815" i="4"/>
  <c r="A815" i="4"/>
  <c r="H814" i="4"/>
  <c r="G814" i="4"/>
  <c r="F814" i="4"/>
  <c r="E814" i="4"/>
  <c r="D814" i="4"/>
  <c r="I814" i="4" s="1"/>
  <c r="C814" i="4"/>
  <c r="B814" i="4"/>
  <c r="A814" i="4"/>
  <c r="H813" i="4"/>
  <c r="G813" i="4"/>
  <c r="F813" i="4"/>
  <c r="E813" i="4"/>
  <c r="D813" i="4"/>
  <c r="C813" i="4"/>
  <c r="B813" i="4"/>
  <c r="A813" i="4"/>
  <c r="H812" i="4"/>
  <c r="G812" i="4"/>
  <c r="F812" i="4"/>
  <c r="E812" i="4"/>
  <c r="D812" i="4"/>
  <c r="I812" i="4" s="1"/>
  <c r="C812" i="4"/>
  <c r="B812" i="4"/>
  <c r="A812" i="4"/>
  <c r="H811" i="4"/>
  <c r="G811" i="4"/>
  <c r="F811" i="4"/>
  <c r="E811" i="4"/>
  <c r="D811" i="4"/>
  <c r="C811" i="4"/>
  <c r="B811" i="4"/>
  <c r="A811" i="4"/>
  <c r="I810" i="4"/>
  <c r="H810" i="4"/>
  <c r="G810" i="4"/>
  <c r="F810" i="4"/>
  <c r="E810" i="4"/>
  <c r="D810" i="4"/>
  <c r="C810" i="4"/>
  <c r="B810" i="4"/>
  <c r="A810" i="4"/>
  <c r="H809" i="4"/>
  <c r="G809" i="4"/>
  <c r="F809" i="4"/>
  <c r="E809" i="4"/>
  <c r="D809" i="4"/>
  <c r="C809" i="4"/>
  <c r="B809" i="4"/>
  <c r="A809" i="4"/>
  <c r="I808" i="4"/>
  <c r="H808" i="4"/>
  <c r="G808" i="4"/>
  <c r="F808" i="4"/>
  <c r="E808" i="4"/>
  <c r="D808" i="4"/>
  <c r="C808" i="4"/>
  <c r="B808" i="4"/>
  <c r="A808" i="4"/>
  <c r="H807" i="4"/>
  <c r="G807" i="4"/>
  <c r="F807" i="4"/>
  <c r="E807" i="4"/>
  <c r="D807" i="4"/>
  <c r="I807" i="4" s="1"/>
  <c r="C807" i="4"/>
  <c r="B807" i="4"/>
  <c r="A807" i="4"/>
  <c r="H806" i="4"/>
  <c r="G806" i="4"/>
  <c r="F806" i="4"/>
  <c r="E806" i="4"/>
  <c r="I806" i="4" s="1"/>
  <c r="D806" i="4"/>
  <c r="C806" i="4"/>
  <c r="B806" i="4"/>
  <c r="A806" i="4"/>
  <c r="H805" i="4"/>
  <c r="G805" i="4"/>
  <c r="F805" i="4"/>
  <c r="E805" i="4"/>
  <c r="D805" i="4"/>
  <c r="I805" i="4" s="1"/>
  <c r="C805" i="4"/>
  <c r="B805" i="4"/>
  <c r="A805" i="4"/>
  <c r="H804" i="4"/>
  <c r="G804" i="4"/>
  <c r="F804" i="4"/>
  <c r="E804" i="4"/>
  <c r="D804" i="4"/>
  <c r="I804" i="4" s="1"/>
  <c r="C804" i="4"/>
  <c r="B804" i="4"/>
  <c r="A804" i="4"/>
  <c r="H803" i="4"/>
  <c r="G803" i="4"/>
  <c r="F803" i="4"/>
  <c r="E803" i="4"/>
  <c r="I803" i="4" s="1"/>
  <c r="D803" i="4"/>
  <c r="C803" i="4"/>
  <c r="B803" i="4"/>
  <c r="A803" i="4"/>
  <c r="I802" i="4"/>
  <c r="H802" i="4"/>
  <c r="G802" i="4"/>
  <c r="F802" i="4"/>
  <c r="E802" i="4"/>
  <c r="D802" i="4"/>
  <c r="C802" i="4"/>
  <c r="B802" i="4"/>
  <c r="A802" i="4"/>
  <c r="I801" i="4"/>
  <c r="H801" i="4"/>
  <c r="G801" i="4"/>
  <c r="F801" i="4"/>
  <c r="E801" i="4"/>
  <c r="D801" i="4"/>
  <c r="C801" i="4"/>
  <c r="B801" i="4"/>
  <c r="A801" i="4"/>
  <c r="H800" i="4"/>
  <c r="G800" i="4"/>
  <c r="F800" i="4"/>
  <c r="I800" i="4" s="1"/>
  <c r="E800" i="4"/>
  <c r="D800" i="4"/>
  <c r="C800" i="4"/>
  <c r="B800" i="4"/>
  <c r="A800" i="4"/>
  <c r="H799" i="4"/>
  <c r="G799" i="4"/>
  <c r="F799" i="4"/>
  <c r="E799" i="4"/>
  <c r="D799" i="4"/>
  <c r="I799" i="4" s="1"/>
  <c r="C799" i="4"/>
  <c r="B799" i="4"/>
  <c r="A799" i="4"/>
  <c r="H798" i="4"/>
  <c r="G798" i="4"/>
  <c r="F798" i="4"/>
  <c r="E798" i="4"/>
  <c r="D798" i="4"/>
  <c r="I798" i="4" s="1"/>
  <c r="C798" i="4"/>
  <c r="B798" i="4"/>
  <c r="A798" i="4"/>
  <c r="H797" i="4"/>
  <c r="G797" i="4"/>
  <c r="F797" i="4"/>
  <c r="E797" i="4"/>
  <c r="D797" i="4"/>
  <c r="I797" i="4" s="1"/>
  <c r="C797" i="4"/>
  <c r="B797" i="4"/>
  <c r="A797" i="4"/>
  <c r="H796" i="4"/>
  <c r="G796" i="4"/>
  <c r="F796" i="4"/>
  <c r="E796" i="4"/>
  <c r="D796" i="4"/>
  <c r="I796" i="4" s="1"/>
  <c r="C796" i="4"/>
  <c r="B796" i="4"/>
  <c r="A796" i="4"/>
  <c r="H795" i="4"/>
  <c r="G795" i="4"/>
  <c r="F795" i="4"/>
  <c r="E795" i="4"/>
  <c r="D795" i="4"/>
  <c r="I795" i="4" s="1"/>
  <c r="C795" i="4"/>
  <c r="B795" i="4"/>
  <c r="A795" i="4"/>
  <c r="I794" i="4"/>
  <c r="H794" i="4"/>
  <c r="G794" i="4"/>
  <c r="F794" i="4"/>
  <c r="E794" i="4"/>
  <c r="D794" i="4"/>
  <c r="C794" i="4"/>
  <c r="B794" i="4"/>
  <c r="A794" i="4"/>
  <c r="H793" i="4"/>
  <c r="G793" i="4"/>
  <c r="F793" i="4"/>
  <c r="E793" i="4"/>
  <c r="D793" i="4"/>
  <c r="C793" i="4"/>
  <c r="B793" i="4"/>
  <c r="A793" i="4"/>
  <c r="H792" i="4"/>
  <c r="G792" i="4"/>
  <c r="F792" i="4"/>
  <c r="E792" i="4"/>
  <c r="D792" i="4"/>
  <c r="C792" i="4"/>
  <c r="I792" i="4" s="1"/>
  <c r="B792" i="4"/>
  <c r="A792" i="4"/>
  <c r="H791" i="4"/>
  <c r="G791" i="4"/>
  <c r="F791" i="4"/>
  <c r="E791" i="4"/>
  <c r="D791" i="4"/>
  <c r="C791" i="4"/>
  <c r="I791" i="4" s="1"/>
  <c r="B791" i="4"/>
  <c r="A791" i="4"/>
  <c r="H790" i="4"/>
  <c r="G790" i="4"/>
  <c r="F790" i="4"/>
  <c r="E790" i="4"/>
  <c r="D790" i="4"/>
  <c r="C790" i="4"/>
  <c r="B790" i="4"/>
  <c r="A790" i="4"/>
  <c r="I789" i="4"/>
  <c r="H789" i="4"/>
  <c r="G789" i="4"/>
  <c r="F789" i="4"/>
  <c r="E789" i="4"/>
  <c r="D789" i="4"/>
  <c r="C789" i="4"/>
  <c r="B789" i="4"/>
  <c r="A789" i="4"/>
  <c r="H788" i="4"/>
  <c r="G788" i="4"/>
  <c r="F788" i="4"/>
  <c r="E788" i="4"/>
  <c r="D788" i="4"/>
  <c r="C788" i="4"/>
  <c r="B788" i="4"/>
  <c r="A788" i="4"/>
  <c r="I787" i="4"/>
  <c r="H787" i="4"/>
  <c r="G787" i="4"/>
  <c r="F787" i="4"/>
  <c r="E787" i="4"/>
  <c r="D787" i="4"/>
  <c r="C787" i="4"/>
  <c r="B787" i="4"/>
  <c r="A787" i="4"/>
  <c r="H786" i="4"/>
  <c r="G786" i="4"/>
  <c r="F786" i="4"/>
  <c r="E786" i="4"/>
  <c r="D786" i="4"/>
  <c r="I786" i="4" s="1"/>
  <c r="C786" i="4"/>
  <c r="B786" i="4"/>
  <c r="A786" i="4"/>
  <c r="I785" i="4"/>
  <c r="H785" i="4"/>
  <c r="G785" i="4"/>
  <c r="F785" i="4"/>
  <c r="E785" i="4"/>
  <c r="D785" i="4"/>
  <c r="C785" i="4"/>
  <c r="B785" i="4"/>
  <c r="A785" i="4"/>
  <c r="H784" i="4"/>
  <c r="G784" i="4"/>
  <c r="F784" i="4"/>
  <c r="E784" i="4"/>
  <c r="D784" i="4"/>
  <c r="C784" i="4"/>
  <c r="B784" i="4"/>
  <c r="A784" i="4"/>
  <c r="I783" i="4"/>
  <c r="H783" i="4"/>
  <c r="G783" i="4"/>
  <c r="F783" i="4"/>
  <c r="E783" i="4"/>
  <c r="D783" i="4"/>
  <c r="C783" i="4"/>
  <c r="B783" i="4"/>
  <c r="A783" i="4"/>
  <c r="I782" i="4"/>
  <c r="H782" i="4"/>
  <c r="G782" i="4"/>
  <c r="F782" i="4"/>
  <c r="E782" i="4"/>
  <c r="D782" i="4"/>
  <c r="C782" i="4"/>
  <c r="B782" i="4"/>
  <c r="A782" i="4"/>
  <c r="H781" i="4"/>
  <c r="G781" i="4"/>
  <c r="F781" i="4"/>
  <c r="E781" i="4"/>
  <c r="D781" i="4"/>
  <c r="C781" i="4"/>
  <c r="B781" i="4"/>
  <c r="A781" i="4"/>
  <c r="H780" i="4"/>
  <c r="G780" i="4"/>
  <c r="F780" i="4"/>
  <c r="E780" i="4"/>
  <c r="D780" i="4"/>
  <c r="C780" i="4"/>
  <c r="B780" i="4"/>
  <c r="A780" i="4"/>
  <c r="H779" i="4"/>
  <c r="G779" i="4"/>
  <c r="F779" i="4"/>
  <c r="E779" i="4"/>
  <c r="D779" i="4"/>
  <c r="C779" i="4"/>
  <c r="B779" i="4"/>
  <c r="A779" i="4"/>
  <c r="I778" i="4"/>
  <c r="H778" i="4"/>
  <c r="G778" i="4"/>
  <c r="F778" i="4"/>
  <c r="E778" i="4"/>
  <c r="D778" i="4"/>
  <c r="C778" i="4"/>
  <c r="B778" i="4"/>
  <c r="A778" i="4"/>
  <c r="H777" i="4"/>
  <c r="G777" i="4"/>
  <c r="F777" i="4"/>
  <c r="E777" i="4"/>
  <c r="D777" i="4"/>
  <c r="C777" i="4"/>
  <c r="B777" i="4"/>
  <c r="A777" i="4"/>
  <c r="I776" i="4"/>
  <c r="H776" i="4"/>
  <c r="G776" i="4"/>
  <c r="F776" i="4"/>
  <c r="E776" i="4"/>
  <c r="D776" i="4"/>
  <c r="C776" i="4"/>
  <c r="B776" i="4"/>
  <c r="A776" i="4"/>
  <c r="H775" i="4"/>
  <c r="G775" i="4"/>
  <c r="F775" i="4"/>
  <c r="E775" i="4"/>
  <c r="D775" i="4"/>
  <c r="C775" i="4"/>
  <c r="B775" i="4"/>
  <c r="A775" i="4"/>
  <c r="H774" i="4"/>
  <c r="G774" i="4"/>
  <c r="F774" i="4"/>
  <c r="E774" i="4"/>
  <c r="I774" i="4" s="1"/>
  <c r="D774" i="4"/>
  <c r="C774" i="4"/>
  <c r="B774" i="4"/>
  <c r="A774" i="4"/>
  <c r="H773" i="4"/>
  <c r="G773" i="4"/>
  <c r="F773" i="4"/>
  <c r="E773" i="4"/>
  <c r="D773" i="4"/>
  <c r="C773" i="4"/>
  <c r="B773" i="4"/>
  <c r="A773" i="4"/>
  <c r="H772" i="4"/>
  <c r="G772" i="4"/>
  <c r="F772" i="4"/>
  <c r="E772" i="4"/>
  <c r="D772" i="4"/>
  <c r="C772" i="4"/>
  <c r="B772" i="4"/>
  <c r="A772" i="4"/>
  <c r="H771" i="4"/>
  <c r="G771" i="4"/>
  <c r="F771" i="4"/>
  <c r="E771" i="4"/>
  <c r="I771" i="4" s="1"/>
  <c r="D771" i="4"/>
  <c r="C771" i="4"/>
  <c r="B771" i="4"/>
  <c r="A771" i="4"/>
  <c r="H770" i="4"/>
  <c r="G770" i="4"/>
  <c r="F770" i="4"/>
  <c r="E770" i="4"/>
  <c r="D770" i="4"/>
  <c r="I770" i="4" s="1"/>
  <c r="C770" i="4"/>
  <c r="B770" i="4"/>
  <c r="A770" i="4"/>
  <c r="I769" i="4"/>
  <c r="H769" i="4"/>
  <c r="G769" i="4"/>
  <c r="F769" i="4"/>
  <c r="E769" i="4"/>
  <c r="D769" i="4"/>
  <c r="C769" i="4"/>
  <c r="B769" i="4"/>
  <c r="A769" i="4"/>
  <c r="H768" i="4"/>
  <c r="G768" i="4"/>
  <c r="F768" i="4"/>
  <c r="E768" i="4"/>
  <c r="D768" i="4"/>
  <c r="I768" i="4" s="1"/>
  <c r="C768" i="4"/>
  <c r="B768" i="4"/>
  <c r="A768" i="4"/>
  <c r="I767" i="4"/>
  <c r="H767" i="4"/>
  <c r="G767" i="4"/>
  <c r="F767" i="4"/>
  <c r="E767" i="4"/>
  <c r="D767" i="4"/>
  <c r="C767" i="4"/>
  <c r="B767" i="4"/>
  <c r="A767" i="4"/>
  <c r="H766" i="4"/>
  <c r="G766" i="4"/>
  <c r="F766" i="4"/>
  <c r="E766" i="4"/>
  <c r="D766" i="4"/>
  <c r="C766" i="4"/>
  <c r="B766" i="4"/>
  <c r="A766" i="4"/>
  <c r="H765" i="4"/>
  <c r="G765" i="4"/>
  <c r="F765" i="4"/>
  <c r="E765" i="4"/>
  <c r="D765" i="4"/>
  <c r="I765" i="4" s="1"/>
  <c r="C765" i="4"/>
  <c r="B765" i="4"/>
  <c r="A765" i="4"/>
  <c r="H764" i="4"/>
  <c r="G764" i="4"/>
  <c r="F764" i="4"/>
  <c r="E764" i="4"/>
  <c r="D764" i="4"/>
  <c r="C764" i="4"/>
  <c r="B764" i="4"/>
  <c r="A764" i="4"/>
  <c r="H763" i="4"/>
  <c r="G763" i="4"/>
  <c r="F763" i="4"/>
  <c r="E763" i="4"/>
  <c r="D763" i="4"/>
  <c r="I763" i="4" s="1"/>
  <c r="C763" i="4"/>
  <c r="B763" i="4"/>
  <c r="A763" i="4"/>
  <c r="H762" i="4"/>
  <c r="G762" i="4"/>
  <c r="F762" i="4"/>
  <c r="I762" i="4" s="1"/>
  <c r="E762" i="4"/>
  <c r="D762" i="4"/>
  <c r="C762" i="4"/>
  <c r="B762" i="4"/>
  <c r="A762" i="4"/>
  <c r="H761" i="4"/>
  <c r="G761" i="4"/>
  <c r="F761" i="4"/>
  <c r="E761" i="4"/>
  <c r="D761" i="4"/>
  <c r="C761" i="4"/>
  <c r="B761" i="4"/>
  <c r="A761" i="4"/>
  <c r="H760" i="4"/>
  <c r="G760" i="4"/>
  <c r="F760" i="4"/>
  <c r="E760" i="4"/>
  <c r="D760" i="4"/>
  <c r="C760" i="4"/>
  <c r="I760" i="4" s="1"/>
  <c r="B760" i="4"/>
  <c r="A760" i="4"/>
  <c r="H759" i="4"/>
  <c r="G759" i="4"/>
  <c r="F759" i="4"/>
  <c r="E759" i="4"/>
  <c r="D759" i="4"/>
  <c r="C759" i="4"/>
  <c r="I759" i="4" s="1"/>
  <c r="B759" i="4"/>
  <c r="A759" i="4"/>
  <c r="H758" i="4"/>
  <c r="G758" i="4"/>
  <c r="F758" i="4"/>
  <c r="E758" i="4"/>
  <c r="D758" i="4"/>
  <c r="C758" i="4"/>
  <c r="B758" i="4"/>
  <c r="A758" i="4"/>
  <c r="H757" i="4"/>
  <c r="G757" i="4"/>
  <c r="F757" i="4"/>
  <c r="E757" i="4"/>
  <c r="D757" i="4"/>
  <c r="C757" i="4"/>
  <c r="B757" i="4"/>
  <c r="A757" i="4"/>
  <c r="H756" i="4"/>
  <c r="G756" i="4"/>
  <c r="F756" i="4"/>
  <c r="E756" i="4"/>
  <c r="D756" i="4"/>
  <c r="I756" i="4" s="1"/>
  <c r="C756" i="4"/>
  <c r="B756" i="4"/>
  <c r="A756" i="4"/>
  <c r="H755" i="4"/>
  <c r="G755" i="4"/>
  <c r="F755" i="4"/>
  <c r="E755" i="4"/>
  <c r="I755" i="4" s="1"/>
  <c r="D755" i="4"/>
  <c r="C755" i="4"/>
  <c r="B755" i="4"/>
  <c r="A755" i="4"/>
  <c r="H754" i="4"/>
  <c r="G754" i="4"/>
  <c r="F754" i="4"/>
  <c r="I754" i="4" s="1"/>
  <c r="E754" i="4"/>
  <c r="D754" i="4"/>
  <c r="C754" i="4"/>
  <c r="B754" i="4"/>
  <c r="A754" i="4"/>
  <c r="I753" i="4"/>
  <c r="H753" i="4"/>
  <c r="G753" i="4"/>
  <c r="F753" i="4"/>
  <c r="E753" i="4"/>
  <c r="D753" i="4"/>
  <c r="C753" i="4"/>
  <c r="B753" i="4"/>
  <c r="A753" i="4"/>
  <c r="H752" i="4"/>
  <c r="G752" i="4"/>
  <c r="F752" i="4"/>
  <c r="E752" i="4"/>
  <c r="D752" i="4"/>
  <c r="I752" i="4" s="1"/>
  <c r="C752" i="4"/>
  <c r="B752" i="4"/>
  <c r="A752" i="4"/>
  <c r="I751" i="4"/>
  <c r="H751" i="4"/>
  <c r="G751" i="4"/>
  <c r="F751" i="4"/>
  <c r="E751" i="4"/>
  <c r="D751" i="4"/>
  <c r="C751" i="4"/>
  <c r="B751" i="4"/>
  <c r="A751" i="4"/>
  <c r="H750" i="4"/>
  <c r="G750" i="4"/>
  <c r="F750" i="4"/>
  <c r="E750" i="4"/>
  <c r="I750" i="4" s="1"/>
  <c r="D750" i="4"/>
  <c r="C750" i="4"/>
  <c r="B750" i="4"/>
  <c r="A750" i="4"/>
  <c r="H749" i="4"/>
  <c r="G749" i="4"/>
  <c r="F749" i="4"/>
  <c r="E749" i="4"/>
  <c r="D749" i="4"/>
  <c r="I749" i="4" s="1"/>
  <c r="C749" i="4"/>
  <c r="B749" i="4"/>
  <c r="A749" i="4"/>
  <c r="H748" i="4"/>
  <c r="G748" i="4"/>
  <c r="F748" i="4"/>
  <c r="E748" i="4"/>
  <c r="D748" i="4"/>
  <c r="C748" i="4"/>
  <c r="B748" i="4"/>
  <c r="A748" i="4"/>
  <c r="H747" i="4"/>
  <c r="G747" i="4"/>
  <c r="F747" i="4"/>
  <c r="E747" i="4"/>
  <c r="D747" i="4"/>
  <c r="I747" i="4" s="1"/>
  <c r="C747" i="4"/>
  <c r="B747" i="4"/>
  <c r="A747" i="4"/>
  <c r="I746" i="4"/>
  <c r="H746" i="4"/>
  <c r="G746" i="4"/>
  <c r="F746" i="4"/>
  <c r="E746" i="4"/>
  <c r="D746" i="4"/>
  <c r="C746" i="4"/>
  <c r="B746" i="4"/>
  <c r="A746" i="4"/>
  <c r="H745" i="4"/>
  <c r="G745" i="4"/>
  <c r="F745" i="4"/>
  <c r="E745" i="4"/>
  <c r="D745" i="4"/>
  <c r="C745" i="4"/>
  <c r="B745" i="4"/>
  <c r="A745" i="4"/>
  <c r="H744" i="4"/>
  <c r="G744" i="4"/>
  <c r="F744" i="4"/>
  <c r="E744" i="4"/>
  <c r="D744" i="4"/>
  <c r="C744" i="4"/>
  <c r="I744" i="4" s="1"/>
  <c r="B744" i="4"/>
  <c r="A744" i="4"/>
  <c r="I743" i="4"/>
  <c r="H743" i="4"/>
  <c r="G743" i="4"/>
  <c r="F743" i="4"/>
  <c r="E743" i="4"/>
  <c r="D743" i="4"/>
  <c r="C743" i="4"/>
  <c r="B743" i="4"/>
  <c r="A743" i="4"/>
  <c r="H742" i="4"/>
  <c r="G742" i="4"/>
  <c r="F742" i="4"/>
  <c r="E742" i="4"/>
  <c r="D742" i="4"/>
  <c r="C742" i="4"/>
  <c r="B742" i="4"/>
  <c r="A742" i="4"/>
  <c r="I741" i="4"/>
  <c r="H741" i="4"/>
  <c r="G741" i="4"/>
  <c r="F741" i="4"/>
  <c r="E741" i="4"/>
  <c r="D741" i="4"/>
  <c r="C741" i="4"/>
  <c r="B741" i="4"/>
  <c r="A741" i="4"/>
  <c r="H740" i="4"/>
  <c r="G740" i="4"/>
  <c r="F740" i="4"/>
  <c r="E740" i="4"/>
  <c r="D740" i="4"/>
  <c r="C740" i="4"/>
  <c r="B740" i="4"/>
  <c r="A740" i="4"/>
  <c r="I739" i="4"/>
  <c r="H739" i="4"/>
  <c r="G739" i="4"/>
  <c r="F739" i="4"/>
  <c r="E739" i="4"/>
  <c r="D739" i="4"/>
  <c r="C739" i="4"/>
  <c r="B739" i="4"/>
  <c r="A739" i="4"/>
  <c r="H738" i="4"/>
  <c r="G738" i="4"/>
  <c r="F738" i="4"/>
  <c r="E738" i="4"/>
  <c r="D738" i="4"/>
  <c r="I738" i="4" s="1"/>
  <c r="C738" i="4"/>
  <c r="B738" i="4"/>
  <c r="A738" i="4"/>
  <c r="I737" i="4"/>
  <c r="H737" i="4"/>
  <c r="G737" i="4"/>
  <c r="F737" i="4"/>
  <c r="E737" i="4"/>
  <c r="D737" i="4"/>
  <c r="C737" i="4"/>
  <c r="B737" i="4"/>
  <c r="A737" i="4"/>
  <c r="H736" i="4"/>
  <c r="G736" i="4"/>
  <c r="F736" i="4"/>
  <c r="I736" i="4" s="1"/>
  <c r="E736" i="4"/>
  <c r="D736" i="4"/>
  <c r="C736" i="4"/>
  <c r="B736" i="4"/>
  <c r="A736" i="4"/>
  <c r="I735" i="4"/>
  <c r="H735" i="4"/>
  <c r="G735" i="4"/>
  <c r="F735" i="4"/>
  <c r="E735" i="4"/>
  <c r="D735" i="4"/>
  <c r="C735" i="4"/>
  <c r="B735" i="4"/>
  <c r="A735" i="4"/>
  <c r="I734" i="4"/>
  <c r="H734" i="4"/>
  <c r="G734" i="4"/>
  <c r="F734" i="4"/>
  <c r="E734" i="4"/>
  <c r="D734" i="4"/>
  <c r="C734" i="4"/>
  <c r="B734" i="4"/>
  <c r="A734" i="4"/>
  <c r="H733" i="4"/>
  <c r="G733" i="4"/>
  <c r="F733" i="4"/>
  <c r="E733" i="4"/>
  <c r="D733" i="4"/>
  <c r="C733" i="4"/>
  <c r="B733" i="4"/>
  <c r="A733" i="4"/>
  <c r="H732" i="4"/>
  <c r="G732" i="4"/>
  <c r="F732" i="4"/>
  <c r="E732" i="4"/>
  <c r="D732" i="4"/>
  <c r="I732" i="4" s="1"/>
  <c r="C732" i="4"/>
  <c r="B732" i="4"/>
  <c r="A732" i="4"/>
  <c r="H731" i="4"/>
  <c r="G731" i="4"/>
  <c r="F731" i="4"/>
  <c r="E731" i="4"/>
  <c r="D731" i="4"/>
  <c r="C731" i="4"/>
  <c r="B731" i="4"/>
  <c r="A731" i="4"/>
  <c r="I730" i="4"/>
  <c r="H730" i="4"/>
  <c r="G730" i="4"/>
  <c r="F730" i="4"/>
  <c r="E730" i="4"/>
  <c r="D730" i="4"/>
  <c r="C730" i="4"/>
  <c r="B730" i="4"/>
  <c r="A730" i="4"/>
  <c r="H729" i="4"/>
  <c r="G729" i="4"/>
  <c r="F729" i="4"/>
  <c r="E729" i="4"/>
  <c r="D729" i="4"/>
  <c r="C729" i="4"/>
  <c r="B729" i="4"/>
  <c r="A729" i="4"/>
  <c r="I728" i="4"/>
  <c r="H728" i="4"/>
  <c r="G728" i="4"/>
  <c r="F728" i="4"/>
  <c r="E728" i="4"/>
  <c r="D728" i="4"/>
  <c r="C728" i="4"/>
  <c r="B728" i="4"/>
  <c r="A728" i="4"/>
  <c r="H727" i="4"/>
  <c r="G727" i="4"/>
  <c r="F727" i="4"/>
  <c r="E727" i="4"/>
  <c r="D727" i="4"/>
  <c r="C727" i="4"/>
  <c r="B727" i="4"/>
  <c r="A727" i="4"/>
  <c r="H726" i="4"/>
  <c r="G726" i="4"/>
  <c r="F726" i="4"/>
  <c r="E726" i="4"/>
  <c r="D726" i="4"/>
  <c r="C726" i="4"/>
  <c r="B726" i="4"/>
  <c r="A726" i="4"/>
  <c r="H725" i="4"/>
  <c r="G725" i="4"/>
  <c r="F725" i="4"/>
  <c r="E725" i="4"/>
  <c r="D725" i="4"/>
  <c r="C725" i="4"/>
  <c r="B725" i="4"/>
  <c r="A725" i="4"/>
  <c r="H724" i="4"/>
  <c r="G724" i="4"/>
  <c r="F724" i="4"/>
  <c r="E724" i="4"/>
  <c r="D724" i="4"/>
  <c r="I724" i="4" s="1"/>
  <c r="C724" i="4"/>
  <c r="B724" i="4"/>
  <c r="A724" i="4"/>
  <c r="H723" i="4"/>
  <c r="G723" i="4"/>
  <c r="F723" i="4"/>
  <c r="E723" i="4"/>
  <c r="I723" i="4" s="1"/>
  <c r="D723" i="4"/>
  <c r="C723" i="4"/>
  <c r="B723" i="4"/>
  <c r="A723" i="4"/>
  <c r="H722" i="4"/>
  <c r="G722" i="4"/>
  <c r="F722" i="4"/>
  <c r="E722" i="4"/>
  <c r="D722" i="4"/>
  <c r="C722" i="4"/>
  <c r="B722" i="4"/>
  <c r="A722" i="4"/>
  <c r="I721" i="4"/>
  <c r="H721" i="4"/>
  <c r="G721" i="4"/>
  <c r="F721" i="4"/>
  <c r="E721" i="4"/>
  <c r="D721" i="4"/>
  <c r="C721" i="4"/>
  <c r="B721" i="4"/>
  <c r="A721" i="4"/>
  <c r="H720" i="4"/>
  <c r="G720" i="4"/>
  <c r="F720" i="4"/>
  <c r="E720" i="4"/>
  <c r="D720" i="4"/>
  <c r="C720" i="4"/>
  <c r="B720" i="4"/>
  <c r="A720" i="4"/>
  <c r="I719" i="4"/>
  <c r="H719" i="4"/>
  <c r="G719" i="4"/>
  <c r="F719" i="4"/>
  <c r="E719" i="4"/>
  <c r="D719" i="4"/>
  <c r="C719" i="4"/>
  <c r="B719" i="4"/>
  <c r="A719" i="4"/>
  <c r="H718" i="4"/>
  <c r="G718" i="4"/>
  <c r="F718" i="4"/>
  <c r="E718" i="4"/>
  <c r="D718" i="4"/>
  <c r="C718" i="4"/>
  <c r="B718" i="4"/>
  <c r="A718" i="4"/>
  <c r="H717" i="4"/>
  <c r="G717" i="4"/>
  <c r="F717" i="4"/>
  <c r="E717" i="4"/>
  <c r="D717" i="4"/>
  <c r="C717" i="4"/>
  <c r="B717" i="4"/>
  <c r="A717" i="4"/>
  <c r="H716" i="4"/>
  <c r="G716" i="4"/>
  <c r="F716" i="4"/>
  <c r="E716" i="4"/>
  <c r="D716" i="4"/>
  <c r="I716" i="4" s="1"/>
  <c r="C716" i="4"/>
  <c r="B716" i="4"/>
  <c r="A716" i="4"/>
  <c r="H715" i="4"/>
  <c r="G715" i="4"/>
  <c r="F715" i="4"/>
  <c r="E715" i="4"/>
  <c r="D715" i="4"/>
  <c r="C715" i="4"/>
  <c r="B715" i="4"/>
  <c r="A715" i="4"/>
  <c r="H714" i="4"/>
  <c r="G714" i="4"/>
  <c r="F714" i="4"/>
  <c r="I714" i="4" s="1"/>
  <c r="E714" i="4"/>
  <c r="D714" i="4"/>
  <c r="C714" i="4"/>
  <c r="B714" i="4"/>
  <c r="A714" i="4"/>
  <c r="H713" i="4"/>
  <c r="G713" i="4"/>
  <c r="F713" i="4"/>
  <c r="E713" i="4"/>
  <c r="D713" i="4"/>
  <c r="C713" i="4"/>
  <c r="B713" i="4"/>
  <c r="A713" i="4"/>
  <c r="H712" i="4"/>
  <c r="G712" i="4"/>
  <c r="F712" i="4"/>
  <c r="E712" i="4"/>
  <c r="D712" i="4"/>
  <c r="C712" i="4"/>
  <c r="I712" i="4" s="1"/>
  <c r="B712" i="4"/>
  <c r="A712" i="4"/>
  <c r="I711" i="4"/>
  <c r="H711" i="4"/>
  <c r="G711" i="4"/>
  <c r="F711" i="4"/>
  <c r="E711" i="4"/>
  <c r="D711" i="4"/>
  <c r="C711" i="4"/>
  <c r="B711" i="4"/>
  <c r="A711" i="4"/>
  <c r="H710" i="4"/>
  <c r="G710" i="4"/>
  <c r="F710" i="4"/>
  <c r="E710" i="4"/>
  <c r="D710" i="4"/>
  <c r="C710" i="4"/>
  <c r="B710" i="4"/>
  <c r="A710" i="4"/>
  <c r="H709" i="4"/>
  <c r="G709" i="4"/>
  <c r="F709" i="4"/>
  <c r="E709" i="4"/>
  <c r="D709" i="4"/>
  <c r="C709" i="4"/>
  <c r="B709" i="4"/>
  <c r="A709" i="4"/>
  <c r="H708" i="4"/>
  <c r="G708" i="4"/>
  <c r="F708" i="4"/>
  <c r="E708" i="4"/>
  <c r="D708" i="4"/>
  <c r="C708" i="4"/>
  <c r="B708" i="4"/>
  <c r="A708" i="4"/>
  <c r="I707" i="4"/>
  <c r="H707" i="4"/>
  <c r="G707" i="4"/>
  <c r="F707" i="4"/>
  <c r="E707" i="4"/>
  <c r="D707" i="4"/>
  <c r="C707" i="4"/>
  <c r="B707" i="4"/>
  <c r="A707" i="4"/>
  <c r="H706" i="4"/>
  <c r="G706" i="4"/>
  <c r="F706" i="4"/>
  <c r="E706" i="4"/>
  <c r="D706" i="4"/>
  <c r="I706" i="4" s="1"/>
  <c r="C706" i="4"/>
  <c r="B706" i="4"/>
  <c r="A706" i="4"/>
  <c r="I705" i="4"/>
  <c r="H705" i="4"/>
  <c r="G705" i="4"/>
  <c r="F705" i="4"/>
  <c r="E705" i="4"/>
  <c r="D705" i="4"/>
  <c r="C705" i="4"/>
  <c r="B705" i="4"/>
  <c r="A705" i="4"/>
  <c r="H704" i="4"/>
  <c r="G704" i="4"/>
  <c r="F704" i="4"/>
  <c r="I704" i="4" s="1"/>
  <c r="E704" i="4"/>
  <c r="D704" i="4"/>
  <c r="C704" i="4"/>
  <c r="B704" i="4"/>
  <c r="A704" i="4"/>
  <c r="H703" i="4"/>
  <c r="G703" i="4"/>
  <c r="F703" i="4"/>
  <c r="E703" i="4"/>
  <c r="D703" i="4"/>
  <c r="I703" i="4" s="1"/>
  <c r="C703" i="4"/>
  <c r="B703" i="4"/>
  <c r="A703" i="4"/>
  <c r="H702" i="4"/>
  <c r="G702" i="4"/>
  <c r="F702" i="4"/>
  <c r="E702" i="4"/>
  <c r="D702" i="4"/>
  <c r="I702" i="4" s="1"/>
  <c r="C702" i="4"/>
  <c r="B702" i="4"/>
  <c r="A702" i="4"/>
  <c r="H701" i="4"/>
  <c r="G701" i="4"/>
  <c r="F701" i="4"/>
  <c r="E701" i="4"/>
  <c r="D701" i="4"/>
  <c r="C701" i="4"/>
  <c r="B701" i="4"/>
  <c r="A701" i="4"/>
  <c r="H700" i="4"/>
  <c r="G700" i="4"/>
  <c r="F700" i="4"/>
  <c r="E700" i="4"/>
  <c r="D700" i="4"/>
  <c r="I700" i="4" s="1"/>
  <c r="C700" i="4"/>
  <c r="B700" i="4"/>
  <c r="A700" i="4"/>
  <c r="H699" i="4"/>
  <c r="G699" i="4"/>
  <c r="F699" i="4"/>
  <c r="E699" i="4"/>
  <c r="D699" i="4"/>
  <c r="C699" i="4"/>
  <c r="B699" i="4"/>
  <c r="A699" i="4"/>
  <c r="I698" i="4"/>
  <c r="H698" i="4"/>
  <c r="G698" i="4"/>
  <c r="F698" i="4"/>
  <c r="E698" i="4"/>
  <c r="D698" i="4"/>
  <c r="C698" i="4"/>
  <c r="B698" i="4"/>
  <c r="A698" i="4"/>
  <c r="H697" i="4"/>
  <c r="G697" i="4"/>
  <c r="F697" i="4"/>
  <c r="E697" i="4"/>
  <c r="D697" i="4"/>
  <c r="C697" i="4"/>
  <c r="B697" i="4"/>
  <c r="A697" i="4"/>
  <c r="H696" i="4"/>
  <c r="G696" i="4"/>
  <c r="F696" i="4"/>
  <c r="E696" i="4"/>
  <c r="D696" i="4"/>
  <c r="C696" i="4"/>
  <c r="I696" i="4" s="1"/>
  <c r="B696" i="4"/>
  <c r="A696" i="4"/>
  <c r="H695" i="4"/>
  <c r="G695" i="4"/>
  <c r="F695" i="4"/>
  <c r="E695" i="4"/>
  <c r="D695" i="4"/>
  <c r="I695" i="4" s="1"/>
  <c r="C695" i="4"/>
  <c r="B695" i="4"/>
  <c r="A695" i="4"/>
  <c r="H694" i="4"/>
  <c r="G694" i="4"/>
  <c r="F694" i="4"/>
  <c r="E694" i="4"/>
  <c r="D694" i="4"/>
  <c r="C694" i="4"/>
  <c r="B694" i="4"/>
  <c r="A694" i="4"/>
  <c r="H693" i="4"/>
  <c r="G693" i="4"/>
  <c r="F693" i="4"/>
  <c r="E693" i="4"/>
  <c r="D693" i="4"/>
  <c r="C693" i="4"/>
  <c r="B693" i="4"/>
  <c r="A693" i="4"/>
  <c r="H692" i="4"/>
  <c r="G692" i="4"/>
  <c r="F692" i="4"/>
  <c r="E692" i="4"/>
  <c r="D692" i="4"/>
  <c r="C692" i="4"/>
  <c r="B692" i="4"/>
  <c r="A692" i="4"/>
  <c r="H691" i="4"/>
  <c r="G691" i="4"/>
  <c r="F691" i="4"/>
  <c r="E691" i="4"/>
  <c r="I691" i="4" s="1"/>
  <c r="D691" i="4"/>
  <c r="C691" i="4"/>
  <c r="B691" i="4"/>
  <c r="A691" i="4"/>
  <c r="H690" i="4"/>
  <c r="G690" i="4"/>
  <c r="F690" i="4"/>
  <c r="E690" i="4"/>
  <c r="D690" i="4"/>
  <c r="I690" i="4" s="1"/>
  <c r="C690" i="4"/>
  <c r="B690" i="4"/>
  <c r="A690" i="4"/>
  <c r="I689" i="4"/>
  <c r="H689" i="4"/>
  <c r="G689" i="4"/>
  <c r="F689" i="4"/>
  <c r="E689" i="4"/>
  <c r="D689" i="4"/>
  <c r="C689" i="4"/>
  <c r="B689" i="4"/>
  <c r="A689" i="4"/>
  <c r="H688" i="4"/>
  <c r="G688" i="4"/>
  <c r="F688" i="4"/>
  <c r="E688" i="4"/>
  <c r="D688" i="4"/>
  <c r="I688" i="4" s="1"/>
  <c r="C688" i="4"/>
  <c r="B688" i="4"/>
  <c r="A688" i="4"/>
  <c r="I687" i="4"/>
  <c r="H687" i="4"/>
  <c r="G687" i="4"/>
  <c r="F687" i="4"/>
  <c r="E687" i="4"/>
  <c r="D687" i="4"/>
  <c r="C687" i="4"/>
  <c r="B687" i="4"/>
  <c r="A687" i="4"/>
  <c r="H686" i="4"/>
  <c r="G686" i="4"/>
  <c r="F686" i="4"/>
  <c r="I686" i="4" s="1"/>
  <c r="E686" i="4"/>
  <c r="D686" i="4"/>
  <c r="C686" i="4"/>
  <c r="B686" i="4"/>
  <c r="A686" i="4"/>
  <c r="H685" i="4"/>
  <c r="G685" i="4"/>
  <c r="F685" i="4"/>
  <c r="E685" i="4"/>
  <c r="D685" i="4"/>
  <c r="C685" i="4"/>
  <c r="B685" i="4"/>
  <c r="A685" i="4"/>
  <c r="H684" i="4"/>
  <c r="G684" i="4"/>
  <c r="F684" i="4"/>
  <c r="E684" i="4"/>
  <c r="D684" i="4"/>
  <c r="C684" i="4"/>
  <c r="B684" i="4"/>
  <c r="A684" i="4"/>
  <c r="H683" i="4"/>
  <c r="G683" i="4"/>
  <c r="F683" i="4"/>
  <c r="E683" i="4"/>
  <c r="D683" i="4"/>
  <c r="C683" i="4"/>
  <c r="B683" i="4"/>
  <c r="A683" i="4"/>
  <c r="I682" i="4"/>
  <c r="H682" i="4"/>
  <c r="G682" i="4"/>
  <c r="F682" i="4"/>
  <c r="E682" i="4"/>
  <c r="D682" i="4"/>
  <c r="C682" i="4"/>
  <c r="B682" i="4"/>
  <c r="A682" i="4"/>
  <c r="H681" i="4"/>
  <c r="G681" i="4"/>
  <c r="F681" i="4"/>
  <c r="E681" i="4"/>
  <c r="D681" i="4"/>
  <c r="C681" i="4"/>
  <c r="B681" i="4"/>
  <c r="A681" i="4"/>
  <c r="I680" i="4"/>
  <c r="H680" i="4"/>
  <c r="G680" i="4"/>
  <c r="F680" i="4"/>
  <c r="E680" i="4"/>
  <c r="D680" i="4"/>
  <c r="C680" i="4"/>
  <c r="B680" i="4"/>
  <c r="A680" i="4"/>
  <c r="H679" i="4"/>
  <c r="G679" i="4"/>
  <c r="F679" i="4"/>
  <c r="E679" i="4"/>
  <c r="I679" i="4" s="1"/>
  <c r="D679" i="4"/>
  <c r="C679" i="4"/>
  <c r="B679" i="4"/>
  <c r="A679" i="4"/>
  <c r="H678" i="4"/>
  <c r="G678" i="4"/>
  <c r="F678" i="4"/>
  <c r="E678" i="4"/>
  <c r="I678" i="4" s="1"/>
  <c r="D678" i="4"/>
  <c r="C678" i="4"/>
  <c r="B678" i="4"/>
  <c r="A678" i="4"/>
  <c r="H677" i="4"/>
  <c r="G677" i="4"/>
  <c r="F677" i="4"/>
  <c r="E677" i="4"/>
  <c r="D677" i="4"/>
  <c r="C677" i="4"/>
  <c r="B677" i="4"/>
  <c r="A677" i="4"/>
  <c r="H676" i="4"/>
  <c r="G676" i="4"/>
  <c r="F676" i="4"/>
  <c r="E676" i="4"/>
  <c r="D676" i="4"/>
  <c r="I676" i="4" s="1"/>
  <c r="C676" i="4"/>
  <c r="B676" i="4"/>
  <c r="A676" i="4"/>
  <c r="H675" i="4"/>
  <c r="G675" i="4"/>
  <c r="F675" i="4"/>
  <c r="E675" i="4"/>
  <c r="I675" i="4" s="1"/>
  <c r="D675" i="4"/>
  <c r="C675" i="4"/>
  <c r="B675" i="4"/>
  <c r="A675" i="4"/>
  <c r="H674" i="4"/>
  <c r="G674" i="4"/>
  <c r="F674" i="4"/>
  <c r="E674" i="4"/>
  <c r="D674" i="4"/>
  <c r="I674" i="4" s="1"/>
  <c r="C674" i="4"/>
  <c r="B674" i="4"/>
  <c r="A674" i="4"/>
  <c r="I673" i="4"/>
  <c r="H673" i="4"/>
  <c r="G673" i="4"/>
  <c r="F673" i="4"/>
  <c r="E673" i="4"/>
  <c r="D673" i="4"/>
  <c r="C673" i="4"/>
  <c r="B673" i="4"/>
  <c r="A673" i="4"/>
  <c r="H672" i="4"/>
  <c r="G672" i="4"/>
  <c r="F672" i="4"/>
  <c r="I672" i="4" s="1"/>
  <c r="E672" i="4"/>
  <c r="D672" i="4"/>
  <c r="C672" i="4"/>
  <c r="B672" i="4"/>
  <c r="A672" i="4"/>
  <c r="I671" i="4"/>
  <c r="H671" i="4"/>
  <c r="G671" i="4"/>
  <c r="F671" i="4"/>
  <c r="E671" i="4"/>
  <c r="D671" i="4"/>
  <c r="C671" i="4"/>
  <c r="B671" i="4"/>
  <c r="A671" i="4"/>
  <c r="H670" i="4"/>
  <c r="G670" i="4"/>
  <c r="F670" i="4"/>
  <c r="E670" i="4"/>
  <c r="D670" i="4"/>
  <c r="I670" i="4" s="1"/>
  <c r="C670" i="4"/>
  <c r="B670" i="4"/>
  <c r="A670" i="4"/>
  <c r="H669" i="4"/>
  <c r="G669" i="4"/>
  <c r="F669" i="4"/>
  <c r="E669" i="4"/>
  <c r="D669" i="4"/>
  <c r="I669" i="4" s="1"/>
  <c r="C669" i="4"/>
  <c r="B669" i="4"/>
  <c r="A669" i="4"/>
  <c r="H668" i="4"/>
  <c r="G668" i="4"/>
  <c r="F668" i="4"/>
  <c r="E668" i="4"/>
  <c r="D668" i="4"/>
  <c r="I668" i="4" s="1"/>
  <c r="C668" i="4"/>
  <c r="B668" i="4"/>
  <c r="A668" i="4"/>
  <c r="H667" i="4"/>
  <c r="G667" i="4"/>
  <c r="F667" i="4"/>
  <c r="E667" i="4"/>
  <c r="D667" i="4"/>
  <c r="I667" i="4" s="1"/>
  <c r="C667" i="4"/>
  <c r="B667" i="4"/>
  <c r="A667" i="4"/>
  <c r="I666" i="4"/>
  <c r="H666" i="4"/>
  <c r="G666" i="4"/>
  <c r="F666" i="4"/>
  <c r="E666" i="4"/>
  <c r="D666" i="4"/>
  <c r="C666" i="4"/>
  <c r="B666" i="4"/>
  <c r="A666" i="4"/>
  <c r="H665" i="4"/>
  <c r="G665" i="4"/>
  <c r="F665" i="4"/>
  <c r="E665" i="4"/>
  <c r="D665" i="4"/>
  <c r="C665" i="4"/>
  <c r="B665" i="4"/>
  <c r="A665" i="4"/>
  <c r="H664" i="4"/>
  <c r="G664" i="4"/>
  <c r="F664" i="4"/>
  <c r="E664" i="4"/>
  <c r="D664" i="4"/>
  <c r="C664" i="4"/>
  <c r="I664" i="4" s="1"/>
  <c r="B664" i="4"/>
  <c r="A664" i="4"/>
  <c r="H663" i="4"/>
  <c r="G663" i="4"/>
  <c r="F663" i="4"/>
  <c r="E663" i="4"/>
  <c r="D663" i="4"/>
  <c r="C663" i="4"/>
  <c r="I663" i="4" s="1"/>
  <c r="B663" i="4"/>
  <c r="A663" i="4"/>
  <c r="H662" i="4"/>
  <c r="G662" i="4"/>
  <c r="F662" i="4"/>
  <c r="E662" i="4"/>
  <c r="I662" i="4" s="1"/>
  <c r="D662" i="4"/>
  <c r="C662" i="4"/>
  <c r="B662" i="4"/>
  <c r="A662" i="4"/>
  <c r="H661" i="4"/>
  <c r="G661" i="4"/>
  <c r="F661" i="4"/>
  <c r="E661" i="4"/>
  <c r="D661" i="4"/>
  <c r="I661" i="4" s="1"/>
  <c r="C661" i="4"/>
  <c r="B661" i="4"/>
  <c r="A661" i="4"/>
  <c r="H660" i="4"/>
  <c r="G660" i="4"/>
  <c r="F660" i="4"/>
  <c r="E660" i="4"/>
  <c r="D660" i="4"/>
  <c r="C660" i="4"/>
  <c r="B660" i="4"/>
  <c r="A660" i="4"/>
  <c r="H659" i="4"/>
  <c r="G659" i="4"/>
  <c r="F659" i="4"/>
  <c r="E659" i="4"/>
  <c r="I659" i="4" s="1"/>
  <c r="D659" i="4"/>
  <c r="C659" i="4"/>
  <c r="B659" i="4"/>
  <c r="A659" i="4"/>
  <c r="H658" i="4"/>
  <c r="G658" i="4"/>
  <c r="F658" i="4"/>
  <c r="E658" i="4"/>
  <c r="I658" i="4" s="1"/>
  <c r="D658" i="4"/>
  <c r="C658" i="4"/>
  <c r="B658" i="4"/>
  <c r="A658" i="4"/>
  <c r="I657" i="4"/>
  <c r="H657" i="4"/>
  <c r="G657" i="4"/>
  <c r="F657" i="4"/>
  <c r="E657" i="4"/>
  <c r="D657" i="4"/>
  <c r="C657" i="4"/>
  <c r="B657" i="4"/>
  <c r="A657" i="4"/>
  <c r="I656" i="4"/>
  <c r="H656" i="4"/>
  <c r="G656" i="4"/>
  <c r="F656" i="4"/>
  <c r="E656" i="4"/>
  <c r="D656" i="4"/>
  <c r="C656" i="4"/>
  <c r="B656" i="4"/>
  <c r="A656" i="4"/>
  <c r="H655" i="4"/>
  <c r="G655" i="4"/>
  <c r="F655" i="4"/>
  <c r="E655" i="4"/>
  <c r="D655" i="4"/>
  <c r="I655" i="4" s="1"/>
  <c r="C655" i="4"/>
  <c r="B655" i="4"/>
  <c r="A655" i="4"/>
  <c r="I654" i="4"/>
  <c r="H654" i="4"/>
  <c r="G654" i="4"/>
  <c r="F654" i="4"/>
  <c r="E654" i="4"/>
  <c r="D654" i="4"/>
  <c r="C654" i="4"/>
  <c r="B654" i="4"/>
  <c r="A654" i="4"/>
  <c r="H653" i="4"/>
  <c r="G653" i="4"/>
  <c r="F653" i="4"/>
  <c r="E653" i="4"/>
  <c r="D653" i="4"/>
  <c r="C653" i="4"/>
  <c r="B653" i="4"/>
  <c r="A653" i="4"/>
  <c r="H652" i="4"/>
  <c r="G652" i="4"/>
  <c r="F652" i="4"/>
  <c r="E652" i="4"/>
  <c r="D652" i="4"/>
  <c r="C652" i="4"/>
  <c r="B652" i="4"/>
  <c r="A652" i="4"/>
  <c r="H651" i="4"/>
  <c r="G651" i="4"/>
  <c r="F651" i="4"/>
  <c r="E651" i="4"/>
  <c r="D651" i="4"/>
  <c r="C651" i="4"/>
  <c r="B651" i="4"/>
  <c r="A651" i="4"/>
  <c r="I650" i="4"/>
  <c r="H650" i="4"/>
  <c r="G650" i="4"/>
  <c r="F650" i="4"/>
  <c r="E650" i="4"/>
  <c r="D650" i="4"/>
  <c r="C650" i="4"/>
  <c r="B650" i="4"/>
  <c r="A650" i="4"/>
  <c r="H649" i="4"/>
  <c r="G649" i="4"/>
  <c r="F649" i="4"/>
  <c r="E649" i="4"/>
  <c r="D649" i="4"/>
  <c r="C649" i="4"/>
  <c r="B649" i="4"/>
  <c r="A649" i="4"/>
  <c r="I648" i="4"/>
  <c r="H648" i="4"/>
  <c r="G648" i="4"/>
  <c r="F648" i="4"/>
  <c r="E648" i="4"/>
  <c r="D648" i="4"/>
  <c r="C648" i="4"/>
  <c r="B648" i="4"/>
  <c r="A648" i="4"/>
  <c r="I647" i="4"/>
  <c r="H647" i="4"/>
  <c r="G647" i="4"/>
  <c r="F647" i="4"/>
  <c r="E647" i="4"/>
  <c r="D647" i="4"/>
  <c r="C647" i="4"/>
  <c r="B647" i="4"/>
  <c r="A647" i="4"/>
  <c r="H646" i="4"/>
  <c r="G646" i="4"/>
  <c r="F646" i="4"/>
  <c r="E646" i="4"/>
  <c r="I646" i="4" s="1"/>
  <c r="D646" i="4"/>
  <c r="C646" i="4"/>
  <c r="B646" i="4"/>
  <c r="A646" i="4"/>
  <c r="I645" i="4"/>
  <c r="H645" i="4"/>
  <c r="G645" i="4"/>
  <c r="F645" i="4"/>
  <c r="E645" i="4"/>
  <c r="D645" i="4"/>
  <c r="C645" i="4"/>
  <c r="B645" i="4"/>
  <c r="A645" i="4"/>
  <c r="H644" i="4"/>
  <c r="G644" i="4"/>
  <c r="F644" i="4"/>
  <c r="E644" i="4"/>
  <c r="D644" i="4"/>
  <c r="C644" i="4"/>
  <c r="B644" i="4"/>
  <c r="A644" i="4"/>
  <c r="H643" i="4"/>
  <c r="G643" i="4"/>
  <c r="F643" i="4"/>
  <c r="I643" i="4" s="1"/>
  <c r="E643" i="4"/>
  <c r="D643" i="4"/>
  <c r="C643" i="4"/>
  <c r="B643" i="4"/>
  <c r="A643" i="4"/>
  <c r="H642" i="4"/>
  <c r="G642" i="4"/>
  <c r="F642" i="4"/>
  <c r="E642" i="4"/>
  <c r="D642" i="4"/>
  <c r="I642" i="4" s="1"/>
  <c r="C642" i="4"/>
  <c r="B642" i="4"/>
  <c r="A642" i="4"/>
  <c r="I641" i="4"/>
  <c r="H641" i="4"/>
  <c r="G641" i="4"/>
  <c r="F641" i="4"/>
  <c r="E641" i="4"/>
  <c r="D641" i="4"/>
  <c r="C641" i="4"/>
  <c r="B641" i="4"/>
  <c r="A641" i="4"/>
  <c r="H640" i="4"/>
  <c r="G640" i="4"/>
  <c r="F640" i="4"/>
  <c r="E640" i="4"/>
  <c r="D640" i="4"/>
  <c r="C640" i="4"/>
  <c r="B640" i="4"/>
  <c r="A640" i="4"/>
  <c r="I639" i="4"/>
  <c r="H639" i="4"/>
  <c r="G639" i="4"/>
  <c r="F639" i="4"/>
  <c r="E639" i="4"/>
  <c r="D639" i="4"/>
  <c r="C639" i="4"/>
  <c r="B639" i="4"/>
  <c r="A639" i="4"/>
  <c r="H638" i="4"/>
  <c r="G638" i="4"/>
  <c r="F638" i="4"/>
  <c r="E638" i="4"/>
  <c r="D638" i="4"/>
  <c r="I638" i="4" s="1"/>
  <c r="C638" i="4"/>
  <c r="B638" i="4"/>
  <c r="A638" i="4"/>
  <c r="H637" i="4"/>
  <c r="G637" i="4"/>
  <c r="F637" i="4"/>
  <c r="E637" i="4"/>
  <c r="D637" i="4"/>
  <c r="I637" i="4" s="1"/>
  <c r="C637" i="4"/>
  <c r="B637" i="4"/>
  <c r="A637" i="4"/>
  <c r="H636" i="4"/>
  <c r="G636" i="4"/>
  <c r="F636" i="4"/>
  <c r="E636" i="4"/>
  <c r="D636" i="4"/>
  <c r="I636" i="4" s="1"/>
  <c r="C636" i="4"/>
  <c r="B636" i="4"/>
  <c r="A636" i="4"/>
  <c r="H635" i="4"/>
  <c r="G635" i="4"/>
  <c r="F635" i="4"/>
  <c r="E635" i="4"/>
  <c r="D635" i="4"/>
  <c r="I635" i="4" s="1"/>
  <c r="C635" i="4"/>
  <c r="B635" i="4"/>
  <c r="A635" i="4"/>
  <c r="H634" i="4"/>
  <c r="G634" i="4"/>
  <c r="F634" i="4"/>
  <c r="I634" i="4" s="1"/>
  <c r="E634" i="4"/>
  <c r="D634" i="4"/>
  <c r="C634" i="4"/>
  <c r="B634" i="4"/>
  <c r="A634" i="4"/>
  <c r="H633" i="4"/>
  <c r="G633" i="4"/>
  <c r="F633" i="4"/>
  <c r="E633" i="4"/>
  <c r="D633" i="4"/>
  <c r="C633" i="4"/>
  <c r="B633" i="4"/>
  <c r="A633" i="4"/>
  <c r="I632" i="4"/>
  <c r="H632" i="4"/>
  <c r="G632" i="4"/>
  <c r="F632" i="4"/>
  <c r="E632" i="4"/>
  <c r="D632" i="4"/>
  <c r="C632" i="4"/>
  <c r="B632" i="4"/>
  <c r="A632" i="4"/>
  <c r="H631" i="4"/>
  <c r="G631" i="4"/>
  <c r="F631" i="4"/>
  <c r="E631" i="4"/>
  <c r="D631" i="4"/>
  <c r="C631" i="4"/>
  <c r="I631" i="4" s="1"/>
  <c r="B631" i="4"/>
  <c r="A631" i="4"/>
  <c r="H630" i="4"/>
  <c r="G630" i="4"/>
  <c r="F630" i="4"/>
  <c r="E630" i="4"/>
  <c r="I630" i="4" s="1"/>
  <c r="D630" i="4"/>
  <c r="C630" i="4"/>
  <c r="B630" i="4"/>
  <c r="A630" i="4"/>
  <c r="H629" i="4"/>
  <c r="G629" i="4"/>
  <c r="F629" i="4"/>
  <c r="E629" i="4"/>
  <c r="D629" i="4"/>
  <c r="C629" i="4"/>
  <c r="B629" i="4"/>
  <c r="A629" i="4"/>
  <c r="H628" i="4"/>
  <c r="G628" i="4"/>
  <c r="F628" i="4"/>
  <c r="E628" i="4"/>
  <c r="D628" i="4"/>
  <c r="C628" i="4"/>
  <c r="B628" i="4"/>
  <c r="A628" i="4"/>
  <c r="I627" i="4"/>
  <c r="H627" i="4"/>
  <c r="G627" i="4"/>
  <c r="F627" i="4"/>
  <c r="E627" i="4"/>
  <c r="D627" i="4"/>
  <c r="C627" i="4"/>
  <c r="B627" i="4"/>
  <c r="A627" i="4"/>
  <c r="I626" i="4"/>
  <c r="H626" i="4"/>
  <c r="G626" i="4"/>
  <c r="F626" i="4"/>
  <c r="E626" i="4"/>
  <c r="D626" i="4"/>
  <c r="C626" i="4"/>
  <c r="B626" i="4"/>
  <c r="A626" i="4"/>
  <c r="I625" i="4"/>
  <c r="H625" i="4"/>
  <c r="G625" i="4"/>
  <c r="F625" i="4"/>
  <c r="E625" i="4"/>
  <c r="D625" i="4"/>
  <c r="C625" i="4"/>
  <c r="B625" i="4"/>
  <c r="A625" i="4"/>
  <c r="I624" i="4"/>
  <c r="H624" i="4"/>
  <c r="G624" i="4"/>
  <c r="F624" i="4"/>
  <c r="E624" i="4"/>
  <c r="D624" i="4"/>
  <c r="C624" i="4"/>
  <c r="B624" i="4"/>
  <c r="A624" i="4"/>
  <c r="H623" i="4"/>
  <c r="G623" i="4"/>
  <c r="F623" i="4"/>
  <c r="E623" i="4"/>
  <c r="D623" i="4"/>
  <c r="I623" i="4" s="1"/>
  <c r="C623" i="4"/>
  <c r="B623" i="4"/>
  <c r="A623" i="4"/>
  <c r="H622" i="4"/>
  <c r="G622" i="4"/>
  <c r="F622" i="4"/>
  <c r="E622" i="4"/>
  <c r="I622" i="4" s="1"/>
  <c r="D622" i="4"/>
  <c r="C622" i="4"/>
  <c r="B622" i="4"/>
  <c r="A622" i="4"/>
  <c r="H621" i="4"/>
  <c r="G621" i="4"/>
  <c r="F621" i="4"/>
  <c r="E621" i="4"/>
  <c r="D621" i="4"/>
  <c r="C621" i="4"/>
  <c r="B621" i="4"/>
  <c r="A621" i="4"/>
  <c r="H620" i="4"/>
  <c r="G620" i="4"/>
  <c r="F620" i="4"/>
  <c r="E620" i="4"/>
  <c r="D620" i="4"/>
  <c r="C620" i="4"/>
  <c r="B620" i="4"/>
  <c r="A620" i="4"/>
  <c r="H619" i="4"/>
  <c r="G619" i="4"/>
  <c r="F619" i="4"/>
  <c r="E619" i="4"/>
  <c r="D619" i="4"/>
  <c r="C619" i="4"/>
  <c r="B619" i="4"/>
  <c r="A619" i="4"/>
  <c r="I618" i="4"/>
  <c r="H618" i="4"/>
  <c r="G618" i="4"/>
  <c r="F618" i="4"/>
  <c r="E618" i="4"/>
  <c r="D618" i="4"/>
  <c r="C618" i="4"/>
  <c r="B618" i="4"/>
  <c r="A618" i="4"/>
  <c r="H617" i="4"/>
  <c r="G617" i="4"/>
  <c r="F617" i="4"/>
  <c r="E617" i="4"/>
  <c r="D617" i="4"/>
  <c r="C617" i="4"/>
  <c r="B617" i="4"/>
  <c r="A617" i="4"/>
  <c r="H616" i="4"/>
  <c r="G616" i="4"/>
  <c r="F616" i="4"/>
  <c r="E616" i="4"/>
  <c r="D616" i="4"/>
  <c r="C616" i="4"/>
  <c r="I616" i="4" s="1"/>
  <c r="B616" i="4"/>
  <c r="A616" i="4"/>
  <c r="H615" i="4"/>
  <c r="G615" i="4"/>
  <c r="F615" i="4"/>
  <c r="E615" i="4"/>
  <c r="I615" i="4" s="1"/>
  <c r="D615" i="4"/>
  <c r="C615" i="4"/>
  <c r="B615" i="4"/>
  <c r="A615" i="4"/>
  <c r="H614" i="4"/>
  <c r="G614" i="4"/>
  <c r="F614" i="4"/>
  <c r="E614" i="4"/>
  <c r="I614" i="4" s="1"/>
  <c r="D614" i="4"/>
  <c r="C614" i="4"/>
  <c r="B614" i="4"/>
  <c r="A614" i="4"/>
  <c r="H613" i="4"/>
  <c r="G613" i="4"/>
  <c r="F613" i="4"/>
  <c r="I613" i="4" s="1"/>
  <c r="E613" i="4"/>
  <c r="D613" i="4"/>
  <c r="C613" i="4"/>
  <c r="B613" i="4"/>
  <c r="A613" i="4"/>
  <c r="H612" i="4"/>
  <c r="G612" i="4"/>
  <c r="F612" i="4"/>
  <c r="E612" i="4"/>
  <c r="D612" i="4"/>
  <c r="C612" i="4"/>
  <c r="B612" i="4"/>
  <c r="A612" i="4"/>
  <c r="I611" i="4"/>
  <c r="H611" i="4"/>
  <c r="G611" i="4"/>
  <c r="F611" i="4"/>
  <c r="E611" i="4"/>
  <c r="D611" i="4"/>
  <c r="C611" i="4"/>
  <c r="B611" i="4"/>
  <c r="A611" i="4"/>
  <c r="H610" i="4"/>
  <c r="G610" i="4"/>
  <c r="F610" i="4"/>
  <c r="E610" i="4"/>
  <c r="D610" i="4"/>
  <c r="I610" i="4" s="1"/>
  <c r="C610" i="4"/>
  <c r="B610" i="4"/>
  <c r="A610" i="4"/>
  <c r="I609" i="4"/>
  <c r="H609" i="4"/>
  <c r="G609" i="4"/>
  <c r="F609" i="4"/>
  <c r="E609" i="4"/>
  <c r="D609" i="4"/>
  <c r="C609" i="4"/>
  <c r="B609" i="4"/>
  <c r="A609" i="4"/>
  <c r="H608" i="4"/>
  <c r="G608" i="4"/>
  <c r="F608" i="4"/>
  <c r="E608" i="4"/>
  <c r="D608" i="4"/>
  <c r="C608" i="4"/>
  <c r="B608" i="4"/>
  <c r="A608" i="4"/>
  <c r="I607" i="4"/>
  <c r="H607" i="4"/>
  <c r="G607" i="4"/>
  <c r="F607" i="4"/>
  <c r="E607" i="4"/>
  <c r="D607" i="4"/>
  <c r="C607" i="4"/>
  <c r="B607" i="4"/>
  <c r="A607" i="4"/>
  <c r="H606" i="4"/>
  <c r="G606" i="4"/>
  <c r="F606" i="4"/>
  <c r="E606" i="4"/>
  <c r="D606" i="4"/>
  <c r="I606" i="4" s="1"/>
  <c r="C606" i="4"/>
  <c r="B606" i="4"/>
  <c r="A606" i="4"/>
  <c r="H605" i="4"/>
  <c r="G605" i="4"/>
  <c r="F605" i="4"/>
  <c r="E605" i="4"/>
  <c r="D605" i="4"/>
  <c r="C605" i="4"/>
  <c r="B605" i="4"/>
  <c r="A605" i="4"/>
  <c r="H604" i="4"/>
  <c r="G604" i="4"/>
  <c r="F604" i="4"/>
  <c r="E604" i="4"/>
  <c r="I604" i="4" s="1"/>
  <c r="D604" i="4"/>
  <c r="C604" i="4"/>
  <c r="B604" i="4"/>
  <c r="A604" i="4"/>
  <c r="H603" i="4"/>
  <c r="G603" i="4"/>
  <c r="F603" i="4"/>
  <c r="E603" i="4"/>
  <c r="D603" i="4"/>
  <c r="I603" i="4" s="1"/>
  <c r="C603" i="4"/>
  <c r="B603" i="4"/>
  <c r="A603" i="4"/>
  <c r="H602" i="4"/>
  <c r="G602" i="4"/>
  <c r="F602" i="4"/>
  <c r="I602" i="4" s="1"/>
  <c r="E602" i="4"/>
  <c r="D602" i="4"/>
  <c r="C602" i="4"/>
  <c r="B602" i="4"/>
  <c r="A602" i="4"/>
  <c r="H601" i="4"/>
  <c r="G601" i="4"/>
  <c r="F601" i="4"/>
  <c r="E601" i="4"/>
  <c r="D601" i="4"/>
  <c r="C601" i="4"/>
  <c r="B601" i="4"/>
  <c r="A601" i="4"/>
  <c r="H600" i="4"/>
  <c r="G600" i="4"/>
  <c r="F600" i="4"/>
  <c r="E600" i="4"/>
  <c r="D600" i="4"/>
  <c r="C600" i="4"/>
  <c r="I600" i="4" s="1"/>
  <c r="B600" i="4"/>
  <c r="A600" i="4"/>
  <c r="H599" i="4"/>
  <c r="G599" i="4"/>
  <c r="F599" i="4"/>
  <c r="E599" i="4"/>
  <c r="D599" i="4"/>
  <c r="C599" i="4"/>
  <c r="B599" i="4"/>
  <c r="A599" i="4"/>
  <c r="H598" i="4"/>
  <c r="G598" i="4"/>
  <c r="F598" i="4"/>
  <c r="E598" i="4"/>
  <c r="D598" i="4"/>
  <c r="C598" i="4"/>
  <c r="B598" i="4"/>
  <c r="A598" i="4"/>
  <c r="H597" i="4"/>
  <c r="G597" i="4"/>
  <c r="F597" i="4"/>
  <c r="E597" i="4"/>
  <c r="D597" i="4"/>
  <c r="I597" i="4" s="1"/>
  <c r="C597" i="4"/>
  <c r="B597" i="4"/>
  <c r="A597" i="4"/>
  <c r="H596" i="4"/>
  <c r="G596" i="4"/>
  <c r="F596" i="4"/>
  <c r="E596" i="4"/>
  <c r="D596" i="4"/>
  <c r="C596" i="4"/>
  <c r="B596" i="4"/>
  <c r="A596" i="4"/>
  <c r="H595" i="4"/>
  <c r="G595" i="4"/>
  <c r="F595" i="4"/>
  <c r="E595" i="4"/>
  <c r="I595" i="4" s="1"/>
  <c r="D595" i="4"/>
  <c r="C595" i="4"/>
  <c r="B595" i="4"/>
  <c r="A595" i="4"/>
  <c r="H594" i="4"/>
  <c r="G594" i="4"/>
  <c r="F594" i="4"/>
  <c r="E594" i="4"/>
  <c r="D594" i="4"/>
  <c r="C594" i="4"/>
  <c r="I594" i="4" s="1"/>
  <c r="B594" i="4"/>
  <c r="A594" i="4"/>
  <c r="I593" i="4"/>
  <c r="H593" i="4"/>
  <c r="G593" i="4"/>
  <c r="F593" i="4"/>
  <c r="E593" i="4"/>
  <c r="D593" i="4"/>
  <c r="C593" i="4"/>
  <c r="B593" i="4"/>
  <c r="A593" i="4"/>
  <c r="I592" i="4"/>
  <c r="H592" i="4"/>
  <c r="G592" i="4"/>
  <c r="F592" i="4"/>
  <c r="E592" i="4"/>
  <c r="D592" i="4"/>
  <c r="C592" i="4"/>
  <c r="B592" i="4"/>
  <c r="A592" i="4"/>
  <c r="I591" i="4"/>
  <c r="H591" i="4"/>
  <c r="G591" i="4"/>
  <c r="F591" i="4"/>
  <c r="E591" i="4"/>
  <c r="D591" i="4"/>
  <c r="C591" i="4"/>
  <c r="B591" i="4"/>
  <c r="A591" i="4"/>
  <c r="H590" i="4"/>
  <c r="G590" i="4"/>
  <c r="F590" i="4"/>
  <c r="E590" i="4"/>
  <c r="D590" i="4"/>
  <c r="C590" i="4"/>
  <c r="B590" i="4"/>
  <c r="A590" i="4"/>
  <c r="H589" i="4"/>
  <c r="G589" i="4"/>
  <c r="F589" i="4"/>
  <c r="E589" i="4"/>
  <c r="D589" i="4"/>
  <c r="C589" i="4"/>
  <c r="B589" i="4"/>
  <c r="A589" i="4"/>
  <c r="H588" i="4"/>
  <c r="G588" i="4"/>
  <c r="F588" i="4"/>
  <c r="E588" i="4"/>
  <c r="D588" i="4"/>
  <c r="I588" i="4" s="1"/>
  <c r="C588" i="4"/>
  <c r="B588" i="4"/>
  <c r="A588" i="4"/>
  <c r="H587" i="4"/>
  <c r="G587" i="4"/>
  <c r="F587" i="4"/>
  <c r="E587" i="4"/>
  <c r="D587" i="4"/>
  <c r="I587" i="4" s="1"/>
  <c r="C587" i="4"/>
  <c r="B587" i="4"/>
  <c r="A587" i="4"/>
  <c r="I586" i="4"/>
  <c r="H586" i="4"/>
  <c r="G586" i="4"/>
  <c r="F586" i="4"/>
  <c r="E586" i="4"/>
  <c r="D586" i="4"/>
  <c r="C586" i="4"/>
  <c r="B586" i="4"/>
  <c r="A586" i="4"/>
  <c r="H585" i="4"/>
  <c r="G585" i="4"/>
  <c r="F585" i="4"/>
  <c r="E585" i="4"/>
  <c r="D585" i="4"/>
  <c r="C585" i="4"/>
  <c r="B585" i="4"/>
  <c r="A585" i="4"/>
  <c r="I584" i="4"/>
  <c r="H584" i="4"/>
  <c r="G584" i="4"/>
  <c r="F584" i="4"/>
  <c r="E584" i="4"/>
  <c r="D584" i="4"/>
  <c r="C584" i="4"/>
  <c r="B584" i="4"/>
  <c r="A584" i="4"/>
  <c r="H583" i="4"/>
  <c r="G583" i="4"/>
  <c r="F583" i="4"/>
  <c r="E583" i="4"/>
  <c r="D583" i="4"/>
  <c r="C583" i="4"/>
  <c r="I583" i="4" s="1"/>
  <c r="B583" i="4"/>
  <c r="A583" i="4"/>
  <c r="H582" i="4"/>
  <c r="G582" i="4"/>
  <c r="F582" i="4"/>
  <c r="E582" i="4"/>
  <c r="I582" i="4" s="1"/>
  <c r="D582" i="4"/>
  <c r="C582" i="4"/>
  <c r="B582" i="4"/>
  <c r="A582" i="4"/>
  <c r="H581" i="4"/>
  <c r="G581" i="4"/>
  <c r="F581" i="4"/>
  <c r="E581" i="4"/>
  <c r="D581" i="4"/>
  <c r="C581" i="4"/>
  <c r="B581" i="4"/>
  <c r="A581" i="4"/>
  <c r="H580" i="4"/>
  <c r="G580" i="4"/>
  <c r="F580" i="4"/>
  <c r="E580" i="4"/>
  <c r="D580" i="4"/>
  <c r="C580" i="4"/>
  <c r="B580" i="4"/>
  <c r="A580" i="4"/>
  <c r="I579" i="4"/>
  <c r="H579" i="4"/>
  <c r="G579" i="4"/>
  <c r="F579" i="4"/>
  <c r="E579" i="4"/>
  <c r="D579" i="4"/>
  <c r="C579" i="4"/>
  <c r="B579" i="4"/>
  <c r="A579" i="4"/>
  <c r="I578" i="4"/>
  <c r="H578" i="4"/>
  <c r="G578" i="4"/>
  <c r="F578" i="4"/>
  <c r="E578" i="4"/>
  <c r="D578" i="4"/>
  <c r="C578" i="4"/>
  <c r="B578" i="4"/>
  <c r="A578" i="4"/>
  <c r="I577" i="4"/>
  <c r="H577" i="4"/>
  <c r="G577" i="4"/>
  <c r="F577" i="4"/>
  <c r="E577" i="4"/>
  <c r="D577" i="4"/>
  <c r="C577" i="4"/>
  <c r="B577" i="4"/>
  <c r="A577" i="4"/>
  <c r="H576" i="4"/>
  <c r="G576" i="4"/>
  <c r="F576" i="4"/>
  <c r="E576" i="4"/>
  <c r="D576" i="4"/>
  <c r="I576" i="4" s="1"/>
  <c r="C576" i="4"/>
  <c r="B576" i="4"/>
  <c r="A576" i="4"/>
  <c r="I575" i="4"/>
  <c r="H575" i="4"/>
  <c r="G575" i="4"/>
  <c r="F575" i="4"/>
  <c r="E575" i="4"/>
  <c r="D575" i="4"/>
  <c r="C575" i="4"/>
  <c r="B575" i="4"/>
  <c r="A575" i="4"/>
  <c r="H574" i="4"/>
  <c r="G574" i="4"/>
  <c r="F574" i="4"/>
  <c r="E574" i="4"/>
  <c r="I574" i="4" s="1"/>
  <c r="D574" i="4"/>
  <c r="C574" i="4"/>
  <c r="B574" i="4"/>
  <c r="A574" i="4"/>
  <c r="H573" i="4"/>
  <c r="G573" i="4"/>
  <c r="F573" i="4"/>
  <c r="E573" i="4"/>
  <c r="D573" i="4"/>
  <c r="C573" i="4"/>
  <c r="B573" i="4"/>
  <c r="A573" i="4"/>
  <c r="I572" i="4"/>
  <c r="H572" i="4"/>
  <c r="G572" i="4"/>
  <c r="F572" i="4"/>
  <c r="E572" i="4"/>
  <c r="D572" i="4"/>
  <c r="C572" i="4"/>
  <c r="B572" i="4"/>
  <c r="A572" i="4"/>
  <c r="H571" i="4"/>
  <c r="G571" i="4"/>
  <c r="F571" i="4"/>
  <c r="E571" i="4"/>
  <c r="D571" i="4"/>
  <c r="C571" i="4"/>
  <c r="B571" i="4"/>
  <c r="A571" i="4"/>
  <c r="I570" i="4"/>
  <c r="H570" i="4"/>
  <c r="G570" i="4"/>
  <c r="F570" i="4"/>
  <c r="E570" i="4"/>
  <c r="D570" i="4"/>
  <c r="C570" i="4"/>
  <c r="B570" i="4"/>
  <c r="A570" i="4"/>
  <c r="H569" i="4"/>
  <c r="G569" i="4"/>
  <c r="F569" i="4"/>
  <c r="E569" i="4"/>
  <c r="D569" i="4"/>
  <c r="I569" i="4" s="1"/>
  <c r="C569" i="4"/>
  <c r="B569" i="4"/>
  <c r="A569" i="4"/>
  <c r="H568" i="4"/>
  <c r="G568" i="4"/>
  <c r="F568" i="4"/>
  <c r="E568" i="4"/>
  <c r="D568" i="4"/>
  <c r="C568" i="4"/>
  <c r="I568" i="4" s="1"/>
  <c r="B568" i="4"/>
  <c r="A568" i="4"/>
  <c r="H567" i="4"/>
  <c r="G567" i="4"/>
  <c r="F567" i="4"/>
  <c r="I567" i="4" s="1"/>
  <c r="E567" i="4"/>
  <c r="D567" i="4"/>
  <c r="C567" i="4"/>
  <c r="B567" i="4"/>
  <c r="A567" i="4"/>
  <c r="H566" i="4"/>
  <c r="G566" i="4"/>
  <c r="F566" i="4"/>
  <c r="E566" i="4"/>
  <c r="D566" i="4"/>
  <c r="C566" i="4"/>
  <c r="B566" i="4"/>
  <c r="A566" i="4"/>
  <c r="H565" i="4"/>
  <c r="G565" i="4"/>
  <c r="F565" i="4"/>
  <c r="E565" i="4"/>
  <c r="D565" i="4"/>
  <c r="C565" i="4"/>
  <c r="I565" i="4" s="1"/>
  <c r="B565" i="4"/>
  <c r="A565" i="4"/>
  <c r="H564" i="4"/>
  <c r="G564" i="4"/>
  <c r="F564" i="4"/>
  <c r="E564" i="4"/>
  <c r="D564" i="4"/>
  <c r="C564" i="4"/>
  <c r="B564" i="4"/>
  <c r="A564" i="4"/>
  <c r="I563" i="4"/>
  <c r="H563" i="4"/>
  <c r="G563" i="4"/>
  <c r="F563" i="4"/>
  <c r="E563" i="4"/>
  <c r="D563" i="4"/>
  <c r="C563" i="4"/>
  <c r="B563" i="4"/>
  <c r="A563" i="4"/>
  <c r="H562" i="4"/>
  <c r="G562" i="4"/>
  <c r="F562" i="4"/>
  <c r="E562" i="4"/>
  <c r="I562" i="4" s="1"/>
  <c r="D562" i="4"/>
  <c r="C562" i="4"/>
  <c r="B562" i="4"/>
  <c r="A562" i="4"/>
  <c r="I561" i="4"/>
  <c r="H561" i="4"/>
  <c r="G561" i="4"/>
  <c r="F561" i="4"/>
  <c r="E561" i="4"/>
  <c r="D561" i="4"/>
  <c r="C561" i="4"/>
  <c r="B561" i="4"/>
  <c r="A561" i="4"/>
  <c r="I560" i="4"/>
  <c r="H560" i="4"/>
  <c r="G560" i="4"/>
  <c r="F560" i="4"/>
  <c r="E560" i="4"/>
  <c r="D560" i="4"/>
  <c r="C560" i="4"/>
  <c r="B560" i="4"/>
  <c r="A560" i="4"/>
  <c r="H559" i="4"/>
  <c r="G559" i="4"/>
  <c r="F559" i="4"/>
  <c r="E559" i="4"/>
  <c r="D559" i="4"/>
  <c r="I559" i="4" s="1"/>
  <c r="C559" i="4"/>
  <c r="B559" i="4"/>
  <c r="A559" i="4"/>
  <c r="I558" i="4"/>
  <c r="H558" i="4"/>
  <c r="G558" i="4"/>
  <c r="F558" i="4"/>
  <c r="E558" i="4"/>
  <c r="D558" i="4"/>
  <c r="C558" i="4"/>
  <c r="B558" i="4"/>
  <c r="A558" i="4"/>
  <c r="H557" i="4"/>
  <c r="G557" i="4"/>
  <c r="F557" i="4"/>
  <c r="E557" i="4"/>
  <c r="D557" i="4"/>
  <c r="C557" i="4"/>
  <c r="B557" i="4"/>
  <c r="A557" i="4"/>
  <c r="I556" i="4"/>
  <c r="H556" i="4"/>
  <c r="G556" i="4"/>
  <c r="F556" i="4"/>
  <c r="E556" i="4"/>
  <c r="D556" i="4"/>
  <c r="C556" i="4"/>
  <c r="B556" i="4"/>
  <c r="A556" i="4"/>
  <c r="H555" i="4"/>
  <c r="G555" i="4"/>
  <c r="F555" i="4"/>
  <c r="E555" i="4"/>
  <c r="D555" i="4"/>
  <c r="I555" i="4" s="1"/>
  <c r="C555" i="4"/>
  <c r="B555" i="4"/>
  <c r="A555" i="4"/>
  <c r="I554" i="4"/>
  <c r="H554" i="4"/>
  <c r="G554" i="4"/>
  <c r="F554" i="4"/>
  <c r="E554" i="4"/>
  <c r="D554" i="4"/>
  <c r="C554" i="4"/>
  <c r="B554" i="4"/>
  <c r="A554" i="4"/>
  <c r="H553" i="4"/>
  <c r="G553" i="4"/>
  <c r="F553" i="4"/>
  <c r="E553" i="4"/>
  <c r="D553" i="4"/>
  <c r="C553" i="4"/>
  <c r="B553" i="4"/>
  <c r="A553" i="4"/>
  <c r="I552" i="4"/>
  <c r="H552" i="4"/>
  <c r="G552" i="4"/>
  <c r="F552" i="4"/>
  <c r="E552" i="4"/>
  <c r="D552" i="4"/>
  <c r="C552" i="4"/>
  <c r="B552" i="4"/>
  <c r="A552" i="4"/>
  <c r="I551" i="4"/>
  <c r="H551" i="4"/>
  <c r="G551" i="4"/>
  <c r="F551" i="4"/>
  <c r="E551" i="4"/>
  <c r="D551" i="4"/>
  <c r="C551" i="4"/>
  <c r="B551" i="4"/>
  <c r="A551" i="4"/>
  <c r="H550" i="4"/>
  <c r="G550" i="4"/>
  <c r="F550" i="4"/>
  <c r="E550" i="4"/>
  <c r="I550" i="4" s="1"/>
  <c r="D550" i="4"/>
  <c r="C550" i="4"/>
  <c r="B550" i="4"/>
  <c r="A550" i="4"/>
  <c r="H549" i="4"/>
  <c r="G549" i="4"/>
  <c r="F549" i="4"/>
  <c r="E549" i="4"/>
  <c r="I549" i="4" s="1"/>
  <c r="D549" i="4"/>
  <c r="C549" i="4"/>
  <c r="B549" i="4"/>
  <c r="A549" i="4"/>
  <c r="H548" i="4"/>
  <c r="G548" i="4"/>
  <c r="F548" i="4"/>
  <c r="E548" i="4"/>
  <c r="D548" i="4"/>
  <c r="C548" i="4"/>
  <c r="B548" i="4"/>
  <c r="A548" i="4"/>
  <c r="I547" i="4"/>
  <c r="H547" i="4"/>
  <c r="G547" i="4"/>
  <c r="F547" i="4"/>
  <c r="E547" i="4"/>
  <c r="D547" i="4"/>
  <c r="C547" i="4"/>
  <c r="B547" i="4"/>
  <c r="A547" i="4"/>
  <c r="H546" i="4"/>
  <c r="G546" i="4"/>
  <c r="F546" i="4"/>
  <c r="E546" i="4"/>
  <c r="D546" i="4"/>
  <c r="C546" i="4"/>
  <c r="B546" i="4"/>
  <c r="A546" i="4"/>
  <c r="I545" i="4"/>
  <c r="H545" i="4"/>
  <c r="G545" i="4"/>
  <c r="F545" i="4"/>
  <c r="E545" i="4"/>
  <c r="D545" i="4"/>
  <c r="C545" i="4"/>
  <c r="B545" i="4"/>
  <c r="A545" i="4"/>
  <c r="H544" i="4"/>
  <c r="G544" i="4"/>
  <c r="F544" i="4"/>
  <c r="E544" i="4"/>
  <c r="D544" i="4"/>
  <c r="C544" i="4"/>
  <c r="B544" i="4"/>
  <c r="A544" i="4"/>
  <c r="I543" i="4"/>
  <c r="H543" i="4"/>
  <c r="G543" i="4"/>
  <c r="F543" i="4"/>
  <c r="E543" i="4"/>
  <c r="D543" i="4"/>
  <c r="C543" i="4"/>
  <c r="B543" i="4"/>
  <c r="A543" i="4"/>
  <c r="H542" i="4"/>
  <c r="G542" i="4"/>
  <c r="F542" i="4"/>
  <c r="E542" i="4"/>
  <c r="D542" i="4"/>
  <c r="C542" i="4"/>
  <c r="B542" i="4"/>
  <c r="A542" i="4"/>
  <c r="H541" i="4"/>
  <c r="G541" i="4"/>
  <c r="F541" i="4"/>
  <c r="E541" i="4"/>
  <c r="D541" i="4"/>
  <c r="I541" i="4" s="1"/>
  <c r="C541" i="4"/>
  <c r="B541" i="4"/>
  <c r="A541" i="4"/>
  <c r="H540" i="4"/>
  <c r="G540" i="4"/>
  <c r="F540" i="4"/>
  <c r="E540" i="4"/>
  <c r="D540" i="4"/>
  <c r="C540" i="4"/>
  <c r="B540" i="4"/>
  <c r="A540" i="4"/>
  <c r="H539" i="4"/>
  <c r="G539" i="4"/>
  <c r="F539" i="4"/>
  <c r="E539" i="4"/>
  <c r="D539" i="4"/>
  <c r="C539" i="4"/>
  <c r="B539" i="4"/>
  <c r="A539" i="4"/>
  <c r="I538" i="4"/>
  <c r="H538" i="4"/>
  <c r="G538" i="4"/>
  <c r="F538" i="4"/>
  <c r="E538" i="4"/>
  <c r="D538" i="4"/>
  <c r="C538" i="4"/>
  <c r="B538" i="4"/>
  <c r="A538" i="4"/>
  <c r="H537" i="4"/>
  <c r="G537" i="4"/>
  <c r="F537" i="4"/>
  <c r="E537" i="4"/>
  <c r="D537" i="4"/>
  <c r="C537" i="4"/>
  <c r="B537" i="4"/>
  <c r="A537" i="4"/>
  <c r="I536" i="4"/>
  <c r="H536" i="4"/>
  <c r="G536" i="4"/>
  <c r="F536" i="4"/>
  <c r="E536" i="4"/>
  <c r="D536" i="4"/>
  <c r="C536" i="4"/>
  <c r="B536" i="4"/>
  <c r="A536" i="4"/>
  <c r="H535" i="4"/>
  <c r="G535" i="4"/>
  <c r="F535" i="4"/>
  <c r="E535" i="4"/>
  <c r="D535" i="4"/>
  <c r="C535" i="4"/>
  <c r="B535" i="4"/>
  <c r="A535" i="4"/>
  <c r="H534" i="4"/>
  <c r="G534" i="4"/>
  <c r="F534" i="4"/>
  <c r="E534" i="4"/>
  <c r="I534" i="4" s="1"/>
  <c r="D534" i="4"/>
  <c r="C534" i="4"/>
  <c r="B534" i="4"/>
  <c r="A534" i="4"/>
  <c r="H533" i="4"/>
  <c r="G533" i="4"/>
  <c r="F533" i="4"/>
  <c r="E533" i="4"/>
  <c r="D533" i="4"/>
  <c r="C533" i="4"/>
  <c r="B533" i="4"/>
  <c r="A533" i="4"/>
  <c r="H532" i="4"/>
  <c r="G532" i="4"/>
  <c r="F532" i="4"/>
  <c r="E532" i="4"/>
  <c r="D532" i="4"/>
  <c r="C532" i="4"/>
  <c r="B532" i="4"/>
  <c r="A532" i="4"/>
  <c r="H531" i="4"/>
  <c r="G531" i="4"/>
  <c r="F531" i="4"/>
  <c r="E531" i="4"/>
  <c r="I531" i="4" s="1"/>
  <c r="D531" i="4"/>
  <c r="C531" i="4"/>
  <c r="B531" i="4"/>
  <c r="A531" i="4"/>
  <c r="I530" i="4"/>
  <c r="H530" i="4"/>
  <c r="G530" i="4"/>
  <c r="F530" i="4"/>
  <c r="E530" i="4"/>
  <c r="D530" i="4"/>
  <c r="C530" i="4"/>
  <c r="B530" i="4"/>
  <c r="A530" i="4"/>
  <c r="I529" i="4"/>
  <c r="H529" i="4"/>
  <c r="G529" i="4"/>
  <c r="F529" i="4"/>
  <c r="E529" i="4"/>
  <c r="D529" i="4"/>
  <c r="C529" i="4"/>
  <c r="B529" i="4"/>
  <c r="A529" i="4"/>
  <c r="I528" i="4"/>
  <c r="H528" i="4"/>
  <c r="G528" i="4"/>
  <c r="F528" i="4"/>
  <c r="E528" i="4"/>
  <c r="D528" i="4"/>
  <c r="C528" i="4"/>
  <c r="B528" i="4"/>
  <c r="A528" i="4"/>
  <c r="H527" i="4"/>
  <c r="G527" i="4"/>
  <c r="F527" i="4"/>
  <c r="E527" i="4"/>
  <c r="D527" i="4"/>
  <c r="I527" i="4" s="1"/>
  <c r="C527" i="4"/>
  <c r="B527" i="4"/>
  <c r="A527" i="4"/>
  <c r="H526" i="4"/>
  <c r="G526" i="4"/>
  <c r="F526" i="4"/>
  <c r="E526" i="4"/>
  <c r="D526" i="4"/>
  <c r="C526" i="4"/>
  <c r="I526" i="4" s="1"/>
  <c r="B526" i="4"/>
  <c r="A526" i="4"/>
  <c r="H525" i="4"/>
  <c r="G525" i="4"/>
  <c r="F525" i="4"/>
  <c r="E525" i="4"/>
  <c r="D525" i="4"/>
  <c r="I525" i="4" s="1"/>
  <c r="C525" i="4"/>
  <c r="B525" i="4"/>
  <c r="A525" i="4"/>
  <c r="H524" i="4"/>
  <c r="G524" i="4"/>
  <c r="F524" i="4"/>
  <c r="E524" i="4"/>
  <c r="D524" i="4"/>
  <c r="I524" i="4" s="1"/>
  <c r="C524" i="4"/>
  <c r="B524" i="4"/>
  <c r="A524" i="4"/>
  <c r="H523" i="4"/>
  <c r="G523" i="4"/>
  <c r="F523" i="4"/>
  <c r="E523" i="4"/>
  <c r="D523" i="4"/>
  <c r="I523" i="4" s="1"/>
  <c r="C523" i="4"/>
  <c r="B523" i="4"/>
  <c r="A523" i="4"/>
  <c r="I522" i="4"/>
  <c r="H522" i="4"/>
  <c r="G522" i="4"/>
  <c r="F522" i="4"/>
  <c r="E522" i="4"/>
  <c r="D522" i="4"/>
  <c r="C522" i="4"/>
  <c r="B522" i="4"/>
  <c r="A522" i="4"/>
  <c r="H521" i="4"/>
  <c r="G521" i="4"/>
  <c r="F521" i="4"/>
  <c r="E521" i="4"/>
  <c r="D521" i="4"/>
  <c r="C521" i="4"/>
  <c r="B521" i="4"/>
  <c r="A521" i="4"/>
  <c r="H520" i="4"/>
  <c r="G520" i="4"/>
  <c r="F520" i="4"/>
  <c r="E520" i="4"/>
  <c r="D520" i="4"/>
  <c r="C520" i="4"/>
  <c r="I520" i="4" s="1"/>
  <c r="B520" i="4"/>
  <c r="A520" i="4"/>
  <c r="I519" i="4"/>
  <c r="H519" i="4"/>
  <c r="G519" i="4"/>
  <c r="F519" i="4"/>
  <c r="E519" i="4"/>
  <c r="D519" i="4"/>
  <c r="C519" i="4"/>
  <c r="B519" i="4"/>
  <c r="A519" i="4"/>
  <c r="H518" i="4"/>
  <c r="G518" i="4"/>
  <c r="F518" i="4"/>
  <c r="E518" i="4"/>
  <c r="D518" i="4"/>
  <c r="C518" i="4"/>
  <c r="B518" i="4"/>
  <c r="A518" i="4"/>
  <c r="I517" i="4"/>
  <c r="H517" i="4"/>
  <c r="G517" i="4"/>
  <c r="F517" i="4"/>
  <c r="E517" i="4"/>
  <c r="D517" i="4"/>
  <c r="C517" i="4"/>
  <c r="B517" i="4"/>
  <c r="A517" i="4"/>
  <c r="H516" i="4"/>
  <c r="G516" i="4"/>
  <c r="F516" i="4"/>
  <c r="E516" i="4"/>
  <c r="D516" i="4"/>
  <c r="C516" i="4"/>
  <c r="B516" i="4"/>
  <c r="A516" i="4"/>
  <c r="I515" i="4"/>
  <c r="H515" i="4"/>
  <c r="G515" i="4"/>
  <c r="F515" i="4"/>
  <c r="E515" i="4"/>
  <c r="D515" i="4"/>
  <c r="C515" i="4"/>
  <c r="B515" i="4"/>
  <c r="A515" i="4"/>
  <c r="H514" i="4"/>
  <c r="G514" i="4"/>
  <c r="F514" i="4"/>
  <c r="E514" i="4"/>
  <c r="D514" i="4"/>
  <c r="C514" i="4"/>
  <c r="B514" i="4"/>
  <c r="A514" i="4"/>
  <c r="I513" i="4"/>
  <c r="H513" i="4"/>
  <c r="G513" i="4"/>
  <c r="F513" i="4"/>
  <c r="E513" i="4"/>
  <c r="D513" i="4"/>
  <c r="C513" i="4"/>
  <c r="B513" i="4"/>
  <c r="A513" i="4"/>
  <c r="H512" i="4"/>
  <c r="G512" i="4"/>
  <c r="F512" i="4"/>
  <c r="E512" i="4"/>
  <c r="D512" i="4"/>
  <c r="I512" i="4" s="1"/>
  <c r="C512" i="4"/>
  <c r="B512" i="4"/>
  <c r="A512" i="4"/>
  <c r="I511" i="4"/>
  <c r="H511" i="4"/>
  <c r="G511" i="4"/>
  <c r="F511" i="4"/>
  <c r="E511" i="4"/>
  <c r="D511" i="4"/>
  <c r="C511" i="4"/>
  <c r="B511" i="4"/>
  <c r="A511" i="4"/>
  <c r="H510" i="4"/>
  <c r="G510" i="4"/>
  <c r="F510" i="4"/>
  <c r="I510" i="4" s="1"/>
  <c r="E510" i="4"/>
  <c r="D510" i="4"/>
  <c r="C510" i="4"/>
  <c r="B510" i="4"/>
  <c r="A510" i="4"/>
  <c r="H509" i="4"/>
  <c r="G509" i="4"/>
  <c r="F509" i="4"/>
  <c r="E509" i="4"/>
  <c r="D509" i="4"/>
  <c r="C509" i="4"/>
  <c r="B509" i="4"/>
  <c r="A509" i="4"/>
  <c r="I508" i="4"/>
  <c r="H508" i="4"/>
  <c r="G508" i="4"/>
  <c r="F508" i="4"/>
  <c r="E508" i="4"/>
  <c r="D508" i="4"/>
  <c r="C508" i="4"/>
  <c r="B508" i="4"/>
  <c r="A508" i="4"/>
  <c r="H507" i="4"/>
  <c r="G507" i="4"/>
  <c r="F507" i="4"/>
  <c r="E507" i="4"/>
  <c r="D507" i="4"/>
  <c r="C507" i="4"/>
  <c r="B507" i="4"/>
  <c r="A507" i="4"/>
  <c r="I506" i="4"/>
  <c r="H506" i="4"/>
  <c r="G506" i="4"/>
  <c r="F506" i="4"/>
  <c r="E506" i="4"/>
  <c r="D506" i="4"/>
  <c r="C506" i="4"/>
  <c r="B506" i="4"/>
  <c r="A506" i="4"/>
  <c r="H505" i="4"/>
  <c r="G505" i="4"/>
  <c r="F505" i="4"/>
  <c r="E505" i="4"/>
  <c r="D505" i="4"/>
  <c r="C505" i="4"/>
  <c r="B505" i="4"/>
  <c r="A505" i="4"/>
  <c r="I504" i="4"/>
  <c r="H504" i="4"/>
  <c r="G504" i="4"/>
  <c r="F504" i="4"/>
  <c r="E504" i="4"/>
  <c r="D504" i="4"/>
  <c r="C504" i="4"/>
  <c r="B504" i="4"/>
  <c r="A504" i="4"/>
  <c r="H503" i="4"/>
  <c r="G503" i="4"/>
  <c r="F503" i="4"/>
  <c r="E503" i="4"/>
  <c r="D503" i="4"/>
  <c r="C503" i="4"/>
  <c r="B503" i="4"/>
  <c r="A503" i="4"/>
  <c r="H502" i="4"/>
  <c r="G502" i="4"/>
  <c r="F502" i="4"/>
  <c r="E502" i="4"/>
  <c r="D502" i="4"/>
  <c r="C502" i="4"/>
  <c r="B502" i="4"/>
  <c r="A502" i="4"/>
  <c r="H501" i="4"/>
  <c r="G501" i="4"/>
  <c r="F501" i="4"/>
  <c r="E501" i="4"/>
  <c r="D501" i="4"/>
  <c r="C501" i="4"/>
  <c r="B501" i="4"/>
  <c r="A501" i="4"/>
  <c r="H500" i="4"/>
  <c r="G500" i="4"/>
  <c r="F500" i="4"/>
  <c r="E500" i="4"/>
  <c r="D500" i="4"/>
  <c r="C500" i="4"/>
  <c r="B500" i="4"/>
  <c r="A500" i="4"/>
  <c r="H499" i="4"/>
  <c r="G499" i="4"/>
  <c r="F499" i="4"/>
  <c r="E499" i="4"/>
  <c r="I499" i="4" s="1"/>
  <c r="D499" i="4"/>
  <c r="C499" i="4"/>
  <c r="B499" i="4"/>
  <c r="A499" i="4"/>
  <c r="I498" i="4"/>
  <c r="H498" i="4"/>
  <c r="G498" i="4"/>
  <c r="F498" i="4"/>
  <c r="E498" i="4"/>
  <c r="D498" i="4"/>
  <c r="C498" i="4"/>
  <c r="B498" i="4"/>
  <c r="A498" i="4"/>
  <c r="I497" i="4"/>
  <c r="H497" i="4"/>
  <c r="G497" i="4"/>
  <c r="F497" i="4"/>
  <c r="E497" i="4"/>
  <c r="D497" i="4"/>
  <c r="C497" i="4"/>
  <c r="B497" i="4"/>
  <c r="A497" i="4"/>
  <c r="H496" i="4"/>
  <c r="G496" i="4"/>
  <c r="F496" i="4"/>
  <c r="E496" i="4"/>
  <c r="D496" i="4"/>
  <c r="C496" i="4"/>
  <c r="B496" i="4"/>
  <c r="A496" i="4"/>
  <c r="H495" i="4"/>
  <c r="G495" i="4"/>
  <c r="F495" i="4"/>
  <c r="E495" i="4"/>
  <c r="D495" i="4"/>
  <c r="I495" i="4" s="1"/>
  <c r="C495" i="4"/>
  <c r="B495" i="4"/>
  <c r="A495" i="4"/>
  <c r="H494" i="4"/>
  <c r="G494" i="4"/>
  <c r="F494" i="4"/>
  <c r="E494" i="4"/>
  <c r="D494" i="4"/>
  <c r="I494" i="4" s="1"/>
  <c r="C494" i="4"/>
  <c r="B494" i="4"/>
  <c r="A494" i="4"/>
  <c r="H493" i="4"/>
  <c r="G493" i="4"/>
  <c r="F493" i="4"/>
  <c r="E493" i="4"/>
  <c r="D493" i="4"/>
  <c r="I493" i="4" s="1"/>
  <c r="C493" i="4"/>
  <c r="B493" i="4"/>
  <c r="A493" i="4"/>
  <c r="H492" i="4"/>
  <c r="G492" i="4"/>
  <c r="F492" i="4"/>
  <c r="E492" i="4"/>
  <c r="D492" i="4"/>
  <c r="I492" i="4" s="1"/>
  <c r="C492" i="4"/>
  <c r="B492" i="4"/>
  <c r="A492" i="4"/>
  <c r="H491" i="4"/>
  <c r="G491" i="4"/>
  <c r="F491" i="4"/>
  <c r="E491" i="4"/>
  <c r="D491" i="4"/>
  <c r="C491" i="4"/>
  <c r="B491" i="4"/>
  <c r="A491" i="4"/>
  <c r="H490" i="4"/>
  <c r="G490" i="4"/>
  <c r="F490" i="4"/>
  <c r="I490" i="4" s="1"/>
  <c r="E490" i="4"/>
  <c r="D490" i="4"/>
  <c r="C490" i="4"/>
  <c r="B490" i="4"/>
  <c r="A490" i="4"/>
  <c r="H489" i="4"/>
  <c r="G489" i="4"/>
  <c r="F489" i="4"/>
  <c r="E489" i="4"/>
  <c r="D489" i="4"/>
  <c r="C489" i="4"/>
  <c r="B489" i="4"/>
  <c r="A489" i="4"/>
  <c r="I488" i="4"/>
  <c r="H488" i="4"/>
  <c r="G488" i="4"/>
  <c r="F488" i="4"/>
  <c r="E488" i="4"/>
  <c r="D488" i="4"/>
  <c r="C488" i="4"/>
  <c r="B488" i="4"/>
  <c r="A488" i="4"/>
  <c r="I487" i="4"/>
  <c r="H487" i="4"/>
  <c r="G487" i="4"/>
  <c r="F487" i="4"/>
  <c r="E487" i="4"/>
  <c r="D487" i="4"/>
  <c r="C487" i="4"/>
  <c r="B487" i="4"/>
  <c r="A487" i="4"/>
  <c r="H486" i="4"/>
  <c r="G486" i="4"/>
  <c r="F486" i="4"/>
  <c r="E486" i="4"/>
  <c r="I486" i="4" s="1"/>
  <c r="D486" i="4"/>
  <c r="C486" i="4"/>
  <c r="B486" i="4"/>
  <c r="A486" i="4"/>
  <c r="H485" i="4"/>
  <c r="G485" i="4"/>
  <c r="F485" i="4"/>
  <c r="E485" i="4"/>
  <c r="D485" i="4"/>
  <c r="C485" i="4"/>
  <c r="B485" i="4"/>
  <c r="A485" i="4"/>
  <c r="H484" i="4"/>
  <c r="G484" i="4"/>
  <c r="F484" i="4"/>
  <c r="E484" i="4"/>
  <c r="D484" i="4"/>
  <c r="I484" i="4" s="1"/>
  <c r="C484" i="4"/>
  <c r="B484" i="4"/>
  <c r="A484" i="4"/>
  <c r="H483" i="4"/>
  <c r="G483" i="4"/>
  <c r="F483" i="4"/>
  <c r="E483" i="4"/>
  <c r="I483" i="4" s="1"/>
  <c r="D483" i="4"/>
  <c r="C483" i="4"/>
  <c r="B483" i="4"/>
  <c r="A483" i="4"/>
  <c r="H482" i="4"/>
  <c r="G482" i="4"/>
  <c r="F482" i="4"/>
  <c r="E482" i="4"/>
  <c r="D482" i="4"/>
  <c r="I482" i="4" s="1"/>
  <c r="C482" i="4"/>
  <c r="B482" i="4"/>
  <c r="A482" i="4"/>
  <c r="I481" i="4"/>
  <c r="H481" i="4"/>
  <c r="G481" i="4"/>
  <c r="F481" i="4"/>
  <c r="E481" i="4"/>
  <c r="D481" i="4"/>
  <c r="C481" i="4"/>
  <c r="B481" i="4"/>
  <c r="A481" i="4"/>
  <c r="H480" i="4"/>
  <c r="G480" i="4"/>
  <c r="F480" i="4"/>
  <c r="I480" i="4" s="1"/>
  <c r="E480" i="4"/>
  <c r="D480" i="4"/>
  <c r="C480" i="4"/>
  <c r="B480" i="4"/>
  <c r="A480" i="4"/>
  <c r="I479" i="4"/>
  <c r="H479" i="4"/>
  <c r="G479" i="4"/>
  <c r="F479" i="4"/>
  <c r="E479" i="4"/>
  <c r="D479" i="4"/>
  <c r="C479" i="4"/>
  <c r="B479" i="4"/>
  <c r="A479" i="4"/>
  <c r="H478" i="4"/>
  <c r="G478" i="4"/>
  <c r="F478" i="4"/>
  <c r="E478" i="4"/>
  <c r="D478" i="4"/>
  <c r="C478" i="4"/>
  <c r="B478" i="4"/>
  <c r="A478" i="4"/>
  <c r="H477" i="4"/>
  <c r="G477" i="4"/>
  <c r="F477" i="4"/>
  <c r="E477" i="4"/>
  <c r="D477" i="4"/>
  <c r="C477" i="4"/>
  <c r="B477" i="4"/>
  <c r="A477" i="4"/>
  <c r="H476" i="4"/>
  <c r="G476" i="4"/>
  <c r="F476" i="4"/>
  <c r="E476" i="4"/>
  <c r="D476" i="4"/>
  <c r="I476" i="4" s="1"/>
  <c r="C476" i="4"/>
  <c r="B476" i="4"/>
  <c r="A476" i="4"/>
  <c r="H475" i="4"/>
  <c r="G475" i="4"/>
  <c r="F475" i="4"/>
  <c r="E475" i="4"/>
  <c r="D475" i="4"/>
  <c r="C475" i="4"/>
  <c r="B475" i="4"/>
  <c r="A475" i="4"/>
  <c r="H474" i="4"/>
  <c r="G474" i="4"/>
  <c r="F474" i="4"/>
  <c r="I474" i="4" s="1"/>
  <c r="E474" i="4"/>
  <c r="D474" i="4"/>
  <c r="C474" i="4"/>
  <c r="B474" i="4"/>
  <c r="A474" i="4"/>
  <c r="H473" i="4"/>
  <c r="G473" i="4"/>
  <c r="F473" i="4"/>
  <c r="E473" i="4"/>
  <c r="D473" i="4"/>
  <c r="C473" i="4"/>
  <c r="B473" i="4"/>
  <c r="A473" i="4"/>
  <c r="H472" i="4"/>
  <c r="G472" i="4"/>
  <c r="F472" i="4"/>
  <c r="E472" i="4"/>
  <c r="D472" i="4"/>
  <c r="C472" i="4"/>
  <c r="I472" i="4" s="1"/>
  <c r="B472" i="4"/>
  <c r="A472" i="4"/>
  <c r="H471" i="4"/>
  <c r="G471" i="4"/>
  <c r="F471" i="4"/>
  <c r="E471" i="4"/>
  <c r="D471" i="4"/>
  <c r="I471" i="4" s="1"/>
  <c r="C471" i="4"/>
  <c r="B471" i="4"/>
  <c r="A471" i="4"/>
  <c r="H470" i="4"/>
  <c r="G470" i="4"/>
  <c r="F470" i="4"/>
  <c r="E470" i="4"/>
  <c r="I470" i="4" s="1"/>
  <c r="D470" i="4"/>
  <c r="C470" i="4"/>
  <c r="B470" i="4"/>
  <c r="A470" i="4"/>
  <c r="H469" i="4"/>
  <c r="G469" i="4"/>
  <c r="F469" i="4"/>
  <c r="E469" i="4"/>
  <c r="I469" i="4" s="1"/>
  <c r="D469" i="4"/>
  <c r="C469" i="4"/>
  <c r="B469" i="4"/>
  <c r="A469" i="4"/>
  <c r="H468" i="4"/>
  <c r="G468" i="4"/>
  <c r="F468" i="4"/>
  <c r="E468" i="4"/>
  <c r="D468" i="4"/>
  <c r="C468" i="4"/>
  <c r="B468" i="4"/>
  <c r="A468" i="4"/>
  <c r="H467" i="4"/>
  <c r="G467" i="4"/>
  <c r="F467" i="4"/>
  <c r="I467" i="4" s="1"/>
  <c r="E467" i="4"/>
  <c r="D467" i="4"/>
  <c r="C467" i="4"/>
  <c r="B467" i="4"/>
  <c r="A467" i="4"/>
  <c r="H466" i="4"/>
  <c r="G466" i="4"/>
  <c r="F466" i="4"/>
  <c r="I466" i="4" s="1"/>
  <c r="E466" i="4"/>
  <c r="D466" i="4"/>
  <c r="C466" i="4"/>
  <c r="B466" i="4"/>
  <c r="A466" i="4"/>
  <c r="I465" i="4"/>
  <c r="H465" i="4"/>
  <c r="G465" i="4"/>
  <c r="F465" i="4"/>
  <c r="E465" i="4"/>
  <c r="D465" i="4"/>
  <c r="C465" i="4"/>
  <c r="B465" i="4"/>
  <c r="A465" i="4"/>
  <c r="I464" i="4"/>
  <c r="H464" i="4"/>
  <c r="G464" i="4"/>
  <c r="F464" i="4"/>
  <c r="E464" i="4"/>
  <c r="D464" i="4"/>
  <c r="C464" i="4"/>
  <c r="B464" i="4"/>
  <c r="A464" i="4"/>
  <c r="H463" i="4"/>
  <c r="G463" i="4"/>
  <c r="F463" i="4"/>
  <c r="E463" i="4"/>
  <c r="D463" i="4"/>
  <c r="I463" i="4" s="1"/>
  <c r="C463" i="4"/>
  <c r="B463" i="4"/>
  <c r="A463" i="4"/>
  <c r="I462" i="4"/>
  <c r="H462" i="4"/>
  <c r="G462" i="4"/>
  <c r="F462" i="4"/>
  <c r="E462" i="4"/>
  <c r="D462" i="4"/>
  <c r="C462" i="4"/>
  <c r="B462" i="4"/>
  <c r="A462" i="4"/>
  <c r="H461" i="4"/>
  <c r="G461" i="4"/>
  <c r="F461" i="4"/>
  <c r="E461" i="4"/>
  <c r="D461" i="4"/>
  <c r="C461" i="4"/>
  <c r="B461" i="4"/>
  <c r="A461" i="4"/>
  <c r="I460" i="4"/>
  <c r="H460" i="4"/>
  <c r="G460" i="4"/>
  <c r="F460" i="4"/>
  <c r="E460" i="4"/>
  <c r="D460" i="4"/>
  <c r="C460" i="4"/>
  <c r="B460" i="4"/>
  <c r="A460" i="4"/>
  <c r="H459" i="4"/>
  <c r="G459" i="4"/>
  <c r="F459" i="4"/>
  <c r="E459" i="4"/>
  <c r="D459" i="4"/>
  <c r="C459" i="4"/>
  <c r="B459" i="4"/>
  <c r="A459" i="4"/>
  <c r="I458" i="4"/>
  <c r="H458" i="4"/>
  <c r="G458" i="4"/>
  <c r="F458" i="4"/>
  <c r="E458" i="4"/>
  <c r="D458" i="4"/>
  <c r="C458" i="4"/>
  <c r="B458" i="4"/>
  <c r="A458" i="4"/>
  <c r="H457" i="4"/>
  <c r="G457" i="4"/>
  <c r="F457" i="4"/>
  <c r="E457" i="4"/>
  <c r="D457" i="4"/>
  <c r="C457" i="4"/>
  <c r="B457" i="4"/>
  <c r="A457" i="4"/>
  <c r="H456" i="4"/>
  <c r="G456" i="4"/>
  <c r="F456" i="4"/>
  <c r="E456" i="4"/>
  <c r="D456" i="4"/>
  <c r="C456" i="4"/>
  <c r="I456" i="4" s="1"/>
  <c r="B456" i="4"/>
  <c r="A456" i="4"/>
  <c r="H455" i="4"/>
  <c r="G455" i="4"/>
  <c r="F455" i="4"/>
  <c r="E455" i="4"/>
  <c r="D455" i="4"/>
  <c r="I455" i="4" s="1"/>
  <c r="C455" i="4"/>
  <c r="B455" i="4"/>
  <c r="A455" i="4"/>
  <c r="H454" i="4"/>
  <c r="G454" i="4"/>
  <c r="F454" i="4"/>
  <c r="E454" i="4"/>
  <c r="D454" i="4"/>
  <c r="C454" i="4"/>
  <c r="B454" i="4"/>
  <c r="A454" i="4"/>
  <c r="I453" i="4"/>
  <c r="H453" i="4"/>
  <c r="G453" i="4"/>
  <c r="F453" i="4"/>
  <c r="E453" i="4"/>
  <c r="D453" i="4"/>
  <c r="C453" i="4"/>
  <c r="B453" i="4"/>
  <c r="A453" i="4"/>
  <c r="H452" i="4"/>
  <c r="G452" i="4"/>
  <c r="F452" i="4"/>
  <c r="E452" i="4"/>
  <c r="D452" i="4"/>
  <c r="C452" i="4"/>
  <c r="B452" i="4"/>
  <c r="A452" i="4"/>
  <c r="H451" i="4"/>
  <c r="G451" i="4"/>
  <c r="F451" i="4"/>
  <c r="I451" i="4" s="1"/>
  <c r="E451" i="4"/>
  <c r="D451" i="4"/>
  <c r="C451" i="4"/>
  <c r="B451" i="4"/>
  <c r="A451" i="4"/>
  <c r="H450" i="4"/>
  <c r="G450" i="4"/>
  <c r="F450" i="4"/>
  <c r="E450" i="4"/>
  <c r="D450" i="4"/>
  <c r="I450" i="4" s="1"/>
  <c r="C450" i="4"/>
  <c r="B450" i="4"/>
  <c r="A450" i="4"/>
  <c r="I449" i="4"/>
  <c r="H449" i="4"/>
  <c r="G449" i="4"/>
  <c r="F449" i="4"/>
  <c r="E449" i="4"/>
  <c r="D449" i="4"/>
  <c r="C449" i="4"/>
  <c r="B449" i="4"/>
  <c r="A449" i="4"/>
  <c r="H448" i="4"/>
  <c r="G448" i="4"/>
  <c r="F448" i="4"/>
  <c r="E448" i="4"/>
  <c r="D448" i="4"/>
  <c r="C448" i="4"/>
  <c r="B448" i="4"/>
  <c r="A448" i="4"/>
  <c r="I447" i="4"/>
  <c r="H447" i="4"/>
  <c r="G447" i="4"/>
  <c r="F447" i="4"/>
  <c r="E447" i="4"/>
  <c r="D447" i="4"/>
  <c r="C447" i="4"/>
  <c r="B447" i="4"/>
  <c r="A447" i="4"/>
  <c r="H446" i="4"/>
  <c r="G446" i="4"/>
  <c r="F446" i="4"/>
  <c r="E446" i="4"/>
  <c r="D446" i="4"/>
  <c r="I446" i="4" s="1"/>
  <c r="C446" i="4"/>
  <c r="B446" i="4"/>
  <c r="A446" i="4"/>
  <c r="H445" i="4"/>
  <c r="G445" i="4"/>
  <c r="F445" i="4"/>
  <c r="E445" i="4"/>
  <c r="D445" i="4"/>
  <c r="C445" i="4"/>
  <c r="B445" i="4"/>
  <c r="A445" i="4"/>
  <c r="I444" i="4"/>
  <c r="H444" i="4"/>
  <c r="G444" i="4"/>
  <c r="F444" i="4"/>
  <c r="E444" i="4"/>
  <c r="D444" i="4"/>
  <c r="C444" i="4"/>
  <c r="B444" i="4"/>
  <c r="A444" i="4"/>
  <c r="H443" i="4"/>
  <c r="G443" i="4"/>
  <c r="F443" i="4"/>
  <c r="E443" i="4"/>
  <c r="D443" i="4"/>
  <c r="C443" i="4"/>
  <c r="B443" i="4"/>
  <c r="A443" i="4"/>
  <c r="H442" i="4"/>
  <c r="G442" i="4"/>
  <c r="F442" i="4"/>
  <c r="I442" i="4" s="1"/>
  <c r="E442" i="4"/>
  <c r="D442" i="4"/>
  <c r="C442" i="4"/>
  <c r="B442" i="4"/>
  <c r="A442" i="4"/>
  <c r="H441" i="4"/>
  <c r="G441" i="4"/>
  <c r="F441" i="4"/>
  <c r="E441" i="4"/>
  <c r="D441" i="4"/>
  <c r="C441" i="4"/>
  <c r="B441" i="4"/>
  <c r="A441" i="4"/>
  <c r="I440" i="4"/>
  <c r="H440" i="4"/>
  <c r="G440" i="4"/>
  <c r="F440" i="4"/>
  <c r="E440" i="4"/>
  <c r="D440" i="4"/>
  <c r="C440" i="4"/>
  <c r="B440" i="4"/>
  <c r="A440" i="4"/>
  <c r="H439" i="4"/>
  <c r="G439" i="4"/>
  <c r="F439" i="4"/>
  <c r="E439" i="4"/>
  <c r="D439" i="4"/>
  <c r="C439" i="4"/>
  <c r="B439" i="4"/>
  <c r="A439" i="4"/>
  <c r="H438" i="4"/>
  <c r="G438" i="4"/>
  <c r="F438" i="4"/>
  <c r="E438" i="4"/>
  <c r="I438" i="4" s="1"/>
  <c r="D438" i="4"/>
  <c r="C438" i="4"/>
  <c r="B438" i="4"/>
  <c r="A438" i="4"/>
  <c r="H437" i="4"/>
  <c r="G437" i="4"/>
  <c r="F437" i="4"/>
  <c r="E437" i="4"/>
  <c r="D437" i="4"/>
  <c r="C437" i="4"/>
  <c r="B437" i="4"/>
  <c r="A437" i="4"/>
  <c r="H436" i="4"/>
  <c r="G436" i="4"/>
  <c r="F436" i="4"/>
  <c r="E436" i="4"/>
  <c r="D436" i="4"/>
  <c r="C436" i="4"/>
  <c r="B436" i="4"/>
  <c r="A436" i="4"/>
  <c r="H435" i="4"/>
  <c r="G435" i="4"/>
  <c r="F435" i="4"/>
  <c r="E435" i="4"/>
  <c r="I435" i="4" s="1"/>
  <c r="D435" i="4"/>
  <c r="C435" i="4"/>
  <c r="B435" i="4"/>
  <c r="A435" i="4"/>
  <c r="I434" i="4"/>
  <c r="H434" i="4"/>
  <c r="G434" i="4"/>
  <c r="F434" i="4"/>
  <c r="E434" i="4"/>
  <c r="D434" i="4"/>
  <c r="C434" i="4"/>
  <c r="B434" i="4"/>
  <c r="A434" i="4"/>
  <c r="I433" i="4"/>
  <c r="H433" i="4"/>
  <c r="G433" i="4"/>
  <c r="F433" i="4"/>
  <c r="E433" i="4"/>
  <c r="D433" i="4"/>
  <c r="C433" i="4"/>
  <c r="B433" i="4"/>
  <c r="A433" i="4"/>
  <c r="H432" i="4"/>
  <c r="G432" i="4"/>
  <c r="F432" i="4"/>
  <c r="E432" i="4"/>
  <c r="D432" i="4"/>
  <c r="C432" i="4"/>
  <c r="I432" i="4" s="1"/>
  <c r="B432" i="4"/>
  <c r="A432" i="4"/>
  <c r="H431" i="4"/>
  <c r="G431" i="4"/>
  <c r="F431" i="4"/>
  <c r="E431" i="4"/>
  <c r="D431" i="4"/>
  <c r="I431" i="4" s="1"/>
  <c r="C431" i="4"/>
  <c r="B431" i="4"/>
  <c r="A431" i="4"/>
  <c r="I430" i="4"/>
  <c r="H430" i="4"/>
  <c r="G430" i="4"/>
  <c r="F430" i="4"/>
  <c r="E430" i="4"/>
  <c r="D430" i="4"/>
  <c r="C430" i="4"/>
  <c r="B430" i="4"/>
  <c r="A430" i="4"/>
  <c r="H429" i="4"/>
  <c r="G429" i="4"/>
  <c r="F429" i="4"/>
  <c r="E429" i="4"/>
  <c r="D429" i="4"/>
  <c r="C429" i="4"/>
  <c r="B429" i="4"/>
  <c r="A429" i="4"/>
  <c r="H428" i="4"/>
  <c r="G428" i="4"/>
  <c r="F428" i="4"/>
  <c r="E428" i="4"/>
  <c r="D428" i="4"/>
  <c r="I428" i="4" s="1"/>
  <c r="C428" i="4"/>
  <c r="B428" i="4"/>
  <c r="A428" i="4"/>
  <c r="H427" i="4"/>
  <c r="G427" i="4"/>
  <c r="F427" i="4"/>
  <c r="E427" i="4"/>
  <c r="D427" i="4"/>
  <c r="C427" i="4"/>
  <c r="B427" i="4"/>
  <c r="A427" i="4"/>
  <c r="H426" i="4"/>
  <c r="G426" i="4"/>
  <c r="F426" i="4"/>
  <c r="I426" i="4" s="1"/>
  <c r="E426" i="4"/>
  <c r="D426" i="4"/>
  <c r="C426" i="4"/>
  <c r="B426" i="4"/>
  <c r="A426" i="4"/>
  <c r="H425" i="4"/>
  <c r="G425" i="4"/>
  <c r="F425" i="4"/>
  <c r="E425" i="4"/>
  <c r="D425" i="4"/>
  <c r="C425" i="4"/>
  <c r="B425" i="4"/>
  <c r="A425" i="4"/>
  <c r="H424" i="4"/>
  <c r="G424" i="4"/>
  <c r="F424" i="4"/>
  <c r="E424" i="4"/>
  <c r="D424" i="4"/>
  <c r="C424" i="4"/>
  <c r="I424" i="4" s="1"/>
  <c r="B424" i="4"/>
  <c r="A424" i="4"/>
  <c r="H423" i="4"/>
  <c r="G423" i="4"/>
  <c r="F423" i="4"/>
  <c r="E423" i="4"/>
  <c r="I423" i="4" s="1"/>
  <c r="D423" i="4"/>
  <c r="C423" i="4"/>
  <c r="B423" i="4"/>
  <c r="A423" i="4"/>
  <c r="H422" i="4"/>
  <c r="G422" i="4"/>
  <c r="F422" i="4"/>
  <c r="E422" i="4"/>
  <c r="I422" i="4" s="1"/>
  <c r="D422" i="4"/>
  <c r="C422" i="4"/>
  <c r="B422" i="4"/>
  <c r="A422" i="4"/>
  <c r="H421" i="4"/>
  <c r="G421" i="4"/>
  <c r="F421" i="4"/>
  <c r="I421" i="4" s="1"/>
  <c r="E421" i="4"/>
  <c r="D421" i="4"/>
  <c r="C421" i="4"/>
  <c r="B421" i="4"/>
  <c r="A421" i="4"/>
  <c r="H420" i="4"/>
  <c r="G420" i="4"/>
  <c r="F420" i="4"/>
  <c r="E420" i="4"/>
  <c r="D420" i="4"/>
  <c r="C420" i="4"/>
  <c r="B420" i="4"/>
  <c r="A420" i="4"/>
  <c r="I419" i="4"/>
  <c r="H419" i="4"/>
  <c r="G419" i="4"/>
  <c r="F419" i="4"/>
  <c r="E419" i="4"/>
  <c r="D419" i="4"/>
  <c r="C419" i="4"/>
  <c r="B419" i="4"/>
  <c r="A419" i="4"/>
  <c r="H418" i="4"/>
  <c r="G418" i="4"/>
  <c r="F418" i="4"/>
  <c r="E418" i="4"/>
  <c r="D418" i="4"/>
  <c r="I418" i="4" s="1"/>
  <c r="C418" i="4"/>
  <c r="B418" i="4"/>
  <c r="A418" i="4"/>
  <c r="I417" i="4"/>
  <c r="H417" i="4"/>
  <c r="G417" i="4"/>
  <c r="F417" i="4"/>
  <c r="E417" i="4"/>
  <c r="D417" i="4"/>
  <c r="C417" i="4"/>
  <c r="B417" i="4"/>
  <c r="A417" i="4"/>
  <c r="H416" i="4"/>
  <c r="G416" i="4"/>
  <c r="F416" i="4"/>
  <c r="I416" i="4" s="1"/>
  <c r="E416" i="4"/>
  <c r="D416" i="4"/>
  <c r="C416" i="4"/>
  <c r="B416" i="4"/>
  <c r="A416" i="4"/>
  <c r="H415" i="4"/>
  <c r="G415" i="4"/>
  <c r="F415" i="4"/>
  <c r="E415" i="4"/>
  <c r="D415" i="4"/>
  <c r="I415" i="4" s="1"/>
  <c r="C415" i="4"/>
  <c r="B415" i="4"/>
  <c r="A415" i="4"/>
  <c r="H414" i="4"/>
  <c r="G414" i="4"/>
  <c r="F414" i="4"/>
  <c r="E414" i="4"/>
  <c r="D414" i="4"/>
  <c r="I414" i="4" s="1"/>
  <c r="C414" i="4"/>
  <c r="B414" i="4"/>
  <c r="A414" i="4"/>
  <c r="H413" i="4"/>
  <c r="G413" i="4"/>
  <c r="F413" i="4"/>
  <c r="E413" i="4"/>
  <c r="D413" i="4"/>
  <c r="C413" i="4"/>
  <c r="B413" i="4"/>
  <c r="A413" i="4"/>
  <c r="H412" i="4"/>
  <c r="G412" i="4"/>
  <c r="F412" i="4"/>
  <c r="E412" i="4"/>
  <c r="I412" i="4" s="1"/>
  <c r="D412" i="4"/>
  <c r="C412" i="4"/>
  <c r="B412" i="4"/>
  <c r="A412" i="4"/>
  <c r="H411" i="4"/>
  <c r="G411" i="4"/>
  <c r="F411" i="4"/>
  <c r="E411" i="4"/>
  <c r="D411" i="4"/>
  <c r="C411" i="4"/>
  <c r="B411" i="4"/>
  <c r="A411" i="4"/>
  <c r="H410" i="4"/>
  <c r="G410" i="4"/>
  <c r="F410" i="4"/>
  <c r="I410" i="4" s="1"/>
  <c r="E410" i="4"/>
  <c r="D410" i="4"/>
  <c r="C410" i="4"/>
  <c r="B410" i="4"/>
  <c r="A410" i="4"/>
  <c r="H409" i="4"/>
  <c r="G409" i="4"/>
  <c r="F409" i="4"/>
  <c r="E409" i="4"/>
  <c r="D409" i="4"/>
  <c r="C409" i="4"/>
  <c r="B409" i="4"/>
  <c r="A409" i="4"/>
  <c r="H408" i="4"/>
  <c r="G408" i="4"/>
  <c r="F408" i="4"/>
  <c r="E408" i="4"/>
  <c r="D408" i="4"/>
  <c r="C408" i="4"/>
  <c r="I408" i="4" s="1"/>
  <c r="B408" i="4"/>
  <c r="A408" i="4"/>
  <c r="I407" i="4"/>
  <c r="H407" i="4"/>
  <c r="G407" i="4"/>
  <c r="F407" i="4"/>
  <c r="E407" i="4"/>
  <c r="D407" i="4"/>
  <c r="C407" i="4"/>
  <c r="B407" i="4"/>
  <c r="A407" i="4"/>
  <c r="H406" i="4"/>
  <c r="G406" i="4"/>
  <c r="F406" i="4"/>
  <c r="E406" i="4"/>
  <c r="D406" i="4"/>
  <c r="C406" i="4"/>
  <c r="B406" i="4"/>
  <c r="A406" i="4"/>
  <c r="I405" i="4"/>
  <c r="H405" i="4"/>
  <c r="G405" i="4"/>
  <c r="F405" i="4"/>
  <c r="E405" i="4"/>
  <c r="D405" i="4"/>
  <c r="C405" i="4"/>
  <c r="B405" i="4"/>
  <c r="A405" i="4"/>
  <c r="H404" i="4"/>
  <c r="G404" i="4"/>
  <c r="F404" i="4"/>
  <c r="E404" i="4"/>
  <c r="D404" i="4"/>
  <c r="C404" i="4"/>
  <c r="B404" i="4"/>
  <c r="A404" i="4"/>
  <c r="H403" i="4"/>
  <c r="G403" i="4"/>
  <c r="F403" i="4"/>
  <c r="I403" i="4" s="1"/>
  <c r="E403" i="4"/>
  <c r="D403" i="4"/>
  <c r="C403" i="4"/>
  <c r="B403" i="4"/>
  <c r="A403" i="4"/>
  <c r="H402" i="4"/>
  <c r="G402" i="4"/>
  <c r="F402" i="4"/>
  <c r="E402" i="4"/>
  <c r="D402" i="4"/>
  <c r="C402" i="4"/>
  <c r="B402" i="4"/>
  <c r="A402" i="4"/>
  <c r="I401" i="4"/>
  <c r="H401" i="4"/>
  <c r="G401" i="4"/>
  <c r="F401" i="4"/>
  <c r="E401" i="4"/>
  <c r="D401" i="4"/>
  <c r="C401" i="4"/>
  <c r="B401" i="4"/>
  <c r="A401" i="4"/>
  <c r="H400" i="4"/>
  <c r="G400" i="4"/>
  <c r="F400" i="4"/>
  <c r="E400" i="4"/>
  <c r="D400" i="4"/>
  <c r="I400" i="4" s="1"/>
  <c r="C400" i="4"/>
  <c r="B400" i="4"/>
  <c r="A400" i="4"/>
  <c r="I399" i="4"/>
  <c r="H399" i="4"/>
  <c r="G399" i="4"/>
  <c r="F399" i="4"/>
  <c r="E399" i="4"/>
  <c r="D399" i="4"/>
  <c r="C399" i="4"/>
  <c r="B399" i="4"/>
  <c r="A399" i="4"/>
  <c r="H398" i="4"/>
  <c r="G398" i="4"/>
  <c r="F398" i="4"/>
  <c r="I398" i="4" s="1"/>
  <c r="E398" i="4"/>
  <c r="D398" i="4"/>
  <c r="C398" i="4"/>
  <c r="B398" i="4"/>
  <c r="A398" i="4"/>
  <c r="H397" i="4"/>
  <c r="G397" i="4"/>
  <c r="F397" i="4"/>
  <c r="E397" i="4"/>
  <c r="D397" i="4"/>
  <c r="C397" i="4"/>
  <c r="B397" i="4"/>
  <c r="A397" i="4"/>
  <c r="I396" i="4"/>
  <c r="H396" i="4"/>
  <c r="G396" i="4"/>
  <c r="F396" i="4"/>
  <c r="E396" i="4"/>
  <c r="D396" i="4"/>
  <c r="C396" i="4"/>
  <c r="B396" i="4"/>
  <c r="A396" i="4"/>
  <c r="H395" i="4"/>
  <c r="G395" i="4"/>
  <c r="F395" i="4"/>
  <c r="E395" i="4"/>
  <c r="D395" i="4"/>
  <c r="C395" i="4"/>
  <c r="B395" i="4"/>
  <c r="A395" i="4"/>
  <c r="I394" i="4"/>
  <c r="H394" i="4"/>
  <c r="G394" i="4"/>
  <c r="F394" i="4"/>
  <c r="E394" i="4"/>
  <c r="D394" i="4"/>
  <c r="C394" i="4"/>
  <c r="B394" i="4"/>
  <c r="A394" i="4"/>
  <c r="H393" i="4"/>
  <c r="G393" i="4"/>
  <c r="F393" i="4"/>
  <c r="E393" i="4"/>
  <c r="D393" i="4"/>
  <c r="C393" i="4"/>
  <c r="B393" i="4"/>
  <c r="A393" i="4"/>
  <c r="I392" i="4"/>
  <c r="H392" i="4"/>
  <c r="G392" i="4"/>
  <c r="F392" i="4"/>
  <c r="E392" i="4"/>
  <c r="D392" i="4"/>
  <c r="C392" i="4"/>
  <c r="B392" i="4"/>
  <c r="A392" i="4"/>
  <c r="H391" i="4"/>
  <c r="G391" i="4"/>
  <c r="F391" i="4"/>
  <c r="E391" i="4"/>
  <c r="D391" i="4"/>
  <c r="C391" i="4"/>
  <c r="B391" i="4"/>
  <c r="A391" i="4"/>
  <c r="H390" i="4"/>
  <c r="G390" i="4"/>
  <c r="F390" i="4"/>
  <c r="E390" i="4"/>
  <c r="D390" i="4"/>
  <c r="C390" i="4"/>
  <c r="B390" i="4"/>
  <c r="A390" i="4"/>
  <c r="H389" i="4"/>
  <c r="G389" i="4"/>
  <c r="F389" i="4"/>
  <c r="E389" i="4"/>
  <c r="D389" i="4"/>
  <c r="C389" i="4"/>
  <c r="B389" i="4"/>
  <c r="A389" i="4"/>
  <c r="H388" i="4"/>
  <c r="G388" i="4"/>
  <c r="F388" i="4"/>
  <c r="E388" i="4"/>
  <c r="D388" i="4"/>
  <c r="I388" i="4" s="1"/>
  <c r="C388" i="4"/>
  <c r="B388" i="4"/>
  <c r="A388" i="4"/>
  <c r="H387" i="4"/>
  <c r="G387" i="4"/>
  <c r="F387" i="4"/>
  <c r="E387" i="4"/>
  <c r="I387" i="4" s="1"/>
  <c r="D387" i="4"/>
  <c r="C387" i="4"/>
  <c r="B387" i="4"/>
  <c r="A387" i="4"/>
  <c r="H386" i="4"/>
  <c r="G386" i="4"/>
  <c r="F386" i="4"/>
  <c r="I386" i="4" s="1"/>
  <c r="E386" i="4"/>
  <c r="D386" i="4"/>
  <c r="C386" i="4"/>
  <c r="B386" i="4"/>
  <c r="A386" i="4"/>
  <c r="I385" i="4"/>
  <c r="H385" i="4"/>
  <c r="G385" i="4"/>
  <c r="F385" i="4"/>
  <c r="E385" i="4"/>
  <c r="D385" i="4"/>
  <c r="C385" i="4"/>
  <c r="B385" i="4"/>
  <c r="A385" i="4"/>
  <c r="H384" i="4"/>
  <c r="G384" i="4"/>
  <c r="F384" i="4"/>
  <c r="E384" i="4"/>
  <c r="D384" i="4"/>
  <c r="C384" i="4"/>
  <c r="B384" i="4"/>
  <c r="A384" i="4"/>
  <c r="I383" i="4"/>
  <c r="H383" i="4"/>
  <c r="G383" i="4"/>
  <c r="F383" i="4"/>
  <c r="E383" i="4"/>
  <c r="D383" i="4"/>
  <c r="C383" i="4"/>
  <c r="B383" i="4"/>
  <c r="A383" i="4"/>
  <c r="H382" i="4"/>
  <c r="G382" i="4"/>
  <c r="F382" i="4"/>
  <c r="E382" i="4"/>
  <c r="D382" i="4"/>
  <c r="C382" i="4"/>
  <c r="B382" i="4"/>
  <c r="A382" i="4"/>
  <c r="H381" i="4"/>
  <c r="G381" i="4"/>
  <c r="F381" i="4"/>
  <c r="E381" i="4"/>
  <c r="D381" i="4"/>
  <c r="C381" i="4"/>
  <c r="B381" i="4"/>
  <c r="A381" i="4"/>
  <c r="H380" i="4"/>
  <c r="G380" i="4"/>
  <c r="F380" i="4"/>
  <c r="E380" i="4"/>
  <c r="D380" i="4"/>
  <c r="I380" i="4" s="1"/>
  <c r="C380" i="4"/>
  <c r="B380" i="4"/>
  <c r="A380" i="4"/>
  <c r="H379" i="4"/>
  <c r="G379" i="4"/>
  <c r="F379" i="4"/>
  <c r="E379" i="4"/>
  <c r="D379" i="4"/>
  <c r="C379" i="4"/>
  <c r="B379" i="4"/>
  <c r="A379" i="4"/>
  <c r="H378" i="4"/>
  <c r="G378" i="4"/>
  <c r="F378" i="4"/>
  <c r="I378" i="4" s="1"/>
  <c r="E378" i="4"/>
  <c r="D378" i="4"/>
  <c r="C378" i="4"/>
  <c r="B378" i="4"/>
  <c r="A378" i="4"/>
  <c r="H377" i="4"/>
  <c r="G377" i="4"/>
  <c r="F377" i="4"/>
  <c r="E377" i="4"/>
  <c r="D377" i="4"/>
  <c r="I377" i="4" s="1"/>
  <c r="C377" i="4"/>
  <c r="B377" i="4"/>
  <c r="A377" i="4"/>
  <c r="H376" i="4"/>
  <c r="G376" i="4"/>
  <c r="F376" i="4"/>
  <c r="E376" i="4"/>
  <c r="D376" i="4"/>
  <c r="C376" i="4"/>
  <c r="I376" i="4" s="1"/>
  <c r="B376" i="4"/>
  <c r="A376" i="4"/>
  <c r="H375" i="4"/>
  <c r="G375" i="4"/>
  <c r="F375" i="4"/>
  <c r="I375" i="4" s="1"/>
  <c r="E375" i="4"/>
  <c r="D375" i="4"/>
  <c r="C375" i="4"/>
  <c r="B375" i="4"/>
  <c r="A375" i="4"/>
  <c r="H374" i="4"/>
  <c r="G374" i="4"/>
  <c r="F374" i="4"/>
  <c r="E374" i="4"/>
  <c r="D374" i="4"/>
  <c r="C374" i="4"/>
  <c r="B374" i="4"/>
  <c r="A374" i="4"/>
  <c r="H373" i="4"/>
  <c r="G373" i="4"/>
  <c r="F373" i="4"/>
  <c r="E373" i="4"/>
  <c r="D373" i="4"/>
  <c r="C373" i="4"/>
  <c r="I373" i="4" s="1"/>
  <c r="B373" i="4"/>
  <c r="A373" i="4"/>
  <c r="H372" i="4"/>
  <c r="G372" i="4"/>
  <c r="F372" i="4"/>
  <c r="E372" i="4"/>
  <c r="D372" i="4"/>
  <c r="C372" i="4"/>
  <c r="B372" i="4"/>
  <c r="A372" i="4"/>
  <c r="H371" i="4"/>
  <c r="G371" i="4"/>
  <c r="F371" i="4"/>
  <c r="E371" i="4"/>
  <c r="I371" i="4" s="1"/>
  <c r="D371" i="4"/>
  <c r="C371" i="4"/>
  <c r="B371" i="4"/>
  <c r="A371" i="4"/>
  <c r="H370" i="4"/>
  <c r="G370" i="4"/>
  <c r="F370" i="4"/>
  <c r="E370" i="4"/>
  <c r="I370" i="4" s="1"/>
  <c r="D370" i="4"/>
  <c r="C370" i="4"/>
  <c r="B370" i="4"/>
  <c r="A370" i="4"/>
  <c r="H369" i="4"/>
  <c r="G369" i="4"/>
  <c r="F369" i="4"/>
  <c r="E369" i="4"/>
  <c r="I369" i="4" s="1"/>
  <c r="D369" i="4"/>
  <c r="C369" i="4"/>
  <c r="B369" i="4"/>
  <c r="A369" i="4"/>
  <c r="H368" i="4"/>
  <c r="G368" i="4"/>
  <c r="F368" i="4"/>
  <c r="E368" i="4"/>
  <c r="D368" i="4"/>
  <c r="C368" i="4"/>
  <c r="I368" i="4" s="1"/>
  <c r="B368" i="4"/>
  <c r="A368" i="4"/>
  <c r="H367" i="4"/>
  <c r="G367" i="4"/>
  <c r="F367" i="4"/>
  <c r="E367" i="4"/>
  <c r="D367" i="4"/>
  <c r="I367" i="4" s="1"/>
  <c r="C367" i="4"/>
  <c r="B367" i="4"/>
  <c r="A367" i="4"/>
  <c r="H366" i="4"/>
  <c r="G366" i="4"/>
  <c r="F366" i="4"/>
  <c r="E366" i="4"/>
  <c r="I366" i="4" s="1"/>
  <c r="D366" i="4"/>
  <c r="C366" i="4"/>
  <c r="B366" i="4"/>
  <c r="A366" i="4"/>
  <c r="I365" i="4"/>
  <c r="H365" i="4"/>
  <c r="G365" i="4"/>
  <c r="F365" i="4"/>
  <c r="E365" i="4"/>
  <c r="D365" i="4"/>
  <c r="C365" i="4"/>
  <c r="B365" i="4"/>
  <c r="A365" i="4"/>
  <c r="I364" i="4"/>
  <c r="H364" i="4"/>
  <c r="G364" i="4"/>
  <c r="F364" i="4"/>
  <c r="E364" i="4"/>
  <c r="D364" i="4"/>
  <c r="C364" i="4"/>
  <c r="B364" i="4"/>
  <c r="A364" i="4"/>
  <c r="H363" i="4"/>
  <c r="G363" i="4"/>
  <c r="F363" i="4"/>
  <c r="E363" i="4"/>
  <c r="D363" i="4"/>
  <c r="C363" i="4"/>
  <c r="B363" i="4"/>
  <c r="A363" i="4"/>
  <c r="H362" i="4"/>
  <c r="G362" i="4"/>
  <c r="F362" i="4"/>
  <c r="E362" i="4"/>
  <c r="D362" i="4"/>
  <c r="I362" i="4" s="1"/>
  <c r="C362" i="4"/>
  <c r="B362" i="4"/>
  <c r="A362" i="4"/>
  <c r="H361" i="4"/>
  <c r="G361" i="4"/>
  <c r="F361" i="4"/>
  <c r="E361" i="4"/>
  <c r="D361" i="4"/>
  <c r="C361" i="4"/>
  <c r="B361" i="4"/>
  <c r="A361" i="4"/>
  <c r="H360" i="4"/>
  <c r="G360" i="4"/>
  <c r="F360" i="4"/>
  <c r="E360" i="4"/>
  <c r="D360" i="4"/>
  <c r="C360" i="4"/>
  <c r="I360" i="4" s="1"/>
  <c r="B360" i="4"/>
  <c r="A360" i="4"/>
  <c r="I359" i="4"/>
  <c r="H359" i="4"/>
  <c r="G359" i="4"/>
  <c r="F359" i="4"/>
  <c r="E359" i="4"/>
  <c r="D359" i="4"/>
  <c r="C359" i="4"/>
  <c r="B359" i="4"/>
  <c r="A359" i="4"/>
  <c r="H358" i="4"/>
  <c r="G358" i="4"/>
  <c r="F358" i="4"/>
  <c r="E358" i="4"/>
  <c r="I358" i="4" s="1"/>
  <c r="D358" i="4"/>
  <c r="C358" i="4"/>
  <c r="B358" i="4"/>
  <c r="A358" i="4"/>
  <c r="H357" i="4"/>
  <c r="G357" i="4"/>
  <c r="F357" i="4"/>
  <c r="E357" i="4"/>
  <c r="D357" i="4"/>
  <c r="C357" i="4"/>
  <c r="I357" i="4" s="1"/>
  <c r="B357" i="4"/>
  <c r="A357" i="4"/>
  <c r="H356" i="4"/>
  <c r="G356" i="4"/>
  <c r="F356" i="4"/>
  <c r="E356" i="4"/>
  <c r="D356" i="4"/>
  <c r="C356" i="4"/>
  <c r="B356" i="4"/>
  <c r="A356" i="4"/>
  <c r="I355" i="4"/>
  <c r="H355" i="4"/>
  <c r="G355" i="4"/>
  <c r="F355" i="4"/>
  <c r="E355" i="4"/>
  <c r="D355" i="4"/>
  <c r="C355" i="4"/>
  <c r="B355" i="4"/>
  <c r="A355" i="4"/>
  <c r="I354" i="4"/>
  <c r="H354" i="4"/>
  <c r="G354" i="4"/>
  <c r="F354" i="4"/>
  <c r="E354" i="4"/>
  <c r="D354" i="4"/>
  <c r="C354" i="4"/>
  <c r="B354" i="4"/>
  <c r="A354" i="4"/>
  <c r="I353" i="4"/>
  <c r="H353" i="4"/>
  <c r="G353" i="4"/>
  <c r="F353" i="4"/>
  <c r="E353" i="4"/>
  <c r="D353" i="4"/>
  <c r="C353" i="4"/>
  <c r="B353" i="4"/>
  <c r="A353" i="4"/>
  <c r="I352" i="4"/>
  <c r="H352" i="4"/>
  <c r="G352" i="4"/>
  <c r="F352" i="4"/>
  <c r="E352" i="4"/>
  <c r="D352" i="4"/>
  <c r="C352" i="4"/>
  <c r="B352" i="4"/>
  <c r="A352" i="4"/>
  <c r="H351" i="4"/>
  <c r="G351" i="4"/>
  <c r="F351" i="4"/>
  <c r="E351" i="4"/>
  <c r="D351" i="4"/>
  <c r="I351" i="4" s="1"/>
  <c r="C351" i="4"/>
  <c r="B351" i="4"/>
  <c r="A351" i="4"/>
  <c r="H350" i="4"/>
  <c r="G350" i="4"/>
  <c r="F350" i="4"/>
  <c r="I350" i="4" s="1"/>
  <c r="E350" i="4"/>
  <c r="D350" i="4"/>
  <c r="C350" i="4"/>
  <c r="B350" i="4"/>
  <c r="A350" i="4"/>
  <c r="H349" i="4"/>
  <c r="G349" i="4"/>
  <c r="F349" i="4"/>
  <c r="E349" i="4"/>
  <c r="D349" i="4"/>
  <c r="C349" i="4"/>
  <c r="B349" i="4"/>
  <c r="A349" i="4"/>
  <c r="I348" i="4"/>
  <c r="H348" i="4"/>
  <c r="G348" i="4"/>
  <c r="F348" i="4"/>
  <c r="E348" i="4"/>
  <c r="D348" i="4"/>
  <c r="C348" i="4"/>
  <c r="B348" i="4"/>
  <c r="A348" i="4"/>
  <c r="H347" i="4"/>
  <c r="G347" i="4"/>
  <c r="F347" i="4"/>
  <c r="E347" i="4"/>
  <c r="D347" i="4"/>
  <c r="C347" i="4"/>
  <c r="B347" i="4"/>
  <c r="A347" i="4"/>
  <c r="H346" i="4"/>
  <c r="G346" i="4"/>
  <c r="F346" i="4"/>
  <c r="E346" i="4"/>
  <c r="D346" i="4"/>
  <c r="I346" i="4" s="1"/>
  <c r="C346" i="4"/>
  <c r="B346" i="4"/>
  <c r="A346" i="4"/>
  <c r="H345" i="4"/>
  <c r="G345" i="4"/>
  <c r="F345" i="4"/>
  <c r="E345" i="4"/>
  <c r="D345" i="4"/>
  <c r="I345" i="4" s="1"/>
  <c r="C345" i="4"/>
  <c r="B345" i="4"/>
  <c r="A345" i="4"/>
  <c r="I344" i="4"/>
  <c r="H344" i="4"/>
  <c r="G344" i="4"/>
  <c r="F344" i="4"/>
  <c r="E344" i="4"/>
  <c r="D344" i="4"/>
  <c r="C344" i="4"/>
  <c r="B344" i="4"/>
  <c r="A344" i="4"/>
  <c r="H343" i="4"/>
  <c r="G343" i="4"/>
  <c r="F343" i="4"/>
  <c r="I343" i="4" s="1"/>
  <c r="E343" i="4"/>
  <c r="D343" i="4"/>
  <c r="C343" i="4"/>
  <c r="B343" i="4"/>
  <c r="A343" i="4"/>
  <c r="H342" i="4"/>
  <c r="G342" i="4"/>
  <c r="F342" i="4"/>
  <c r="E342" i="4"/>
  <c r="D342" i="4"/>
  <c r="C342" i="4"/>
  <c r="B342" i="4"/>
  <c r="A342" i="4"/>
  <c r="I341" i="4"/>
  <c r="H341" i="4"/>
  <c r="G341" i="4"/>
  <c r="F341" i="4"/>
  <c r="E341" i="4"/>
  <c r="D341" i="4"/>
  <c r="C341" i="4"/>
  <c r="B341" i="4"/>
  <c r="A341" i="4"/>
  <c r="H340" i="4"/>
  <c r="G340" i="4"/>
  <c r="F340" i="4"/>
  <c r="E340" i="4"/>
  <c r="D340" i="4"/>
  <c r="C340" i="4"/>
  <c r="B340" i="4"/>
  <c r="A340" i="4"/>
  <c r="I339" i="4"/>
  <c r="H339" i="4"/>
  <c r="G339" i="4"/>
  <c r="F339" i="4"/>
  <c r="E339" i="4"/>
  <c r="D339" i="4"/>
  <c r="C339" i="4"/>
  <c r="B339" i="4"/>
  <c r="A339" i="4"/>
  <c r="H338" i="4"/>
  <c r="G338" i="4"/>
  <c r="F338" i="4"/>
  <c r="E338" i="4"/>
  <c r="D338" i="4"/>
  <c r="C338" i="4"/>
  <c r="B338" i="4"/>
  <c r="A338" i="4"/>
  <c r="I337" i="4"/>
  <c r="H337" i="4"/>
  <c r="G337" i="4"/>
  <c r="F337" i="4"/>
  <c r="E337" i="4"/>
  <c r="D337" i="4"/>
  <c r="C337" i="4"/>
  <c r="B337" i="4"/>
  <c r="A337" i="4"/>
  <c r="H336" i="4"/>
  <c r="G336" i="4"/>
  <c r="F336" i="4"/>
  <c r="E336" i="4"/>
  <c r="D336" i="4"/>
  <c r="C336" i="4"/>
  <c r="B336" i="4"/>
  <c r="A336" i="4"/>
  <c r="H335" i="4"/>
  <c r="G335" i="4"/>
  <c r="F335" i="4"/>
  <c r="E335" i="4"/>
  <c r="D335" i="4"/>
  <c r="I335" i="4" s="1"/>
  <c r="C335" i="4"/>
  <c r="B335" i="4"/>
  <c r="A335" i="4"/>
  <c r="I334" i="4"/>
  <c r="H334" i="4"/>
  <c r="G334" i="4"/>
  <c r="F334" i="4"/>
  <c r="E334" i="4"/>
  <c r="D334" i="4"/>
  <c r="C334" i="4"/>
  <c r="B334" i="4"/>
  <c r="A334" i="4"/>
  <c r="H333" i="4"/>
  <c r="G333" i="4"/>
  <c r="F333" i="4"/>
  <c r="I333" i="4" s="1"/>
  <c r="E333" i="4"/>
  <c r="D333" i="4"/>
  <c r="C333" i="4"/>
  <c r="B333" i="4"/>
  <c r="A333" i="4"/>
  <c r="H332" i="4"/>
  <c r="G332" i="4"/>
  <c r="F332" i="4"/>
  <c r="E332" i="4"/>
  <c r="I332" i="4" s="1"/>
  <c r="D332" i="4"/>
  <c r="C332" i="4"/>
  <c r="B332" i="4"/>
  <c r="A332" i="4"/>
  <c r="H331" i="4"/>
  <c r="G331" i="4"/>
  <c r="F331" i="4"/>
  <c r="E331" i="4"/>
  <c r="D331" i="4"/>
  <c r="C331" i="4"/>
  <c r="B331" i="4"/>
  <c r="A331" i="4"/>
  <c r="I330" i="4"/>
  <c r="H330" i="4"/>
  <c r="G330" i="4"/>
  <c r="F330" i="4"/>
  <c r="E330" i="4"/>
  <c r="D330" i="4"/>
  <c r="C330" i="4"/>
  <c r="B330" i="4"/>
  <c r="A330" i="4"/>
  <c r="H329" i="4"/>
  <c r="G329" i="4"/>
  <c r="F329" i="4"/>
  <c r="E329" i="4"/>
  <c r="D329" i="4"/>
  <c r="C329" i="4"/>
  <c r="B329" i="4"/>
  <c r="A329" i="4"/>
  <c r="I328" i="4"/>
  <c r="H328" i="4"/>
  <c r="G328" i="4"/>
  <c r="F328" i="4"/>
  <c r="E328" i="4"/>
  <c r="D328" i="4"/>
  <c r="C328" i="4"/>
  <c r="B328" i="4"/>
  <c r="A328" i="4"/>
  <c r="H327" i="4"/>
  <c r="G327" i="4"/>
  <c r="F327" i="4"/>
  <c r="E327" i="4"/>
  <c r="D327" i="4"/>
  <c r="C327" i="4"/>
  <c r="B327" i="4"/>
  <c r="A327" i="4"/>
  <c r="H326" i="4"/>
  <c r="G326" i="4"/>
  <c r="F326" i="4"/>
  <c r="E326" i="4"/>
  <c r="I326" i="4" s="1"/>
  <c r="D326" i="4"/>
  <c r="C326" i="4"/>
  <c r="B326" i="4"/>
  <c r="A326" i="4"/>
  <c r="H325" i="4"/>
  <c r="G325" i="4"/>
  <c r="F325" i="4"/>
  <c r="E325" i="4"/>
  <c r="D325" i="4"/>
  <c r="C325" i="4"/>
  <c r="B325" i="4"/>
  <c r="A325" i="4"/>
  <c r="H324" i="4"/>
  <c r="G324" i="4"/>
  <c r="F324" i="4"/>
  <c r="E324" i="4"/>
  <c r="D324" i="4"/>
  <c r="C324" i="4"/>
  <c r="B324" i="4"/>
  <c r="A324" i="4"/>
  <c r="H323" i="4"/>
  <c r="G323" i="4"/>
  <c r="F323" i="4"/>
  <c r="E323" i="4"/>
  <c r="D323" i="4"/>
  <c r="C323" i="4"/>
  <c r="B323" i="4"/>
  <c r="A323" i="4"/>
  <c r="I322" i="4"/>
  <c r="H322" i="4"/>
  <c r="G322" i="4"/>
  <c r="F322" i="4"/>
  <c r="E322" i="4"/>
  <c r="D322" i="4"/>
  <c r="C322" i="4"/>
  <c r="B322" i="4"/>
  <c r="A322" i="4"/>
  <c r="H321" i="4"/>
  <c r="G321" i="4"/>
  <c r="F321" i="4"/>
  <c r="E321" i="4"/>
  <c r="I321" i="4" s="1"/>
  <c r="D321" i="4"/>
  <c r="C321" i="4"/>
  <c r="B321" i="4"/>
  <c r="A321" i="4"/>
  <c r="H320" i="4"/>
  <c r="G320" i="4"/>
  <c r="F320" i="4"/>
  <c r="E320" i="4"/>
  <c r="D320" i="4"/>
  <c r="C320" i="4"/>
  <c r="I320" i="4" s="1"/>
  <c r="B320" i="4"/>
  <c r="A320" i="4"/>
  <c r="I319" i="4"/>
  <c r="H319" i="4"/>
  <c r="G319" i="4"/>
  <c r="F319" i="4"/>
  <c r="E319" i="4"/>
  <c r="D319" i="4"/>
  <c r="C319" i="4"/>
  <c r="B319" i="4"/>
  <c r="A319" i="4"/>
  <c r="H318" i="4"/>
  <c r="G318" i="4"/>
  <c r="F318" i="4"/>
  <c r="E318" i="4"/>
  <c r="D318" i="4"/>
  <c r="I318" i="4" s="1"/>
  <c r="C318" i="4"/>
  <c r="B318" i="4"/>
  <c r="A318" i="4"/>
  <c r="I317" i="4"/>
  <c r="H317" i="4"/>
  <c r="G317" i="4"/>
  <c r="F317" i="4"/>
  <c r="E317" i="4"/>
  <c r="D317" i="4"/>
  <c r="C317" i="4"/>
  <c r="B317" i="4"/>
  <c r="A317" i="4"/>
  <c r="H316" i="4"/>
  <c r="G316" i="4"/>
  <c r="F316" i="4"/>
  <c r="E316" i="4"/>
  <c r="D316" i="4"/>
  <c r="I316" i="4" s="1"/>
  <c r="C316" i="4"/>
  <c r="B316" i="4"/>
  <c r="A316" i="4"/>
  <c r="H315" i="4"/>
  <c r="G315" i="4"/>
  <c r="F315" i="4"/>
  <c r="E315" i="4"/>
  <c r="D315" i="4"/>
  <c r="C315" i="4"/>
  <c r="B315" i="4"/>
  <c r="A315" i="4"/>
  <c r="H314" i="4"/>
  <c r="G314" i="4"/>
  <c r="F314" i="4"/>
  <c r="E314" i="4"/>
  <c r="D314" i="4"/>
  <c r="I314" i="4" s="1"/>
  <c r="C314" i="4"/>
  <c r="B314" i="4"/>
  <c r="A314" i="4"/>
  <c r="H313" i="4"/>
  <c r="G313" i="4"/>
  <c r="F313" i="4"/>
  <c r="E313" i="4"/>
  <c r="D313" i="4"/>
  <c r="I313" i="4" s="1"/>
  <c r="C313" i="4"/>
  <c r="B313" i="4"/>
  <c r="A313" i="4"/>
  <c r="H312" i="4"/>
  <c r="G312" i="4"/>
  <c r="F312" i="4"/>
  <c r="E312" i="4"/>
  <c r="D312" i="4"/>
  <c r="C312" i="4"/>
  <c r="B312" i="4"/>
  <c r="A312" i="4"/>
  <c r="H311" i="4"/>
  <c r="G311" i="4"/>
  <c r="F311" i="4"/>
  <c r="I311" i="4" s="1"/>
  <c r="E311" i="4"/>
  <c r="D311" i="4"/>
  <c r="C311" i="4"/>
  <c r="B311" i="4"/>
  <c r="A311" i="4"/>
  <c r="H310" i="4"/>
  <c r="G310" i="4"/>
  <c r="F310" i="4"/>
  <c r="E310" i="4"/>
  <c r="D310" i="4"/>
  <c r="C310" i="4"/>
  <c r="B310" i="4"/>
  <c r="A310" i="4"/>
  <c r="H309" i="4"/>
  <c r="G309" i="4"/>
  <c r="F309" i="4"/>
  <c r="E309" i="4"/>
  <c r="D309" i="4"/>
  <c r="C309" i="4"/>
  <c r="I309" i="4" s="1"/>
  <c r="B309" i="4"/>
  <c r="A309" i="4"/>
  <c r="H308" i="4"/>
  <c r="G308" i="4"/>
  <c r="F308" i="4"/>
  <c r="E308" i="4"/>
  <c r="D308" i="4"/>
  <c r="C308" i="4"/>
  <c r="B308" i="4"/>
  <c r="A308" i="4"/>
  <c r="H307" i="4"/>
  <c r="G307" i="4"/>
  <c r="F307" i="4"/>
  <c r="E307" i="4"/>
  <c r="I307" i="4" s="1"/>
  <c r="D307" i="4"/>
  <c r="C307" i="4"/>
  <c r="B307" i="4"/>
  <c r="A307" i="4"/>
  <c r="H306" i="4"/>
  <c r="G306" i="4"/>
  <c r="F306" i="4"/>
  <c r="E306" i="4"/>
  <c r="I306" i="4" s="1"/>
  <c r="D306" i="4"/>
  <c r="C306" i="4"/>
  <c r="B306" i="4"/>
  <c r="A306" i="4"/>
  <c r="H305" i="4"/>
  <c r="G305" i="4"/>
  <c r="F305" i="4"/>
  <c r="E305" i="4"/>
  <c r="I305" i="4" s="1"/>
  <c r="D305" i="4"/>
  <c r="C305" i="4"/>
  <c r="B305" i="4"/>
  <c r="A305" i="4"/>
  <c r="H304" i="4"/>
  <c r="G304" i="4"/>
  <c r="F304" i="4"/>
  <c r="E304" i="4"/>
  <c r="D304" i="4"/>
  <c r="C304" i="4"/>
  <c r="I304" i="4" s="1"/>
  <c r="B304" i="4"/>
  <c r="A304" i="4"/>
  <c r="H303" i="4"/>
  <c r="G303" i="4"/>
  <c r="F303" i="4"/>
  <c r="E303" i="4"/>
  <c r="D303" i="4"/>
  <c r="I303" i="4" s="1"/>
  <c r="C303" i="4"/>
  <c r="B303" i="4"/>
  <c r="A303" i="4"/>
  <c r="H302" i="4"/>
  <c r="G302" i="4"/>
  <c r="F302" i="4"/>
  <c r="E302" i="4"/>
  <c r="I302" i="4" s="1"/>
  <c r="D302" i="4"/>
  <c r="C302" i="4"/>
  <c r="B302" i="4"/>
  <c r="A302" i="4"/>
  <c r="I301" i="4"/>
  <c r="H301" i="4"/>
  <c r="G301" i="4"/>
  <c r="F301" i="4"/>
  <c r="E301" i="4"/>
  <c r="D301" i="4"/>
  <c r="C301" i="4"/>
  <c r="B301" i="4"/>
  <c r="A301" i="4"/>
  <c r="I300" i="4"/>
  <c r="H300" i="4"/>
  <c r="G300" i="4"/>
  <c r="F300" i="4"/>
  <c r="E300" i="4"/>
  <c r="D300" i="4"/>
  <c r="C300" i="4"/>
  <c r="B300" i="4"/>
  <c r="A300" i="4"/>
  <c r="H299" i="4"/>
  <c r="G299" i="4"/>
  <c r="F299" i="4"/>
  <c r="E299" i="4"/>
  <c r="D299" i="4"/>
  <c r="C299" i="4"/>
  <c r="B299" i="4"/>
  <c r="A299" i="4"/>
  <c r="H298" i="4"/>
  <c r="G298" i="4"/>
  <c r="F298" i="4"/>
  <c r="E298" i="4"/>
  <c r="D298" i="4"/>
  <c r="I298" i="4" s="1"/>
  <c r="C298" i="4"/>
  <c r="B298" i="4"/>
  <c r="A298" i="4"/>
  <c r="H297" i="4"/>
  <c r="G297" i="4"/>
  <c r="F297" i="4"/>
  <c r="E297" i="4"/>
  <c r="D297" i="4"/>
  <c r="C297" i="4"/>
  <c r="B297" i="4"/>
  <c r="A297" i="4"/>
  <c r="I296" i="4"/>
  <c r="H296" i="4"/>
  <c r="G296" i="4"/>
  <c r="F296" i="4"/>
  <c r="E296" i="4"/>
  <c r="D296" i="4"/>
  <c r="C296" i="4"/>
  <c r="B296" i="4"/>
  <c r="A296" i="4"/>
  <c r="I295" i="4"/>
  <c r="H295" i="4"/>
  <c r="G295" i="4"/>
  <c r="F295" i="4"/>
  <c r="E295" i="4"/>
  <c r="D295" i="4"/>
  <c r="C295" i="4"/>
  <c r="B295" i="4"/>
  <c r="A295" i="4"/>
  <c r="H294" i="4"/>
  <c r="G294" i="4"/>
  <c r="F294" i="4"/>
  <c r="E294" i="4"/>
  <c r="I294" i="4" s="1"/>
  <c r="D294" i="4"/>
  <c r="C294" i="4"/>
  <c r="B294" i="4"/>
  <c r="A294" i="4"/>
  <c r="H293" i="4"/>
  <c r="G293" i="4"/>
  <c r="F293" i="4"/>
  <c r="E293" i="4"/>
  <c r="D293" i="4"/>
  <c r="C293" i="4"/>
  <c r="I293" i="4" s="1"/>
  <c r="B293" i="4"/>
  <c r="A293" i="4"/>
  <c r="H292" i="4"/>
  <c r="G292" i="4"/>
  <c r="F292" i="4"/>
  <c r="E292" i="4"/>
  <c r="D292" i="4"/>
  <c r="C292" i="4"/>
  <c r="B292" i="4"/>
  <c r="A292" i="4"/>
  <c r="I291" i="4"/>
  <c r="H291" i="4"/>
  <c r="G291" i="4"/>
  <c r="F291" i="4"/>
  <c r="E291" i="4"/>
  <c r="D291" i="4"/>
  <c r="C291" i="4"/>
  <c r="B291" i="4"/>
  <c r="A291" i="4"/>
  <c r="I290" i="4"/>
  <c r="H290" i="4"/>
  <c r="G290" i="4"/>
  <c r="F290" i="4"/>
  <c r="E290" i="4"/>
  <c r="D290" i="4"/>
  <c r="C290" i="4"/>
  <c r="B290" i="4"/>
  <c r="A290" i="4"/>
  <c r="I289" i="4"/>
  <c r="H289" i="4"/>
  <c r="G289" i="4"/>
  <c r="F289" i="4"/>
  <c r="E289" i="4"/>
  <c r="D289" i="4"/>
  <c r="C289" i="4"/>
  <c r="B289" i="4"/>
  <c r="A289" i="4"/>
  <c r="I288" i="4"/>
  <c r="H288" i="4"/>
  <c r="G288" i="4"/>
  <c r="F288" i="4"/>
  <c r="E288" i="4"/>
  <c r="D288" i="4"/>
  <c r="C288" i="4"/>
  <c r="B288" i="4"/>
  <c r="A288" i="4"/>
  <c r="H287" i="4"/>
  <c r="G287" i="4"/>
  <c r="F287" i="4"/>
  <c r="E287" i="4"/>
  <c r="D287" i="4"/>
  <c r="I287" i="4" s="1"/>
  <c r="C287" i="4"/>
  <c r="B287" i="4"/>
  <c r="A287" i="4"/>
  <c r="H286" i="4"/>
  <c r="G286" i="4"/>
  <c r="F286" i="4"/>
  <c r="I286" i="4" s="1"/>
  <c r="E286" i="4"/>
  <c r="D286" i="4"/>
  <c r="C286" i="4"/>
  <c r="B286" i="4"/>
  <c r="A286" i="4"/>
  <c r="H285" i="4"/>
  <c r="G285" i="4"/>
  <c r="F285" i="4"/>
  <c r="E285" i="4"/>
  <c r="D285" i="4"/>
  <c r="C285" i="4"/>
  <c r="B285" i="4"/>
  <c r="A285" i="4"/>
  <c r="I284" i="4"/>
  <c r="H284" i="4"/>
  <c r="G284" i="4"/>
  <c r="F284" i="4"/>
  <c r="E284" i="4"/>
  <c r="D284" i="4"/>
  <c r="C284" i="4"/>
  <c r="B284" i="4"/>
  <c r="A284" i="4"/>
  <c r="H283" i="4"/>
  <c r="G283" i="4"/>
  <c r="F283" i="4"/>
  <c r="E283" i="4"/>
  <c r="D283" i="4"/>
  <c r="C283" i="4"/>
  <c r="B283" i="4"/>
  <c r="A283" i="4"/>
  <c r="H282" i="4"/>
  <c r="G282" i="4"/>
  <c r="F282" i="4"/>
  <c r="E282" i="4"/>
  <c r="D282" i="4"/>
  <c r="I282" i="4" s="1"/>
  <c r="C282" i="4"/>
  <c r="B282" i="4"/>
  <c r="A282" i="4"/>
  <c r="H281" i="4"/>
  <c r="G281" i="4"/>
  <c r="F281" i="4"/>
  <c r="E281" i="4"/>
  <c r="D281" i="4"/>
  <c r="I281" i="4" s="1"/>
  <c r="C281" i="4"/>
  <c r="B281" i="4"/>
  <c r="A281" i="4"/>
  <c r="I280" i="4"/>
  <c r="H280" i="4"/>
  <c r="G280" i="4"/>
  <c r="F280" i="4"/>
  <c r="E280" i="4"/>
  <c r="D280" i="4"/>
  <c r="C280" i="4"/>
  <c r="B280" i="4"/>
  <c r="A280" i="4"/>
  <c r="H279" i="4"/>
  <c r="G279" i="4"/>
  <c r="F279" i="4"/>
  <c r="I279" i="4" s="1"/>
  <c r="E279" i="4"/>
  <c r="D279" i="4"/>
  <c r="C279" i="4"/>
  <c r="B279" i="4"/>
  <c r="A279" i="4"/>
  <c r="H278" i="4"/>
  <c r="G278" i="4"/>
  <c r="F278" i="4"/>
  <c r="E278" i="4"/>
  <c r="D278" i="4"/>
  <c r="C278" i="4"/>
  <c r="B278" i="4"/>
  <c r="A278" i="4"/>
  <c r="I277" i="4"/>
  <c r="H277" i="4"/>
  <c r="G277" i="4"/>
  <c r="F277" i="4"/>
  <c r="E277" i="4"/>
  <c r="D277" i="4"/>
  <c r="C277" i="4"/>
  <c r="B277" i="4"/>
  <c r="A277" i="4"/>
  <c r="H276" i="4"/>
  <c r="G276" i="4"/>
  <c r="F276" i="4"/>
  <c r="E276" i="4"/>
  <c r="D276" i="4"/>
  <c r="C276" i="4"/>
  <c r="B276" i="4"/>
  <c r="A276" i="4"/>
  <c r="I275" i="4"/>
  <c r="H275" i="4"/>
  <c r="G275" i="4"/>
  <c r="F275" i="4"/>
  <c r="E275" i="4"/>
  <c r="D275" i="4"/>
  <c r="C275" i="4"/>
  <c r="B275" i="4"/>
  <c r="A275" i="4"/>
  <c r="H274" i="4"/>
  <c r="G274" i="4"/>
  <c r="F274" i="4"/>
  <c r="E274" i="4"/>
  <c r="D274" i="4"/>
  <c r="C274" i="4"/>
  <c r="B274" i="4"/>
  <c r="A274" i="4"/>
  <c r="I273" i="4"/>
  <c r="H273" i="4"/>
  <c r="G273" i="4"/>
  <c r="F273" i="4"/>
  <c r="E273" i="4"/>
  <c r="D273" i="4"/>
  <c r="C273" i="4"/>
  <c r="B273" i="4"/>
  <c r="A273" i="4"/>
  <c r="H272" i="4"/>
  <c r="G272" i="4"/>
  <c r="F272" i="4"/>
  <c r="E272" i="4"/>
  <c r="D272" i="4"/>
  <c r="C272" i="4"/>
  <c r="B272" i="4"/>
  <c r="A272" i="4"/>
  <c r="H271" i="4"/>
  <c r="G271" i="4"/>
  <c r="F271" i="4"/>
  <c r="E271" i="4"/>
  <c r="D271" i="4"/>
  <c r="I271" i="4" s="1"/>
  <c r="C271" i="4"/>
  <c r="B271" i="4"/>
  <c r="A271" i="4"/>
  <c r="H270" i="4"/>
  <c r="G270" i="4"/>
  <c r="F270" i="4"/>
  <c r="E270" i="4"/>
  <c r="D270" i="4"/>
  <c r="I270" i="4" s="1"/>
  <c r="C270" i="4"/>
  <c r="B270" i="4"/>
  <c r="A270" i="4"/>
  <c r="H269" i="4"/>
  <c r="G269" i="4"/>
  <c r="F269" i="4"/>
  <c r="I269" i="4" s="1"/>
  <c r="E269" i="4"/>
  <c r="D269" i="4"/>
  <c r="C269" i="4"/>
  <c r="B269" i="4"/>
  <c r="A269" i="4"/>
  <c r="H268" i="4"/>
  <c r="G268" i="4"/>
  <c r="F268" i="4"/>
  <c r="E268" i="4"/>
  <c r="I268" i="4" s="1"/>
  <c r="D268" i="4"/>
  <c r="C268" i="4"/>
  <c r="B268" i="4"/>
  <c r="A268" i="4"/>
  <c r="H267" i="4"/>
  <c r="G267" i="4"/>
  <c r="F267" i="4"/>
  <c r="E267" i="4"/>
  <c r="D267" i="4"/>
  <c r="C267" i="4"/>
  <c r="B267" i="4"/>
  <c r="A267" i="4"/>
  <c r="H266" i="4"/>
  <c r="G266" i="4"/>
  <c r="F266" i="4"/>
  <c r="I266" i="4" s="1"/>
  <c r="E266" i="4"/>
  <c r="D266" i="4"/>
  <c r="C266" i="4"/>
  <c r="B266" i="4"/>
  <c r="A266" i="4"/>
  <c r="H265" i="4"/>
  <c r="G265" i="4"/>
  <c r="F265" i="4"/>
  <c r="E265" i="4"/>
  <c r="D265" i="4"/>
  <c r="C265" i="4"/>
  <c r="B265" i="4"/>
  <c r="A265" i="4"/>
  <c r="I264" i="4"/>
  <c r="H264" i="4"/>
  <c r="G264" i="4"/>
  <c r="F264" i="4"/>
  <c r="E264" i="4"/>
  <c r="D264" i="4"/>
  <c r="C264" i="4"/>
  <c r="B264" i="4"/>
  <c r="A264" i="4"/>
  <c r="H263" i="4"/>
  <c r="G263" i="4"/>
  <c r="F263" i="4"/>
  <c r="E263" i="4"/>
  <c r="D263" i="4"/>
  <c r="C263" i="4"/>
  <c r="B263" i="4"/>
  <c r="A263" i="4"/>
  <c r="H262" i="4"/>
  <c r="G262" i="4"/>
  <c r="F262" i="4"/>
  <c r="E262" i="4"/>
  <c r="I262" i="4" s="1"/>
  <c r="D262" i="4"/>
  <c r="C262" i="4"/>
  <c r="B262" i="4"/>
  <c r="A262" i="4"/>
  <c r="H261" i="4"/>
  <c r="G261" i="4"/>
  <c r="F261" i="4"/>
  <c r="E261" i="4"/>
  <c r="D261" i="4"/>
  <c r="C261" i="4"/>
  <c r="B261" i="4"/>
  <c r="A261" i="4"/>
  <c r="H260" i="4"/>
  <c r="G260" i="4"/>
  <c r="F260" i="4"/>
  <c r="E260" i="4"/>
  <c r="D260" i="4"/>
  <c r="C260" i="4"/>
  <c r="B260" i="4"/>
  <c r="A260" i="4"/>
  <c r="H259" i="4"/>
  <c r="G259" i="4"/>
  <c r="F259" i="4"/>
  <c r="E259" i="4"/>
  <c r="D259" i="4"/>
  <c r="C259" i="4"/>
  <c r="B259" i="4"/>
  <c r="A259" i="4"/>
  <c r="I258" i="4"/>
  <c r="H258" i="4"/>
  <c r="G258" i="4"/>
  <c r="F258" i="4"/>
  <c r="E258" i="4"/>
  <c r="D258" i="4"/>
  <c r="C258" i="4"/>
  <c r="B258" i="4"/>
  <c r="A258" i="4"/>
  <c r="H257" i="4"/>
  <c r="G257" i="4"/>
  <c r="F257" i="4"/>
  <c r="E257" i="4"/>
  <c r="I257" i="4" s="1"/>
  <c r="D257" i="4"/>
  <c r="C257" i="4"/>
  <c r="B257" i="4"/>
  <c r="A257" i="4"/>
  <c r="H256" i="4"/>
  <c r="G256" i="4"/>
  <c r="F256" i="4"/>
  <c r="E256" i="4"/>
  <c r="D256" i="4"/>
  <c r="C256" i="4"/>
  <c r="I256" i="4" s="1"/>
  <c r="B256" i="4"/>
  <c r="A256" i="4"/>
  <c r="H255" i="4"/>
  <c r="G255" i="4"/>
  <c r="F255" i="4"/>
  <c r="E255" i="4"/>
  <c r="D255" i="4"/>
  <c r="I255" i="4" s="1"/>
  <c r="C255" i="4"/>
  <c r="B255" i="4"/>
  <c r="A255" i="4"/>
  <c r="H254" i="4"/>
  <c r="G254" i="4"/>
  <c r="F254" i="4"/>
  <c r="E254" i="4"/>
  <c r="D254" i="4"/>
  <c r="I254" i="4" s="1"/>
  <c r="C254" i="4"/>
  <c r="B254" i="4"/>
  <c r="A254" i="4"/>
  <c r="H253" i="4"/>
  <c r="G253" i="4"/>
  <c r="F253" i="4"/>
  <c r="I253" i="4" s="1"/>
  <c r="E253" i="4"/>
  <c r="D253" i="4"/>
  <c r="C253" i="4"/>
  <c r="B253" i="4"/>
  <c r="A253" i="4"/>
  <c r="H252" i="4"/>
  <c r="G252" i="4"/>
  <c r="F252" i="4"/>
  <c r="E252" i="4"/>
  <c r="D252" i="4"/>
  <c r="I252" i="4" s="1"/>
  <c r="C252" i="4"/>
  <c r="B252" i="4"/>
  <c r="A252" i="4"/>
  <c r="H251" i="4"/>
  <c r="G251" i="4"/>
  <c r="F251" i="4"/>
  <c r="E251" i="4"/>
  <c r="D251" i="4"/>
  <c r="C251" i="4"/>
  <c r="B251" i="4"/>
  <c r="A251" i="4"/>
  <c r="H250" i="4"/>
  <c r="G250" i="4"/>
  <c r="F250" i="4"/>
  <c r="E250" i="4"/>
  <c r="D250" i="4"/>
  <c r="I250" i="4" s="1"/>
  <c r="C250" i="4"/>
  <c r="B250" i="4"/>
  <c r="A250" i="4"/>
  <c r="H249" i="4"/>
  <c r="G249" i="4"/>
  <c r="F249" i="4"/>
  <c r="E249" i="4"/>
  <c r="D249" i="4"/>
  <c r="I249" i="4" s="1"/>
  <c r="C249" i="4"/>
  <c r="B249" i="4"/>
  <c r="A249" i="4"/>
  <c r="H248" i="4"/>
  <c r="G248" i="4"/>
  <c r="F248" i="4"/>
  <c r="I248" i="4" s="1"/>
  <c r="E248" i="4"/>
  <c r="D248" i="4"/>
  <c r="C248" i="4"/>
  <c r="B248" i="4"/>
  <c r="A248" i="4"/>
  <c r="H247" i="4"/>
  <c r="G247" i="4"/>
  <c r="F247" i="4"/>
  <c r="I247" i="4" s="1"/>
  <c r="E247" i="4"/>
  <c r="D247" i="4"/>
  <c r="C247" i="4"/>
  <c r="B247" i="4"/>
  <c r="A247" i="4"/>
  <c r="H246" i="4"/>
  <c r="G246" i="4"/>
  <c r="F246" i="4"/>
  <c r="E246" i="4"/>
  <c r="D246" i="4"/>
  <c r="C246" i="4"/>
  <c r="B246" i="4"/>
  <c r="A246" i="4"/>
  <c r="H245" i="4"/>
  <c r="G245" i="4"/>
  <c r="F245" i="4"/>
  <c r="E245" i="4"/>
  <c r="D245" i="4"/>
  <c r="C245" i="4"/>
  <c r="I245" i="4" s="1"/>
  <c r="B245" i="4"/>
  <c r="A245" i="4"/>
  <c r="H244" i="4"/>
  <c r="G244" i="4"/>
  <c r="F244" i="4"/>
  <c r="E244" i="4"/>
  <c r="D244" i="4"/>
  <c r="I244" i="4" s="1"/>
  <c r="C244" i="4"/>
  <c r="B244" i="4"/>
  <c r="A244" i="4"/>
  <c r="H243" i="4"/>
  <c r="G243" i="4"/>
  <c r="F243" i="4"/>
  <c r="E243" i="4"/>
  <c r="I243" i="4" s="1"/>
  <c r="D243" i="4"/>
  <c r="C243" i="4"/>
  <c r="B243" i="4"/>
  <c r="A243" i="4"/>
  <c r="H242" i="4"/>
  <c r="G242" i="4"/>
  <c r="F242" i="4"/>
  <c r="E242" i="4"/>
  <c r="I242" i="4" s="1"/>
  <c r="D242" i="4"/>
  <c r="C242" i="4"/>
  <c r="B242" i="4"/>
  <c r="A242" i="4"/>
  <c r="H241" i="4"/>
  <c r="G241" i="4"/>
  <c r="F241" i="4"/>
  <c r="E241" i="4"/>
  <c r="I241" i="4" s="1"/>
  <c r="D241" i="4"/>
  <c r="C241" i="4"/>
  <c r="B241" i="4"/>
  <c r="A241" i="4"/>
  <c r="H240" i="4"/>
  <c r="G240" i="4"/>
  <c r="F240" i="4"/>
  <c r="E240" i="4"/>
  <c r="D240" i="4"/>
  <c r="C240" i="4"/>
  <c r="I240" i="4" s="1"/>
  <c r="B240" i="4"/>
  <c r="A240" i="4"/>
  <c r="H239" i="4"/>
  <c r="G239" i="4"/>
  <c r="F239" i="4"/>
  <c r="E239" i="4"/>
  <c r="D239" i="4"/>
  <c r="I239" i="4" s="1"/>
  <c r="C239" i="4"/>
  <c r="B239" i="4"/>
  <c r="A239" i="4"/>
  <c r="H238" i="4"/>
  <c r="G238" i="4"/>
  <c r="F238" i="4"/>
  <c r="E238" i="4"/>
  <c r="I238" i="4" s="1"/>
  <c r="D238" i="4"/>
  <c r="C238" i="4"/>
  <c r="B238" i="4"/>
  <c r="A238" i="4"/>
  <c r="I237" i="4"/>
  <c r="H237" i="4"/>
  <c r="G237" i="4"/>
  <c r="F237" i="4"/>
  <c r="E237" i="4"/>
  <c r="D237" i="4"/>
  <c r="C237" i="4"/>
  <c r="B237" i="4"/>
  <c r="A237" i="4"/>
  <c r="I236" i="4"/>
  <c r="H236" i="4"/>
  <c r="G236" i="4"/>
  <c r="F236" i="4"/>
  <c r="E236" i="4"/>
  <c r="D236" i="4"/>
  <c r="C236" i="4"/>
  <c r="B236" i="4"/>
  <c r="A236" i="4"/>
  <c r="H235" i="4"/>
  <c r="G235" i="4"/>
  <c r="F235" i="4"/>
  <c r="E235" i="4"/>
  <c r="D235" i="4"/>
  <c r="C235" i="4"/>
  <c r="B235" i="4"/>
  <c r="A235" i="4"/>
  <c r="H234" i="4"/>
  <c r="G234" i="4"/>
  <c r="F234" i="4"/>
  <c r="E234" i="4"/>
  <c r="D234" i="4"/>
  <c r="I234" i="4" s="1"/>
  <c r="C234" i="4"/>
  <c r="B234" i="4"/>
  <c r="A234" i="4"/>
  <c r="H233" i="4"/>
  <c r="G233" i="4"/>
  <c r="F233" i="4"/>
  <c r="E233" i="4"/>
  <c r="D233" i="4"/>
  <c r="C233" i="4"/>
  <c r="B233" i="4"/>
  <c r="A233" i="4"/>
  <c r="I232" i="4"/>
  <c r="H232" i="4"/>
  <c r="G232" i="4"/>
  <c r="F232" i="4"/>
  <c r="E232" i="4"/>
  <c r="D232" i="4"/>
  <c r="C232" i="4"/>
  <c r="B232" i="4"/>
  <c r="A232" i="4"/>
  <c r="I231" i="4"/>
  <c r="H231" i="4"/>
  <c r="G231" i="4"/>
  <c r="F231" i="4"/>
  <c r="E231" i="4"/>
  <c r="D231" i="4"/>
  <c r="C231" i="4"/>
  <c r="B231" i="4"/>
  <c r="A231" i="4"/>
  <c r="H230" i="4"/>
  <c r="G230" i="4"/>
  <c r="F230" i="4"/>
  <c r="E230" i="4"/>
  <c r="I230" i="4" s="1"/>
  <c r="D230" i="4"/>
  <c r="C230" i="4"/>
  <c r="B230" i="4"/>
  <c r="A230" i="4"/>
  <c r="H229" i="4"/>
  <c r="G229" i="4"/>
  <c r="F229" i="4"/>
  <c r="E229" i="4"/>
  <c r="D229" i="4"/>
  <c r="C229" i="4"/>
  <c r="I229" i="4" s="1"/>
  <c r="B229" i="4"/>
  <c r="A229" i="4"/>
  <c r="H228" i="4"/>
  <c r="G228" i="4"/>
  <c r="F228" i="4"/>
  <c r="E228" i="4"/>
  <c r="D228" i="4"/>
  <c r="C228" i="4"/>
  <c r="B228" i="4"/>
  <c r="A228" i="4"/>
  <c r="I227" i="4"/>
  <c r="H227" i="4"/>
  <c r="G227" i="4"/>
  <c r="F227" i="4"/>
  <c r="E227" i="4"/>
  <c r="D227" i="4"/>
  <c r="C227" i="4"/>
  <c r="B227" i="4"/>
  <c r="A227" i="4"/>
  <c r="I226" i="4"/>
  <c r="H226" i="4"/>
  <c r="G226" i="4"/>
  <c r="F226" i="4"/>
  <c r="E226" i="4"/>
  <c r="D226" i="4"/>
  <c r="C226" i="4"/>
  <c r="B226" i="4"/>
  <c r="A226" i="4"/>
  <c r="I225" i="4"/>
  <c r="H225" i="4"/>
  <c r="G225" i="4"/>
  <c r="F225" i="4"/>
  <c r="E225" i="4"/>
  <c r="D225" i="4"/>
  <c r="C225" i="4"/>
  <c r="B225" i="4"/>
  <c r="A225" i="4"/>
  <c r="I224" i="4"/>
  <c r="H224" i="4"/>
  <c r="G224" i="4"/>
  <c r="F224" i="4"/>
  <c r="E224" i="4"/>
  <c r="D224" i="4"/>
  <c r="C224" i="4"/>
  <c r="B224" i="4"/>
  <c r="A224" i="4"/>
  <c r="H223" i="4"/>
  <c r="G223" i="4"/>
  <c r="F223" i="4"/>
  <c r="E223" i="4"/>
  <c r="D223" i="4"/>
  <c r="I223" i="4" s="1"/>
  <c r="C223" i="4"/>
  <c r="B223" i="4"/>
  <c r="A223" i="4"/>
  <c r="H222" i="4"/>
  <c r="G222" i="4"/>
  <c r="F222" i="4"/>
  <c r="I222" i="4" s="1"/>
  <c r="E222" i="4"/>
  <c r="D222" i="4"/>
  <c r="C222" i="4"/>
  <c r="B222" i="4"/>
  <c r="A222" i="4"/>
  <c r="H221" i="4"/>
  <c r="G221" i="4"/>
  <c r="F221" i="4"/>
  <c r="E221" i="4"/>
  <c r="D221" i="4"/>
  <c r="C221" i="4"/>
  <c r="B221" i="4"/>
  <c r="A221" i="4"/>
  <c r="I220" i="4"/>
  <c r="H220" i="4"/>
  <c r="G220" i="4"/>
  <c r="F220" i="4"/>
  <c r="E220" i="4"/>
  <c r="D220" i="4"/>
  <c r="C220" i="4"/>
  <c r="B220" i="4"/>
  <c r="A220" i="4"/>
  <c r="H219" i="4"/>
  <c r="G219" i="4"/>
  <c r="F219" i="4"/>
  <c r="E219" i="4"/>
  <c r="D219" i="4"/>
  <c r="C219" i="4"/>
  <c r="B219" i="4"/>
  <c r="A219" i="4"/>
  <c r="H218" i="4"/>
  <c r="G218" i="4"/>
  <c r="F218" i="4"/>
  <c r="E218" i="4"/>
  <c r="D218" i="4"/>
  <c r="I218" i="4" s="1"/>
  <c r="C218" i="4"/>
  <c r="B218" i="4"/>
  <c r="A218" i="4"/>
  <c r="H217" i="4"/>
  <c r="G217" i="4"/>
  <c r="F217" i="4"/>
  <c r="E217" i="4"/>
  <c r="D217" i="4"/>
  <c r="C217" i="4"/>
  <c r="B217" i="4"/>
  <c r="A217" i="4"/>
  <c r="I216" i="4"/>
  <c r="H216" i="4"/>
  <c r="G216" i="4"/>
  <c r="F216" i="4"/>
  <c r="E216" i="4"/>
  <c r="D216" i="4"/>
  <c r="C216" i="4"/>
  <c r="B216" i="4"/>
  <c r="A216" i="4"/>
  <c r="I215" i="4"/>
  <c r="H215" i="4"/>
  <c r="G215" i="4"/>
  <c r="F215" i="4"/>
  <c r="E215" i="4"/>
  <c r="D215" i="4"/>
  <c r="C215" i="4"/>
  <c r="B215" i="4"/>
  <c r="A215" i="4"/>
  <c r="H214" i="4"/>
  <c r="G214" i="4"/>
  <c r="F214" i="4"/>
  <c r="E214" i="4"/>
  <c r="D214" i="4"/>
  <c r="C214" i="4"/>
  <c r="B214" i="4"/>
  <c r="A214" i="4"/>
  <c r="I213" i="4"/>
  <c r="H213" i="4"/>
  <c r="G213" i="4"/>
  <c r="F213" i="4"/>
  <c r="E213" i="4"/>
  <c r="D213" i="4"/>
  <c r="C213" i="4"/>
  <c r="B213" i="4"/>
  <c r="A213" i="4"/>
  <c r="H212" i="4"/>
  <c r="G212" i="4"/>
  <c r="F212" i="4"/>
  <c r="E212" i="4"/>
  <c r="D212" i="4"/>
  <c r="C212" i="4"/>
  <c r="B212" i="4"/>
  <c r="A212" i="4"/>
  <c r="I211" i="4"/>
  <c r="H211" i="4"/>
  <c r="G211" i="4"/>
  <c r="F211" i="4"/>
  <c r="E211" i="4"/>
  <c r="D211" i="4"/>
  <c r="C211" i="4"/>
  <c r="B211" i="4"/>
  <c r="A211" i="4"/>
  <c r="H210" i="4"/>
  <c r="G210" i="4"/>
  <c r="F210" i="4"/>
  <c r="E210" i="4"/>
  <c r="D210" i="4"/>
  <c r="C210" i="4"/>
  <c r="B210" i="4"/>
  <c r="A210" i="4"/>
  <c r="I209" i="4"/>
  <c r="H209" i="4"/>
  <c r="G209" i="4"/>
  <c r="F209" i="4"/>
  <c r="E209" i="4"/>
  <c r="D209" i="4"/>
  <c r="C209" i="4"/>
  <c r="B209" i="4"/>
  <c r="A209" i="4"/>
  <c r="H208" i="4"/>
  <c r="G208" i="4"/>
  <c r="F208" i="4"/>
  <c r="E208" i="4"/>
  <c r="D208" i="4"/>
  <c r="I208" i="4" s="1"/>
  <c r="C208" i="4"/>
  <c r="B208" i="4"/>
  <c r="A208" i="4"/>
  <c r="H207" i="4"/>
  <c r="G207" i="4"/>
  <c r="F207" i="4"/>
  <c r="E207" i="4"/>
  <c r="D207" i="4"/>
  <c r="I207" i="4" s="1"/>
  <c r="C207" i="4"/>
  <c r="B207" i="4"/>
  <c r="A207" i="4"/>
  <c r="H206" i="4"/>
  <c r="G206" i="4"/>
  <c r="F206" i="4"/>
  <c r="E206" i="4"/>
  <c r="I206" i="4" s="1"/>
  <c r="D206" i="4"/>
  <c r="C206" i="4"/>
  <c r="B206" i="4"/>
  <c r="A206" i="4"/>
  <c r="H205" i="4"/>
  <c r="G205" i="4"/>
  <c r="F205" i="4"/>
  <c r="I205" i="4" s="1"/>
  <c r="E205" i="4"/>
  <c r="D205" i="4"/>
  <c r="C205" i="4"/>
  <c r="B205" i="4"/>
  <c r="A205" i="4"/>
  <c r="H204" i="4"/>
  <c r="G204" i="4"/>
  <c r="F204" i="4"/>
  <c r="I204" i="4" s="1"/>
  <c r="E204" i="4"/>
  <c r="D204" i="4"/>
  <c r="C204" i="4"/>
  <c r="B204" i="4"/>
  <c r="A204" i="4"/>
  <c r="H203" i="4"/>
  <c r="G203" i="4"/>
  <c r="F203" i="4"/>
  <c r="E203" i="4"/>
  <c r="D203" i="4"/>
  <c r="C203" i="4"/>
  <c r="B203" i="4"/>
  <c r="A203" i="4"/>
  <c r="I202" i="4"/>
  <c r="H202" i="4"/>
  <c r="G202" i="4"/>
  <c r="F202" i="4"/>
  <c r="E202" i="4"/>
  <c r="D202" i="4"/>
  <c r="C202" i="4"/>
  <c r="B202" i="4"/>
  <c r="A202" i="4"/>
  <c r="H201" i="4"/>
  <c r="G201" i="4"/>
  <c r="F201" i="4"/>
  <c r="E201" i="4"/>
  <c r="D201" i="4"/>
  <c r="C201" i="4"/>
  <c r="B201" i="4"/>
  <c r="A201" i="4"/>
  <c r="I200" i="4"/>
  <c r="H200" i="4"/>
  <c r="G200" i="4"/>
  <c r="F200" i="4"/>
  <c r="E200" i="4"/>
  <c r="D200" i="4"/>
  <c r="C200" i="4"/>
  <c r="B200" i="4"/>
  <c r="A200" i="4"/>
  <c r="H199" i="4"/>
  <c r="G199" i="4"/>
  <c r="F199" i="4"/>
  <c r="E199" i="4"/>
  <c r="D199" i="4"/>
  <c r="C199" i="4"/>
  <c r="B199" i="4"/>
  <c r="A199" i="4"/>
  <c r="H198" i="4"/>
  <c r="G198" i="4"/>
  <c r="F198" i="4"/>
  <c r="E198" i="4"/>
  <c r="I198" i="4" s="1"/>
  <c r="D198" i="4"/>
  <c r="C198" i="4"/>
  <c r="B198" i="4"/>
  <c r="A198" i="4"/>
  <c r="H197" i="4"/>
  <c r="G197" i="4"/>
  <c r="F197" i="4"/>
  <c r="E197" i="4"/>
  <c r="D197" i="4"/>
  <c r="C197" i="4"/>
  <c r="B197" i="4"/>
  <c r="A197" i="4"/>
  <c r="H196" i="4"/>
  <c r="G196" i="4"/>
  <c r="F196" i="4"/>
  <c r="E196" i="4"/>
  <c r="D196" i="4"/>
  <c r="C196" i="4"/>
  <c r="B196" i="4"/>
  <c r="A196" i="4"/>
  <c r="H195" i="4"/>
  <c r="G195" i="4"/>
  <c r="F195" i="4"/>
  <c r="E195" i="4"/>
  <c r="D195" i="4"/>
  <c r="C195" i="4"/>
  <c r="B195" i="4"/>
  <c r="A195" i="4"/>
  <c r="I194" i="4"/>
  <c r="H194" i="4"/>
  <c r="G194" i="4"/>
  <c r="F194" i="4"/>
  <c r="E194" i="4"/>
  <c r="D194" i="4"/>
  <c r="C194" i="4"/>
  <c r="B194" i="4"/>
  <c r="A194" i="4"/>
  <c r="H193" i="4"/>
  <c r="G193" i="4"/>
  <c r="F193" i="4"/>
  <c r="E193" i="4"/>
  <c r="I193" i="4" s="1"/>
  <c r="D193" i="4"/>
  <c r="C193" i="4"/>
  <c r="B193" i="4"/>
  <c r="A193" i="4"/>
  <c r="H192" i="4"/>
  <c r="G192" i="4"/>
  <c r="F192" i="4"/>
  <c r="E192" i="4"/>
  <c r="D192" i="4"/>
  <c r="C192" i="4"/>
  <c r="I192" i="4" s="1"/>
  <c r="B192" i="4"/>
  <c r="A192" i="4"/>
  <c r="H191" i="4"/>
  <c r="G191" i="4"/>
  <c r="F191" i="4"/>
  <c r="E191" i="4"/>
  <c r="D191" i="4"/>
  <c r="I191" i="4" s="1"/>
  <c r="C191" i="4"/>
  <c r="B191" i="4"/>
  <c r="A191" i="4"/>
  <c r="H190" i="4"/>
  <c r="G190" i="4"/>
  <c r="F190" i="4"/>
  <c r="E190" i="4"/>
  <c r="D190" i="4"/>
  <c r="I190" i="4" s="1"/>
  <c r="C190" i="4"/>
  <c r="B190" i="4"/>
  <c r="A190" i="4"/>
  <c r="H189" i="4"/>
  <c r="G189" i="4"/>
  <c r="F189" i="4"/>
  <c r="I189" i="4" s="1"/>
  <c r="E189" i="4"/>
  <c r="D189" i="4"/>
  <c r="C189" i="4"/>
  <c r="B189" i="4"/>
  <c r="A189" i="4"/>
  <c r="H188" i="4"/>
  <c r="G188" i="4"/>
  <c r="F188" i="4"/>
  <c r="E188" i="4"/>
  <c r="D188" i="4"/>
  <c r="I188" i="4" s="1"/>
  <c r="C188" i="4"/>
  <c r="B188" i="4"/>
  <c r="A188" i="4"/>
  <c r="H187" i="4"/>
  <c r="G187" i="4"/>
  <c r="F187" i="4"/>
  <c r="E187" i="4"/>
  <c r="D187" i="4"/>
  <c r="C187" i="4"/>
  <c r="B187" i="4"/>
  <c r="A187" i="4"/>
  <c r="H186" i="4"/>
  <c r="G186" i="4"/>
  <c r="F186" i="4"/>
  <c r="E186" i="4"/>
  <c r="D186" i="4"/>
  <c r="I186" i="4" s="1"/>
  <c r="C186" i="4"/>
  <c r="B186" i="4"/>
  <c r="A186" i="4"/>
  <c r="H185" i="4"/>
  <c r="G185" i="4"/>
  <c r="F185" i="4"/>
  <c r="E185" i="4"/>
  <c r="D185" i="4"/>
  <c r="I185" i="4" s="1"/>
  <c r="C185" i="4"/>
  <c r="B185" i="4"/>
  <c r="A185" i="4"/>
  <c r="H184" i="4"/>
  <c r="G184" i="4"/>
  <c r="F184" i="4"/>
  <c r="E184" i="4"/>
  <c r="D184" i="4"/>
  <c r="C184" i="4"/>
  <c r="B184" i="4"/>
  <c r="A184" i="4"/>
  <c r="H183" i="4"/>
  <c r="G183" i="4"/>
  <c r="F183" i="4"/>
  <c r="I183" i="4" s="1"/>
  <c r="E183" i="4"/>
  <c r="D183" i="4"/>
  <c r="C183" i="4"/>
  <c r="B183" i="4"/>
  <c r="A183" i="4"/>
  <c r="H182" i="4"/>
  <c r="G182" i="4"/>
  <c r="F182" i="4"/>
  <c r="E182" i="4"/>
  <c r="D182" i="4"/>
  <c r="C182" i="4"/>
  <c r="B182" i="4"/>
  <c r="A182" i="4"/>
  <c r="H181" i="4"/>
  <c r="G181" i="4"/>
  <c r="F181" i="4"/>
  <c r="E181" i="4"/>
  <c r="D181" i="4"/>
  <c r="C181" i="4"/>
  <c r="I181" i="4" s="1"/>
  <c r="B181" i="4"/>
  <c r="A181" i="4"/>
  <c r="H180" i="4"/>
  <c r="G180" i="4"/>
  <c r="F180" i="4"/>
  <c r="E180" i="4"/>
  <c r="D180" i="4"/>
  <c r="C180" i="4"/>
  <c r="B180" i="4"/>
  <c r="A180" i="4"/>
  <c r="H179" i="4"/>
  <c r="G179" i="4"/>
  <c r="F179" i="4"/>
  <c r="E179" i="4"/>
  <c r="I179" i="4" s="1"/>
  <c r="D179" i="4"/>
  <c r="C179" i="4"/>
  <c r="B179" i="4"/>
  <c r="A179" i="4"/>
  <c r="H178" i="4"/>
  <c r="G178" i="4"/>
  <c r="F178" i="4"/>
  <c r="E178" i="4"/>
  <c r="I178" i="4" s="1"/>
  <c r="D178" i="4"/>
  <c r="C178" i="4"/>
  <c r="B178" i="4"/>
  <c r="A178" i="4"/>
  <c r="H177" i="4"/>
  <c r="G177" i="4"/>
  <c r="F177" i="4"/>
  <c r="E177" i="4"/>
  <c r="I177" i="4" s="1"/>
  <c r="D177" i="4"/>
  <c r="C177" i="4"/>
  <c r="B177" i="4"/>
  <c r="A177" i="4"/>
  <c r="H176" i="4"/>
  <c r="G176" i="4"/>
  <c r="F176" i="4"/>
  <c r="E176" i="4"/>
  <c r="D176" i="4"/>
  <c r="C176" i="4"/>
  <c r="I176" i="4" s="1"/>
  <c r="B176" i="4"/>
  <c r="A176" i="4"/>
  <c r="H175" i="4"/>
  <c r="G175" i="4"/>
  <c r="F175" i="4"/>
  <c r="E175" i="4"/>
  <c r="D175" i="4"/>
  <c r="I175" i="4" s="1"/>
  <c r="C175" i="4"/>
  <c r="B175" i="4"/>
  <c r="A175" i="4"/>
  <c r="H174" i="4"/>
  <c r="G174" i="4"/>
  <c r="F174" i="4"/>
  <c r="E174" i="4"/>
  <c r="I174" i="4" s="1"/>
  <c r="D174" i="4"/>
  <c r="C174" i="4"/>
  <c r="B174" i="4"/>
  <c r="A174" i="4"/>
  <c r="I173" i="4"/>
  <c r="H173" i="4"/>
  <c r="G173" i="4"/>
  <c r="F173" i="4"/>
  <c r="E173" i="4"/>
  <c r="D173" i="4"/>
  <c r="C173" i="4"/>
  <c r="B173" i="4"/>
  <c r="A173" i="4"/>
  <c r="I172" i="4"/>
  <c r="H172" i="4"/>
  <c r="G172" i="4"/>
  <c r="F172" i="4"/>
  <c r="E172" i="4"/>
  <c r="D172" i="4"/>
  <c r="C172" i="4"/>
  <c r="B172" i="4"/>
  <c r="A172" i="4"/>
  <c r="H171" i="4"/>
  <c r="G171" i="4"/>
  <c r="F171" i="4"/>
  <c r="E171" i="4"/>
  <c r="D171" i="4"/>
  <c r="C171" i="4"/>
  <c r="B171" i="4"/>
  <c r="A171" i="4"/>
  <c r="H170" i="4"/>
  <c r="G170" i="4"/>
  <c r="F170" i="4"/>
  <c r="E170" i="4"/>
  <c r="D170" i="4"/>
  <c r="I170" i="4" s="1"/>
  <c r="C170" i="4"/>
  <c r="B170" i="4"/>
  <c r="A170" i="4"/>
  <c r="H169" i="4"/>
  <c r="G169" i="4"/>
  <c r="F169" i="4"/>
  <c r="E169" i="4"/>
  <c r="D169" i="4"/>
  <c r="C169" i="4"/>
  <c r="B169" i="4"/>
  <c r="A169" i="4"/>
  <c r="H168" i="4"/>
  <c r="G168" i="4"/>
  <c r="F168" i="4"/>
  <c r="E168" i="4"/>
  <c r="D168" i="4"/>
  <c r="C168" i="4"/>
  <c r="I168" i="4" s="1"/>
  <c r="B168" i="4"/>
  <c r="A168" i="4"/>
  <c r="I167" i="4"/>
  <c r="H167" i="4"/>
  <c r="G167" i="4"/>
  <c r="F167" i="4"/>
  <c r="E167" i="4"/>
  <c r="D167" i="4"/>
  <c r="C167" i="4"/>
  <c r="B167" i="4"/>
  <c r="A167" i="4"/>
  <c r="H166" i="4"/>
  <c r="G166" i="4"/>
  <c r="F166" i="4"/>
  <c r="E166" i="4"/>
  <c r="I166" i="4" s="1"/>
  <c r="D166" i="4"/>
  <c r="C166" i="4"/>
  <c r="B166" i="4"/>
  <c r="A166" i="4"/>
  <c r="H165" i="4"/>
  <c r="G165" i="4"/>
  <c r="F165" i="4"/>
  <c r="E165" i="4"/>
  <c r="D165" i="4"/>
  <c r="C165" i="4"/>
  <c r="I165" i="4" s="1"/>
  <c r="B165" i="4"/>
  <c r="A165" i="4"/>
  <c r="H164" i="4"/>
  <c r="G164" i="4"/>
  <c r="F164" i="4"/>
  <c r="E164" i="4"/>
  <c r="D164" i="4"/>
  <c r="C164" i="4"/>
  <c r="B164" i="4"/>
  <c r="A164" i="4"/>
  <c r="I163" i="4"/>
  <c r="H163" i="4"/>
  <c r="G163" i="4"/>
  <c r="F163" i="4"/>
  <c r="E163" i="4"/>
  <c r="D163" i="4"/>
  <c r="C163" i="4"/>
  <c r="B163" i="4"/>
  <c r="A163" i="4"/>
  <c r="I162" i="4"/>
  <c r="H162" i="4"/>
  <c r="G162" i="4"/>
  <c r="F162" i="4"/>
  <c r="E162" i="4"/>
  <c r="D162" i="4"/>
  <c r="C162" i="4"/>
  <c r="B162" i="4"/>
  <c r="A162" i="4"/>
  <c r="I161" i="4"/>
  <c r="H161" i="4"/>
  <c r="G161" i="4"/>
  <c r="F161" i="4"/>
  <c r="E161" i="4"/>
  <c r="D161" i="4"/>
  <c r="C161" i="4"/>
  <c r="B161" i="4"/>
  <c r="A161" i="4"/>
  <c r="I160" i="4"/>
  <c r="H160" i="4"/>
  <c r="G160" i="4"/>
  <c r="F160" i="4"/>
  <c r="E160" i="4"/>
  <c r="D160" i="4"/>
  <c r="C160" i="4"/>
  <c r="B160" i="4"/>
  <c r="A160" i="4"/>
  <c r="H159" i="4"/>
  <c r="G159" i="4"/>
  <c r="F159" i="4"/>
  <c r="E159" i="4"/>
  <c r="D159" i="4"/>
  <c r="I159" i="4" s="1"/>
  <c r="C159" i="4"/>
  <c r="B159" i="4"/>
  <c r="A159" i="4"/>
  <c r="H158" i="4"/>
  <c r="G158" i="4"/>
  <c r="F158" i="4"/>
  <c r="I158" i="4" s="1"/>
  <c r="E158" i="4"/>
  <c r="D158" i="4"/>
  <c r="C158" i="4"/>
  <c r="B158" i="4"/>
  <c r="A158" i="4"/>
  <c r="H157" i="4"/>
  <c r="G157" i="4"/>
  <c r="F157" i="4"/>
  <c r="E157" i="4"/>
  <c r="D157" i="4"/>
  <c r="C157" i="4"/>
  <c r="B157" i="4"/>
  <c r="A157" i="4"/>
  <c r="I156" i="4"/>
  <c r="H156" i="4"/>
  <c r="G156" i="4"/>
  <c r="F156" i="4"/>
  <c r="E156" i="4"/>
  <c r="D156" i="4"/>
  <c r="C156" i="4"/>
  <c r="B156" i="4"/>
  <c r="A156" i="4"/>
  <c r="H155" i="4"/>
  <c r="G155" i="4"/>
  <c r="F155" i="4"/>
  <c r="E155" i="4"/>
  <c r="D155" i="4"/>
  <c r="C155" i="4"/>
  <c r="B155" i="4"/>
  <c r="A155" i="4"/>
  <c r="H154" i="4"/>
  <c r="G154" i="4"/>
  <c r="F154" i="4"/>
  <c r="E154" i="4"/>
  <c r="D154" i="4"/>
  <c r="I154" i="4" s="1"/>
  <c r="C154" i="4"/>
  <c r="B154" i="4"/>
  <c r="A154" i="4"/>
  <c r="H153" i="4"/>
  <c r="G153" i="4"/>
  <c r="F153" i="4"/>
  <c r="E153" i="4"/>
  <c r="D153" i="4"/>
  <c r="I153" i="4" s="1"/>
  <c r="C153" i="4"/>
  <c r="B153" i="4"/>
  <c r="A153" i="4"/>
  <c r="I152" i="4"/>
  <c r="H152" i="4"/>
  <c r="G152" i="4"/>
  <c r="F152" i="4"/>
  <c r="E152" i="4"/>
  <c r="D152" i="4"/>
  <c r="C152" i="4"/>
  <c r="B152" i="4"/>
  <c r="A152" i="4"/>
  <c r="H151" i="4"/>
  <c r="G151" i="4"/>
  <c r="F151" i="4"/>
  <c r="I151" i="4" s="1"/>
  <c r="E151" i="4"/>
  <c r="D151" i="4"/>
  <c r="C151" i="4"/>
  <c r="B151" i="4"/>
  <c r="A151" i="4"/>
  <c r="H150" i="4"/>
  <c r="G150" i="4"/>
  <c r="F150" i="4"/>
  <c r="E150" i="4"/>
  <c r="D150" i="4"/>
  <c r="C150" i="4"/>
  <c r="B150" i="4"/>
  <c r="A150" i="4"/>
  <c r="I149" i="4"/>
  <c r="H149" i="4"/>
  <c r="G149" i="4"/>
  <c r="F149" i="4"/>
  <c r="E149" i="4"/>
  <c r="D149" i="4"/>
  <c r="C149" i="4"/>
  <c r="B149" i="4"/>
  <c r="A149" i="4"/>
  <c r="H148" i="4"/>
  <c r="G148" i="4"/>
  <c r="F148" i="4"/>
  <c r="E148" i="4"/>
  <c r="D148" i="4"/>
  <c r="C148" i="4"/>
  <c r="B148" i="4"/>
  <c r="A148" i="4"/>
  <c r="I147" i="4"/>
  <c r="H147" i="4"/>
  <c r="G147" i="4"/>
  <c r="F147" i="4"/>
  <c r="E147" i="4"/>
  <c r="D147" i="4"/>
  <c r="C147" i="4"/>
  <c r="B147" i="4"/>
  <c r="A147" i="4"/>
  <c r="H146" i="4"/>
  <c r="G146" i="4"/>
  <c r="F146" i="4"/>
  <c r="E146" i="4"/>
  <c r="D146" i="4"/>
  <c r="I146" i="4" s="1"/>
  <c r="C146" i="4"/>
  <c r="B146" i="4"/>
  <c r="A146" i="4"/>
  <c r="I145" i="4"/>
  <c r="H145" i="4"/>
  <c r="G145" i="4"/>
  <c r="F145" i="4"/>
  <c r="E145" i="4"/>
  <c r="D145" i="4"/>
  <c r="C145" i="4"/>
  <c r="B145" i="4"/>
  <c r="A145" i="4"/>
  <c r="H144" i="4"/>
  <c r="G144" i="4"/>
  <c r="F144" i="4"/>
  <c r="E144" i="4"/>
  <c r="D144" i="4"/>
  <c r="C144" i="4"/>
  <c r="B144" i="4"/>
  <c r="A144" i="4"/>
  <c r="H143" i="4"/>
  <c r="G143" i="4"/>
  <c r="F143" i="4"/>
  <c r="E143" i="4"/>
  <c r="D143" i="4"/>
  <c r="I143" i="4" s="1"/>
  <c r="C143" i="4"/>
  <c r="B143" i="4"/>
  <c r="A143" i="4"/>
  <c r="H142" i="4"/>
  <c r="G142" i="4"/>
  <c r="F142" i="4"/>
  <c r="E142" i="4"/>
  <c r="D142" i="4"/>
  <c r="I142" i="4" s="1"/>
  <c r="C142" i="4"/>
  <c r="B142" i="4"/>
  <c r="A142" i="4"/>
  <c r="H141" i="4"/>
  <c r="G141" i="4"/>
  <c r="F141" i="4"/>
  <c r="I141" i="4" s="1"/>
  <c r="E141" i="4"/>
  <c r="D141" i="4"/>
  <c r="C141" i="4"/>
  <c r="B141" i="4"/>
  <c r="A141" i="4"/>
  <c r="I140" i="4"/>
  <c r="H140" i="4"/>
  <c r="G140" i="4"/>
  <c r="F140" i="4"/>
  <c r="E140" i="4"/>
  <c r="D140" i="4"/>
  <c r="C140" i="4"/>
  <c r="B140" i="4"/>
  <c r="A140" i="4"/>
  <c r="H139" i="4"/>
  <c r="G139" i="4"/>
  <c r="F139" i="4"/>
  <c r="E139" i="4"/>
  <c r="D139" i="4"/>
  <c r="C139" i="4"/>
  <c r="B139" i="4"/>
  <c r="A139" i="4"/>
  <c r="I138" i="4"/>
  <c r="H138" i="4"/>
  <c r="G138" i="4"/>
  <c r="F138" i="4"/>
  <c r="E138" i="4"/>
  <c r="D138" i="4"/>
  <c r="C138" i="4"/>
  <c r="B138" i="4"/>
  <c r="A138" i="4"/>
  <c r="H137" i="4"/>
  <c r="G137" i="4"/>
  <c r="F137" i="4"/>
  <c r="E137" i="4"/>
  <c r="D137" i="4"/>
  <c r="I137" i="4" s="1"/>
  <c r="C137" i="4"/>
  <c r="B137" i="4"/>
  <c r="A137" i="4"/>
  <c r="I136" i="4"/>
  <c r="H136" i="4"/>
  <c r="G136" i="4"/>
  <c r="F136" i="4"/>
  <c r="E136" i="4"/>
  <c r="D136" i="4"/>
  <c r="C136" i="4"/>
  <c r="B136" i="4"/>
  <c r="A136" i="4"/>
  <c r="H135" i="4"/>
  <c r="G135" i="4"/>
  <c r="F135" i="4"/>
  <c r="E135" i="4"/>
  <c r="D135" i="4"/>
  <c r="C135" i="4"/>
  <c r="B135" i="4"/>
  <c r="A135" i="4"/>
  <c r="H134" i="4"/>
  <c r="G134" i="4"/>
  <c r="F134" i="4"/>
  <c r="E134" i="4"/>
  <c r="I134" i="4" s="1"/>
  <c r="D134" i="4"/>
  <c r="C134" i="4"/>
  <c r="B134" i="4"/>
  <c r="A134" i="4"/>
  <c r="H133" i="4"/>
  <c r="G133" i="4"/>
  <c r="F133" i="4"/>
  <c r="E133" i="4"/>
  <c r="D133" i="4"/>
  <c r="C133" i="4"/>
  <c r="B133" i="4"/>
  <c r="A133" i="4"/>
  <c r="H132" i="4"/>
  <c r="G132" i="4"/>
  <c r="F132" i="4"/>
  <c r="E132" i="4"/>
  <c r="D132" i="4"/>
  <c r="C132" i="4"/>
  <c r="B132" i="4"/>
  <c r="A132" i="4"/>
  <c r="H131" i="4"/>
  <c r="G131" i="4"/>
  <c r="F131" i="4"/>
  <c r="E131" i="4"/>
  <c r="I131" i="4" s="1"/>
  <c r="D131" i="4"/>
  <c r="C131" i="4"/>
  <c r="B131" i="4"/>
  <c r="A131" i="4"/>
  <c r="I130" i="4"/>
  <c r="H130" i="4"/>
  <c r="G130" i="4"/>
  <c r="F130" i="4"/>
  <c r="E130" i="4"/>
  <c r="D130" i="4"/>
  <c r="C130" i="4"/>
  <c r="B130" i="4"/>
  <c r="A130" i="4"/>
  <c r="H129" i="4"/>
  <c r="G129" i="4"/>
  <c r="F129" i="4"/>
  <c r="E129" i="4"/>
  <c r="I129" i="4" s="1"/>
  <c r="D129" i="4"/>
  <c r="C129" i="4"/>
  <c r="B129" i="4"/>
  <c r="A129" i="4"/>
  <c r="H128" i="4"/>
  <c r="G128" i="4"/>
  <c r="F128" i="4"/>
  <c r="E128" i="4"/>
  <c r="D128" i="4"/>
  <c r="C128" i="4"/>
  <c r="I128" i="4" s="1"/>
  <c r="B128" i="4"/>
  <c r="A128" i="4"/>
  <c r="I127" i="4"/>
  <c r="H127" i="4"/>
  <c r="G127" i="4"/>
  <c r="F127" i="4"/>
  <c r="E127" i="4"/>
  <c r="D127" i="4"/>
  <c r="C127" i="4"/>
  <c r="B127" i="4"/>
  <c r="A127" i="4"/>
  <c r="H126" i="4"/>
  <c r="G126" i="4"/>
  <c r="F126" i="4"/>
  <c r="E126" i="4"/>
  <c r="D126" i="4"/>
  <c r="I126" i="4" s="1"/>
  <c r="C126" i="4"/>
  <c r="B126" i="4"/>
  <c r="A126" i="4"/>
  <c r="I125" i="4"/>
  <c r="H125" i="4"/>
  <c r="G125" i="4"/>
  <c r="F125" i="4"/>
  <c r="E125" i="4"/>
  <c r="D125" i="4"/>
  <c r="C125" i="4"/>
  <c r="B125" i="4"/>
  <c r="A125" i="4"/>
  <c r="H124" i="4"/>
  <c r="G124" i="4"/>
  <c r="F124" i="4"/>
  <c r="E124" i="4"/>
  <c r="D124" i="4"/>
  <c r="I124" i="4" s="1"/>
  <c r="C124" i="4"/>
  <c r="B124" i="4"/>
  <c r="A124" i="4"/>
  <c r="H123" i="4"/>
  <c r="G123" i="4"/>
  <c r="F123" i="4"/>
  <c r="E123" i="4"/>
  <c r="D123" i="4"/>
  <c r="C123" i="4"/>
  <c r="B123" i="4"/>
  <c r="A123" i="4"/>
  <c r="H122" i="4"/>
  <c r="G122" i="4"/>
  <c r="F122" i="4"/>
  <c r="E122" i="4"/>
  <c r="D122" i="4"/>
  <c r="I122" i="4" s="1"/>
  <c r="C122" i="4"/>
  <c r="B122" i="4"/>
  <c r="A122" i="4"/>
  <c r="H121" i="4"/>
  <c r="G121" i="4"/>
  <c r="F121" i="4"/>
  <c r="E121" i="4"/>
  <c r="D121" i="4"/>
  <c r="I121" i="4" s="1"/>
  <c r="C121" i="4"/>
  <c r="B121" i="4"/>
  <c r="A121" i="4"/>
  <c r="H120" i="4"/>
  <c r="G120" i="4"/>
  <c r="F120" i="4"/>
  <c r="E120" i="4"/>
  <c r="D120" i="4"/>
  <c r="C120" i="4"/>
  <c r="B120" i="4"/>
  <c r="A120" i="4"/>
  <c r="H119" i="4"/>
  <c r="G119" i="4"/>
  <c r="F119" i="4"/>
  <c r="I119" i="4" s="1"/>
  <c r="E119" i="4"/>
  <c r="D119" i="4"/>
  <c r="C119" i="4"/>
  <c r="B119" i="4"/>
  <c r="A119" i="4"/>
  <c r="H118" i="4"/>
  <c r="G118" i="4"/>
  <c r="F118" i="4"/>
  <c r="E118" i="4"/>
  <c r="D118" i="4"/>
  <c r="C118" i="4"/>
  <c r="B118" i="4"/>
  <c r="A118" i="4"/>
  <c r="H117" i="4"/>
  <c r="G117" i="4"/>
  <c r="F117" i="4"/>
  <c r="E117" i="4"/>
  <c r="D117" i="4"/>
  <c r="C117" i="4"/>
  <c r="I117" i="4" s="1"/>
  <c r="B117" i="4"/>
  <c r="A117" i="4"/>
  <c r="H116" i="4"/>
  <c r="G116" i="4"/>
  <c r="F116" i="4"/>
  <c r="E116" i="4"/>
  <c r="D116" i="4"/>
  <c r="C116" i="4"/>
  <c r="B116" i="4"/>
  <c r="A116" i="4"/>
  <c r="H115" i="4"/>
  <c r="G115" i="4"/>
  <c r="F115" i="4"/>
  <c r="E115" i="4"/>
  <c r="I115" i="4" s="1"/>
  <c r="D115" i="4"/>
  <c r="C115" i="4"/>
  <c r="B115" i="4"/>
  <c r="A115" i="4"/>
  <c r="H114" i="4"/>
  <c r="G114" i="4"/>
  <c r="F114" i="4"/>
  <c r="E114" i="4"/>
  <c r="I114" i="4" s="1"/>
  <c r="D114" i="4"/>
  <c r="C114" i="4"/>
  <c r="B114" i="4"/>
  <c r="A114" i="4"/>
  <c r="H113" i="4"/>
  <c r="G113" i="4"/>
  <c r="F113" i="4"/>
  <c r="E113" i="4"/>
  <c r="I113" i="4" s="1"/>
  <c r="D113" i="4"/>
  <c r="C113" i="4"/>
  <c r="B113" i="4"/>
  <c r="A113" i="4"/>
  <c r="H112" i="4"/>
  <c r="G112" i="4"/>
  <c r="F112" i="4"/>
  <c r="E112" i="4"/>
  <c r="D112" i="4"/>
  <c r="C112" i="4"/>
  <c r="I112" i="4" s="1"/>
  <c r="B112" i="4"/>
  <c r="A112" i="4"/>
  <c r="H111" i="4"/>
  <c r="G111" i="4"/>
  <c r="F111" i="4"/>
  <c r="E111" i="4"/>
  <c r="D111" i="4"/>
  <c r="I111" i="4" s="1"/>
  <c r="C111" i="4"/>
  <c r="B111" i="4"/>
  <c r="A111" i="4"/>
  <c r="H110" i="4"/>
  <c r="G110" i="4"/>
  <c r="F110" i="4"/>
  <c r="E110" i="4"/>
  <c r="I110" i="4" s="1"/>
  <c r="D110" i="4"/>
  <c r="C110" i="4"/>
  <c r="B110" i="4"/>
  <c r="A110" i="4"/>
  <c r="I109" i="4"/>
  <c r="H109" i="4"/>
  <c r="G109" i="4"/>
  <c r="F109" i="4"/>
  <c r="E109" i="4"/>
  <c r="D109" i="4"/>
  <c r="C109" i="4"/>
  <c r="B109" i="4"/>
  <c r="A109" i="4"/>
  <c r="I108" i="4"/>
  <c r="H108" i="4"/>
  <c r="G108" i="4"/>
  <c r="F108" i="4"/>
  <c r="E108" i="4"/>
  <c r="D108" i="4"/>
  <c r="C108" i="4"/>
  <c r="B108" i="4"/>
  <c r="A108" i="4"/>
  <c r="H107" i="4"/>
  <c r="G107" i="4"/>
  <c r="F107" i="4"/>
  <c r="E107" i="4"/>
  <c r="D107" i="4"/>
  <c r="C107" i="4"/>
  <c r="B107" i="4"/>
  <c r="A107" i="4"/>
  <c r="H106" i="4"/>
  <c r="G106" i="4"/>
  <c r="F106" i="4"/>
  <c r="E106" i="4"/>
  <c r="D106" i="4"/>
  <c r="I106" i="4" s="1"/>
  <c r="C106" i="4"/>
  <c r="B106" i="4"/>
  <c r="A106" i="4"/>
  <c r="H105" i="4"/>
  <c r="G105" i="4"/>
  <c r="F105" i="4"/>
  <c r="E105" i="4"/>
  <c r="D105" i="4"/>
  <c r="C105" i="4"/>
  <c r="B105" i="4"/>
  <c r="A105" i="4"/>
  <c r="H104" i="4"/>
  <c r="G104" i="4"/>
  <c r="F104" i="4"/>
  <c r="E104" i="4"/>
  <c r="D104" i="4"/>
  <c r="C104" i="4"/>
  <c r="I104" i="4" s="1"/>
  <c r="B104" i="4"/>
  <c r="A104" i="4"/>
  <c r="I103" i="4"/>
  <c r="H103" i="4"/>
  <c r="G103" i="4"/>
  <c r="F103" i="4"/>
  <c r="E103" i="4"/>
  <c r="D103" i="4"/>
  <c r="C103" i="4"/>
  <c r="B103" i="4"/>
  <c r="A103" i="4"/>
  <c r="H102" i="4"/>
  <c r="G102" i="4"/>
  <c r="F102" i="4"/>
  <c r="E102" i="4"/>
  <c r="I102" i="4" s="1"/>
  <c r="D102" i="4"/>
  <c r="C102" i="4"/>
  <c r="B102" i="4"/>
  <c r="A102" i="4"/>
  <c r="H101" i="4"/>
  <c r="G101" i="4"/>
  <c r="F101" i="4"/>
  <c r="E101" i="4"/>
  <c r="D101" i="4"/>
  <c r="C101" i="4"/>
  <c r="I101" i="4" s="1"/>
  <c r="B101" i="4"/>
  <c r="A101" i="4"/>
  <c r="H100" i="4"/>
  <c r="G100" i="4"/>
  <c r="F100" i="4"/>
  <c r="E100" i="4"/>
  <c r="D100" i="4"/>
  <c r="C100" i="4"/>
  <c r="B100" i="4"/>
  <c r="A100" i="4"/>
  <c r="I99" i="4"/>
  <c r="H99" i="4"/>
  <c r="G99" i="4"/>
  <c r="F99" i="4"/>
  <c r="E99" i="4"/>
  <c r="D99" i="4"/>
  <c r="C99" i="4"/>
  <c r="B99" i="4"/>
  <c r="A99" i="4"/>
  <c r="I98" i="4"/>
  <c r="H98" i="4"/>
  <c r="G98" i="4"/>
  <c r="F98" i="4"/>
  <c r="E98" i="4"/>
  <c r="D98" i="4"/>
  <c r="C98" i="4"/>
  <c r="B98" i="4"/>
  <c r="A98" i="4"/>
  <c r="I97" i="4"/>
  <c r="H97" i="4"/>
  <c r="G97" i="4"/>
  <c r="F97" i="4"/>
  <c r="E97" i="4"/>
  <c r="D97" i="4"/>
  <c r="C97" i="4"/>
  <c r="B97" i="4"/>
  <c r="A97" i="4"/>
  <c r="I96" i="4"/>
  <c r="H96" i="4"/>
  <c r="G96" i="4"/>
  <c r="F96" i="4"/>
  <c r="E96" i="4"/>
  <c r="D96" i="4"/>
  <c r="C96" i="4"/>
  <c r="B96" i="4"/>
  <c r="A96" i="4"/>
  <c r="H95" i="4"/>
  <c r="G95" i="4"/>
  <c r="F95" i="4"/>
  <c r="E95" i="4"/>
  <c r="D95" i="4"/>
  <c r="I95" i="4" s="1"/>
  <c r="C95" i="4"/>
  <c r="B95" i="4"/>
  <c r="A95" i="4"/>
  <c r="H94" i="4"/>
  <c r="G94" i="4"/>
  <c r="F94" i="4"/>
  <c r="I94" i="4" s="1"/>
  <c r="E94" i="4"/>
  <c r="D94" i="4"/>
  <c r="C94" i="4"/>
  <c r="B94" i="4"/>
  <c r="A94" i="4"/>
  <c r="H93" i="4"/>
  <c r="G93" i="4"/>
  <c r="F93" i="4"/>
  <c r="E93" i="4"/>
  <c r="D93" i="4"/>
  <c r="C93" i="4"/>
  <c r="B93" i="4"/>
  <c r="A93" i="4"/>
  <c r="I92" i="4"/>
  <c r="H92" i="4"/>
  <c r="G92" i="4"/>
  <c r="F92" i="4"/>
  <c r="E92" i="4"/>
  <c r="D92" i="4"/>
  <c r="C92" i="4"/>
  <c r="B92" i="4"/>
  <c r="A92" i="4"/>
  <c r="H91" i="4"/>
  <c r="G91" i="4"/>
  <c r="F91" i="4"/>
  <c r="E91" i="4"/>
  <c r="D91" i="4"/>
  <c r="C91" i="4"/>
  <c r="B91" i="4"/>
  <c r="A91" i="4"/>
  <c r="H90" i="4"/>
  <c r="G90" i="4"/>
  <c r="F90" i="4"/>
  <c r="E90" i="4"/>
  <c r="D90" i="4"/>
  <c r="I90" i="4" s="1"/>
  <c r="C90" i="4"/>
  <c r="B90" i="4"/>
  <c r="A90" i="4"/>
  <c r="H89" i="4"/>
  <c r="G89" i="4"/>
  <c r="F89" i="4"/>
  <c r="E89" i="4"/>
  <c r="D89" i="4"/>
  <c r="I89" i="4" s="1"/>
  <c r="C89" i="4"/>
  <c r="B89" i="4"/>
  <c r="A89" i="4"/>
  <c r="I88" i="4"/>
  <c r="H88" i="4"/>
  <c r="G88" i="4"/>
  <c r="F88" i="4"/>
  <c r="E88" i="4"/>
  <c r="D88" i="4"/>
  <c r="C88" i="4"/>
  <c r="B88" i="4"/>
  <c r="A88" i="4"/>
  <c r="H87" i="4"/>
  <c r="G87" i="4"/>
  <c r="F87" i="4"/>
  <c r="I87" i="4" s="1"/>
  <c r="E87" i="4"/>
  <c r="D87" i="4"/>
  <c r="C87" i="4"/>
  <c r="B87" i="4"/>
  <c r="A87" i="4"/>
  <c r="H86" i="4"/>
  <c r="G86" i="4"/>
  <c r="F86" i="4"/>
  <c r="E86" i="4"/>
  <c r="D86" i="4"/>
  <c r="C86" i="4"/>
  <c r="B86" i="4"/>
  <c r="A86" i="4"/>
  <c r="I85" i="4"/>
  <c r="H85" i="4"/>
  <c r="G85" i="4"/>
  <c r="F85" i="4"/>
  <c r="E85" i="4"/>
  <c r="D85" i="4"/>
  <c r="C85" i="4"/>
  <c r="B85" i="4"/>
  <c r="A85" i="4"/>
  <c r="H84" i="4"/>
  <c r="G84" i="4"/>
  <c r="F84" i="4"/>
  <c r="E84" i="4"/>
  <c r="D84" i="4"/>
  <c r="C84" i="4"/>
  <c r="B84" i="4"/>
  <c r="A84" i="4"/>
  <c r="I83" i="4"/>
  <c r="H83" i="4"/>
  <c r="G83" i="4"/>
  <c r="F83" i="4"/>
  <c r="E83" i="4"/>
  <c r="D83" i="4"/>
  <c r="C83" i="4"/>
  <c r="B83" i="4"/>
  <c r="A83" i="4"/>
  <c r="H82" i="4"/>
  <c r="G82" i="4"/>
  <c r="F82" i="4"/>
  <c r="E82" i="4"/>
  <c r="D82" i="4"/>
  <c r="C82" i="4"/>
  <c r="B82" i="4"/>
  <c r="A82" i="4"/>
  <c r="I81" i="4"/>
  <c r="H81" i="4"/>
  <c r="G81" i="4"/>
  <c r="F81" i="4"/>
  <c r="E81" i="4"/>
  <c r="D81" i="4"/>
  <c r="C81" i="4"/>
  <c r="B81" i="4"/>
  <c r="A81" i="4"/>
  <c r="H80" i="4"/>
  <c r="G80" i="4"/>
  <c r="F80" i="4"/>
  <c r="E80" i="4"/>
  <c r="D80" i="4"/>
  <c r="C80" i="4"/>
  <c r="B80" i="4"/>
  <c r="A80" i="4"/>
  <c r="H79" i="4"/>
  <c r="G79" i="4"/>
  <c r="F79" i="4"/>
  <c r="E79" i="4"/>
  <c r="D79" i="4"/>
  <c r="I79" i="4" s="1"/>
  <c r="C79" i="4"/>
  <c r="B79" i="4"/>
  <c r="A79" i="4"/>
  <c r="H78" i="4"/>
  <c r="G78" i="4"/>
  <c r="F78" i="4"/>
  <c r="E78" i="4"/>
  <c r="D78" i="4"/>
  <c r="I78" i="4" s="1"/>
  <c r="C78" i="4"/>
  <c r="B78" i="4"/>
  <c r="A78" i="4"/>
  <c r="H77" i="4"/>
  <c r="G77" i="4"/>
  <c r="F77" i="4"/>
  <c r="I77" i="4" s="1"/>
  <c r="E77" i="4"/>
  <c r="D77" i="4"/>
  <c r="C77" i="4"/>
  <c r="B77" i="4"/>
  <c r="A77" i="4"/>
  <c r="H76" i="4"/>
  <c r="G76" i="4"/>
  <c r="F76" i="4"/>
  <c r="E76" i="4"/>
  <c r="I76" i="4" s="1"/>
  <c r="D76" i="4"/>
  <c r="C76" i="4"/>
  <c r="B76" i="4"/>
  <c r="A76" i="4"/>
  <c r="H75" i="4"/>
  <c r="G75" i="4"/>
  <c r="F75" i="4"/>
  <c r="E75" i="4"/>
  <c r="D75" i="4"/>
  <c r="C75" i="4"/>
  <c r="B75" i="4"/>
  <c r="A75" i="4"/>
  <c r="H74" i="4"/>
  <c r="G74" i="4"/>
  <c r="F74" i="4"/>
  <c r="I74" i="4" s="1"/>
  <c r="E74" i="4"/>
  <c r="D74" i="4"/>
  <c r="C74" i="4"/>
  <c r="B74" i="4"/>
  <c r="A74" i="4"/>
  <c r="H73" i="4"/>
  <c r="G73" i="4"/>
  <c r="F73" i="4"/>
  <c r="E73" i="4"/>
  <c r="D73" i="4"/>
  <c r="C73" i="4"/>
  <c r="B73" i="4"/>
  <c r="A73" i="4"/>
  <c r="I72" i="4"/>
  <c r="H72" i="4"/>
  <c r="G72" i="4"/>
  <c r="F72" i="4"/>
  <c r="E72" i="4"/>
  <c r="D72" i="4"/>
  <c r="C72" i="4"/>
  <c r="B72" i="4"/>
  <c r="A72" i="4"/>
  <c r="H71" i="4"/>
  <c r="G71" i="4"/>
  <c r="F71" i="4"/>
  <c r="E71" i="4"/>
  <c r="D71" i="4"/>
  <c r="C71" i="4"/>
  <c r="B71" i="4"/>
  <c r="A71" i="4"/>
  <c r="H70" i="4"/>
  <c r="G70" i="4"/>
  <c r="F70" i="4"/>
  <c r="E70" i="4"/>
  <c r="I70" i="4" s="1"/>
  <c r="D70" i="4"/>
  <c r="C70" i="4"/>
  <c r="B70" i="4"/>
  <c r="A70" i="4"/>
  <c r="H69" i="4"/>
  <c r="G69" i="4"/>
  <c r="F69" i="4"/>
  <c r="E69" i="4"/>
  <c r="D69" i="4"/>
  <c r="C69" i="4"/>
  <c r="B69" i="4"/>
  <c r="A69" i="4"/>
  <c r="H68" i="4"/>
  <c r="G68" i="4"/>
  <c r="F68" i="4"/>
  <c r="E68" i="4"/>
  <c r="D68" i="4"/>
  <c r="C68" i="4"/>
  <c r="B68" i="4"/>
  <c r="A68" i="4"/>
  <c r="H67" i="4"/>
  <c r="G67" i="4"/>
  <c r="F67" i="4"/>
  <c r="E67" i="4"/>
  <c r="D67" i="4"/>
  <c r="C67" i="4"/>
  <c r="B67" i="4"/>
  <c r="A67" i="4"/>
  <c r="I66" i="4"/>
  <c r="H66" i="4"/>
  <c r="G66" i="4"/>
  <c r="F66" i="4"/>
  <c r="E66" i="4"/>
  <c r="D66" i="4"/>
  <c r="C66" i="4"/>
  <c r="B66" i="4"/>
  <c r="A66" i="4"/>
  <c r="H65" i="4"/>
  <c r="G65" i="4"/>
  <c r="F65" i="4"/>
  <c r="E65" i="4"/>
  <c r="I65" i="4" s="1"/>
  <c r="D65" i="4"/>
  <c r="C65" i="4"/>
  <c r="B65" i="4"/>
  <c r="A65" i="4"/>
  <c r="H64" i="4"/>
  <c r="G64" i="4"/>
  <c r="F64" i="4"/>
  <c r="E64" i="4"/>
  <c r="D64" i="4"/>
  <c r="C64" i="4"/>
  <c r="I64" i="4" s="1"/>
  <c r="B64" i="4"/>
  <c r="A64" i="4"/>
  <c r="H63" i="4"/>
  <c r="G63" i="4"/>
  <c r="F63" i="4"/>
  <c r="E63" i="4"/>
  <c r="D63" i="4"/>
  <c r="I63" i="4" s="1"/>
  <c r="C63" i="4"/>
  <c r="B63" i="4"/>
  <c r="A63" i="4"/>
  <c r="H62" i="4"/>
  <c r="G62" i="4"/>
  <c r="F62" i="4"/>
  <c r="E62" i="4"/>
  <c r="D62" i="4"/>
  <c r="I62" i="4" s="1"/>
  <c r="C62" i="4"/>
  <c r="B62" i="4"/>
  <c r="A62" i="4"/>
  <c r="I61" i="4"/>
  <c r="H61" i="4"/>
  <c r="G61" i="4"/>
  <c r="F61" i="4"/>
  <c r="E61" i="4"/>
  <c r="D61" i="4"/>
  <c r="C61" i="4"/>
  <c r="B61" i="4"/>
  <c r="A61" i="4"/>
  <c r="H60" i="4"/>
  <c r="G60" i="4"/>
  <c r="F60" i="4"/>
  <c r="E60" i="4"/>
  <c r="D60" i="4"/>
  <c r="I60" i="4" s="1"/>
  <c r="C60" i="4"/>
  <c r="B60" i="4"/>
  <c r="A60" i="4"/>
  <c r="H59" i="4"/>
  <c r="G59" i="4"/>
  <c r="F59" i="4"/>
  <c r="E59" i="4"/>
  <c r="D59" i="4"/>
  <c r="C59" i="4"/>
  <c r="B59" i="4"/>
  <c r="A59" i="4"/>
  <c r="H58" i="4"/>
  <c r="G58" i="4"/>
  <c r="F58" i="4"/>
  <c r="E58" i="4"/>
  <c r="D58" i="4"/>
  <c r="I58" i="4" s="1"/>
  <c r="C58" i="4"/>
  <c r="B58" i="4"/>
  <c r="A58" i="4"/>
  <c r="H57" i="4"/>
  <c r="G57" i="4"/>
  <c r="F57" i="4"/>
  <c r="E57" i="4"/>
  <c r="D57" i="4"/>
  <c r="I57" i="4" s="1"/>
  <c r="C57" i="4"/>
  <c r="B57" i="4"/>
  <c r="A57" i="4"/>
  <c r="H56" i="4"/>
  <c r="G56" i="4"/>
  <c r="F56" i="4"/>
  <c r="I56" i="4" s="1"/>
  <c r="E56" i="4"/>
  <c r="D56" i="4"/>
  <c r="C56" i="4"/>
  <c r="B56" i="4"/>
  <c r="A56" i="4"/>
  <c r="H55" i="4"/>
  <c r="G55" i="4"/>
  <c r="F55" i="4"/>
  <c r="I55" i="4" s="1"/>
  <c r="E55" i="4"/>
  <c r="D55" i="4"/>
  <c r="C55" i="4"/>
  <c r="B55" i="4"/>
  <c r="A55" i="4"/>
  <c r="H54" i="4"/>
  <c r="G54" i="4"/>
  <c r="F54" i="4"/>
  <c r="E54" i="4"/>
  <c r="D54" i="4"/>
  <c r="C54" i="4"/>
  <c r="B54" i="4"/>
  <c r="A54" i="4"/>
  <c r="H53" i="4"/>
  <c r="G53" i="4"/>
  <c r="F53" i="4"/>
  <c r="E53" i="4"/>
  <c r="D53" i="4"/>
  <c r="C53" i="4"/>
  <c r="I53" i="4" s="1"/>
  <c r="B53" i="4"/>
  <c r="A53" i="4"/>
  <c r="H52" i="4"/>
  <c r="G52" i="4"/>
  <c r="F52" i="4"/>
  <c r="E52" i="4"/>
  <c r="D52" i="4"/>
  <c r="C52" i="4"/>
  <c r="B52" i="4"/>
  <c r="A52" i="4"/>
  <c r="H51" i="4"/>
  <c r="G51" i="4"/>
  <c r="F51" i="4"/>
  <c r="E51" i="4"/>
  <c r="I51" i="4" s="1"/>
  <c r="D51" i="4"/>
  <c r="C51" i="4"/>
  <c r="B51" i="4"/>
  <c r="A51" i="4"/>
  <c r="H50" i="4"/>
  <c r="G50" i="4"/>
  <c r="F50" i="4"/>
  <c r="E50" i="4"/>
  <c r="I50" i="4" s="1"/>
  <c r="D50" i="4"/>
  <c r="C50" i="4"/>
  <c r="B50" i="4"/>
  <c r="A50" i="4"/>
  <c r="H49" i="4"/>
  <c r="G49" i="4"/>
  <c r="F49" i="4"/>
  <c r="E49" i="4"/>
  <c r="I49" i="4" s="1"/>
  <c r="D49" i="4"/>
  <c r="C49" i="4"/>
  <c r="B49" i="4"/>
  <c r="A49" i="4"/>
  <c r="H48" i="4"/>
  <c r="G48" i="4"/>
  <c r="F48" i="4"/>
  <c r="E48" i="4"/>
  <c r="D48" i="4"/>
  <c r="C48" i="4"/>
  <c r="I48" i="4" s="1"/>
  <c r="B48" i="4"/>
  <c r="A48" i="4"/>
  <c r="H47" i="4"/>
  <c r="G47" i="4"/>
  <c r="F47" i="4"/>
  <c r="E47" i="4"/>
  <c r="D47" i="4"/>
  <c r="I47" i="4" s="1"/>
  <c r="C47" i="4"/>
  <c r="B47" i="4"/>
  <c r="A47" i="4"/>
  <c r="H46" i="4"/>
  <c r="G46" i="4"/>
  <c r="F46" i="4"/>
  <c r="E46" i="4"/>
  <c r="I46" i="4" s="1"/>
  <c r="D46" i="4"/>
  <c r="C46" i="4"/>
  <c r="B46" i="4"/>
  <c r="A46" i="4"/>
  <c r="I45" i="4"/>
  <c r="H45" i="4"/>
  <c r="G45" i="4"/>
  <c r="F45" i="4"/>
  <c r="E45" i="4"/>
  <c r="D45" i="4"/>
  <c r="C45" i="4"/>
  <c r="B45" i="4"/>
  <c r="A45" i="4"/>
  <c r="I44" i="4"/>
  <c r="H44" i="4"/>
  <c r="G44" i="4"/>
  <c r="F44" i="4"/>
  <c r="E44" i="4"/>
  <c r="D44" i="4"/>
  <c r="C44" i="4"/>
  <c r="B44" i="4"/>
  <c r="A44" i="4"/>
  <c r="H43" i="4"/>
  <c r="G43" i="4"/>
  <c r="F43" i="4"/>
  <c r="E43" i="4"/>
  <c r="D43" i="4"/>
  <c r="C43" i="4"/>
  <c r="B43" i="4"/>
  <c r="A43" i="4"/>
  <c r="H42" i="4"/>
  <c r="G42" i="4"/>
  <c r="F42" i="4"/>
  <c r="E42" i="4"/>
  <c r="D42" i="4"/>
  <c r="I42" i="4" s="1"/>
  <c r="C42" i="4"/>
  <c r="B42" i="4"/>
  <c r="A42" i="4"/>
  <c r="H41" i="4"/>
  <c r="G41" i="4"/>
  <c r="F41" i="4"/>
  <c r="E41" i="4"/>
  <c r="D41" i="4"/>
  <c r="C41" i="4"/>
  <c r="B41" i="4"/>
  <c r="A41" i="4"/>
  <c r="I40" i="4"/>
  <c r="H40" i="4"/>
  <c r="G40" i="4"/>
  <c r="F40" i="4"/>
  <c r="E40" i="4"/>
  <c r="D40" i="4"/>
  <c r="C40" i="4"/>
  <c r="B40" i="4"/>
  <c r="A40" i="4"/>
  <c r="I39" i="4"/>
  <c r="H39" i="4"/>
  <c r="G39" i="4"/>
  <c r="F39" i="4"/>
  <c r="E39" i="4"/>
  <c r="D39" i="4"/>
  <c r="C39" i="4"/>
  <c r="B39" i="4"/>
  <c r="A39" i="4"/>
  <c r="H38" i="4"/>
  <c r="G38" i="4"/>
  <c r="F38" i="4"/>
  <c r="E38" i="4"/>
  <c r="I38" i="4" s="1"/>
  <c r="D38" i="4"/>
  <c r="C38" i="4"/>
  <c r="B38" i="4"/>
  <c r="A38" i="4"/>
  <c r="H37" i="4"/>
  <c r="G37" i="4"/>
  <c r="F37" i="4"/>
  <c r="E37" i="4"/>
  <c r="D37" i="4"/>
  <c r="C37" i="4"/>
  <c r="I37" i="4" s="1"/>
  <c r="B37" i="4"/>
  <c r="A37" i="4"/>
  <c r="H36" i="4"/>
  <c r="G36" i="4"/>
  <c r="F36" i="4"/>
  <c r="E36" i="4"/>
  <c r="D36" i="4"/>
  <c r="C36" i="4"/>
  <c r="B36" i="4"/>
  <c r="A36" i="4"/>
  <c r="I35" i="4"/>
  <c r="H35" i="4"/>
  <c r="G35" i="4"/>
  <c r="F35" i="4"/>
  <c r="E35" i="4"/>
  <c r="D35" i="4"/>
  <c r="C35" i="4"/>
  <c r="B35" i="4"/>
  <c r="A35" i="4"/>
  <c r="I34" i="4"/>
  <c r="H34" i="4"/>
  <c r="G34" i="4"/>
  <c r="F34" i="4"/>
  <c r="E34" i="4"/>
  <c r="D34" i="4"/>
  <c r="C34" i="4"/>
  <c r="B34" i="4"/>
  <c r="A34" i="4"/>
  <c r="I33" i="4"/>
  <c r="H33" i="4"/>
  <c r="G33" i="4"/>
  <c r="F33" i="4"/>
  <c r="E33" i="4"/>
  <c r="D33" i="4"/>
  <c r="C33" i="4"/>
  <c r="B33" i="4"/>
  <c r="A33" i="4"/>
  <c r="I32" i="4"/>
  <c r="H32" i="4"/>
  <c r="G32" i="4"/>
  <c r="F32" i="4"/>
  <c r="E32" i="4"/>
  <c r="D32" i="4"/>
  <c r="C32" i="4"/>
  <c r="B32" i="4"/>
  <c r="A32" i="4"/>
  <c r="H31" i="4"/>
  <c r="G31" i="4"/>
  <c r="F31" i="4"/>
  <c r="E31" i="4"/>
  <c r="D31" i="4"/>
  <c r="I31" i="4" s="1"/>
  <c r="C31" i="4"/>
  <c r="B31" i="4"/>
  <c r="A31" i="4"/>
  <c r="H30" i="4"/>
  <c r="G30" i="4"/>
  <c r="F30" i="4"/>
  <c r="I30" i="4" s="1"/>
  <c r="E30" i="4"/>
  <c r="D30" i="4"/>
  <c r="C30" i="4"/>
  <c r="B30" i="4"/>
  <c r="A30" i="4"/>
  <c r="H29" i="4"/>
  <c r="G29" i="4"/>
  <c r="F29" i="4"/>
  <c r="E29" i="4"/>
  <c r="D29" i="4"/>
  <c r="C29" i="4"/>
  <c r="B29" i="4"/>
  <c r="A29" i="4"/>
  <c r="I28" i="4"/>
  <c r="H28" i="4"/>
  <c r="G28" i="4"/>
  <c r="F28" i="4"/>
  <c r="E28" i="4"/>
  <c r="D28" i="4"/>
  <c r="C28" i="4"/>
  <c r="B28" i="4"/>
  <c r="A28" i="4"/>
  <c r="H27" i="4"/>
  <c r="G27" i="4"/>
  <c r="F27" i="4"/>
  <c r="E27" i="4"/>
  <c r="D27" i="4"/>
  <c r="C27" i="4"/>
  <c r="B27" i="4"/>
  <c r="A27" i="4"/>
  <c r="H26" i="4"/>
  <c r="G26" i="4"/>
  <c r="F26" i="4"/>
  <c r="E26" i="4"/>
  <c r="D26" i="4"/>
  <c r="I26" i="4" s="1"/>
  <c r="C26" i="4"/>
  <c r="B26" i="4"/>
  <c r="A26" i="4"/>
  <c r="H25" i="4"/>
  <c r="G25" i="4"/>
  <c r="F25" i="4"/>
  <c r="E25" i="4"/>
  <c r="D25" i="4"/>
  <c r="C25" i="4"/>
  <c r="B25" i="4"/>
  <c r="A25" i="4"/>
  <c r="I24" i="4"/>
  <c r="H24" i="4"/>
  <c r="G24" i="4"/>
  <c r="F24" i="4"/>
  <c r="E24" i="4"/>
  <c r="D24" i="4"/>
  <c r="C24" i="4"/>
  <c r="B24" i="4"/>
  <c r="A24" i="4"/>
  <c r="I23" i="4"/>
  <c r="H23" i="4"/>
  <c r="G23" i="4"/>
  <c r="F23" i="4"/>
  <c r="E23" i="4"/>
  <c r="D23" i="4"/>
  <c r="C23" i="4"/>
  <c r="B23" i="4"/>
  <c r="A23" i="4"/>
  <c r="H22" i="4"/>
  <c r="G22" i="4"/>
  <c r="F22" i="4"/>
  <c r="E22" i="4"/>
  <c r="D22" i="4"/>
  <c r="C22" i="4"/>
  <c r="B22" i="4"/>
  <c r="A22" i="4"/>
  <c r="I21" i="4"/>
  <c r="H21" i="4"/>
  <c r="G21" i="4"/>
  <c r="F21" i="4"/>
  <c r="E21" i="4"/>
  <c r="D21" i="4"/>
  <c r="C21" i="4"/>
  <c r="B21" i="4"/>
  <c r="A21" i="4"/>
  <c r="H20" i="4"/>
  <c r="G20" i="4"/>
  <c r="F20" i="4"/>
  <c r="E20" i="4"/>
  <c r="D20" i="4"/>
  <c r="C20" i="4"/>
  <c r="B20" i="4"/>
  <c r="A20" i="4"/>
  <c r="I19" i="4"/>
  <c r="H19" i="4"/>
  <c r="G19" i="4"/>
  <c r="F19" i="4"/>
  <c r="E19" i="4"/>
  <c r="D19" i="4"/>
  <c r="C19" i="4"/>
  <c r="B19" i="4"/>
  <c r="A19" i="4"/>
  <c r="H18" i="4"/>
  <c r="G18" i="4"/>
  <c r="F18" i="4"/>
  <c r="E18" i="4"/>
  <c r="D18" i="4"/>
  <c r="C18" i="4"/>
  <c r="B18" i="4"/>
  <c r="A18" i="4"/>
  <c r="I17" i="4"/>
  <c r="H17" i="4"/>
  <c r="G17" i="4"/>
  <c r="F17" i="4"/>
  <c r="E17" i="4"/>
  <c r="D17" i="4"/>
  <c r="C17" i="4"/>
  <c r="B17" i="4"/>
  <c r="A17" i="4"/>
  <c r="H16" i="4"/>
  <c r="G16" i="4"/>
  <c r="F16" i="4"/>
  <c r="E16" i="4"/>
  <c r="D16" i="4"/>
  <c r="C16" i="4"/>
  <c r="B16" i="4"/>
  <c r="A16" i="4"/>
  <c r="H15" i="4"/>
  <c r="G15" i="4"/>
  <c r="F15" i="4"/>
  <c r="E15" i="4"/>
  <c r="D15" i="4"/>
  <c r="I15" i="4" s="1"/>
  <c r="C15" i="4"/>
  <c r="B15" i="4"/>
  <c r="A15" i="4"/>
  <c r="H14" i="4"/>
  <c r="G14" i="4"/>
  <c r="F14" i="4"/>
  <c r="E14" i="4"/>
  <c r="D14" i="4"/>
  <c r="I14" i="4" s="1"/>
  <c r="C14" i="4"/>
  <c r="B14" i="4"/>
  <c r="A14" i="4"/>
  <c r="H13" i="4"/>
  <c r="G13" i="4"/>
  <c r="F13" i="4"/>
  <c r="E13" i="4"/>
  <c r="D13" i="4"/>
  <c r="C13" i="4"/>
  <c r="I13" i="4" s="1"/>
  <c r="B13" i="4"/>
  <c r="A13" i="4"/>
  <c r="H12" i="4"/>
  <c r="G12" i="4"/>
  <c r="F12" i="4"/>
  <c r="E12" i="4"/>
  <c r="D12" i="4"/>
  <c r="C12" i="4"/>
  <c r="B12" i="4"/>
  <c r="A12" i="4"/>
  <c r="H11" i="4"/>
  <c r="G11" i="4"/>
  <c r="F11" i="4"/>
  <c r="E11" i="4"/>
  <c r="D11" i="4"/>
  <c r="I11" i="4" s="1"/>
  <c r="C11" i="4"/>
  <c r="B11" i="4"/>
  <c r="A11" i="4"/>
  <c r="H10" i="4"/>
  <c r="G10" i="4"/>
  <c r="F10" i="4"/>
  <c r="E10" i="4"/>
  <c r="D10" i="4"/>
  <c r="C10" i="4"/>
  <c r="I10" i="4" s="1"/>
  <c r="B10" i="4"/>
  <c r="A10" i="4"/>
  <c r="H9" i="4"/>
  <c r="G9" i="4"/>
  <c r="F9" i="4"/>
  <c r="E9" i="4"/>
  <c r="I9" i="4" s="1"/>
  <c r="D9" i="4"/>
  <c r="C9" i="4"/>
  <c r="B9" i="4"/>
  <c r="A9" i="4"/>
  <c r="H8" i="4"/>
  <c r="G8" i="4"/>
  <c r="F8" i="4"/>
  <c r="E8" i="4"/>
  <c r="D8" i="4"/>
  <c r="C8" i="4"/>
  <c r="B8" i="4"/>
  <c r="A8" i="4"/>
  <c r="H7" i="4"/>
  <c r="G7" i="4"/>
  <c r="F7" i="4"/>
  <c r="E7" i="4"/>
  <c r="D7" i="4"/>
  <c r="C7" i="4"/>
  <c r="B7" i="4"/>
  <c r="A7" i="4"/>
  <c r="I6" i="4"/>
  <c r="H6" i="4"/>
  <c r="G6" i="4"/>
  <c r="F6" i="4"/>
  <c r="E6" i="4"/>
  <c r="D6" i="4"/>
  <c r="C6" i="4"/>
  <c r="B6" i="4"/>
  <c r="A6" i="4"/>
  <c r="H5" i="4"/>
  <c r="G5" i="4"/>
  <c r="F5" i="4"/>
  <c r="E5" i="4"/>
  <c r="D5" i="4"/>
  <c r="C5" i="4"/>
  <c r="B5" i="4"/>
  <c r="A5" i="4"/>
  <c r="H4" i="4"/>
  <c r="G4" i="4"/>
  <c r="F4" i="4"/>
  <c r="E4" i="4"/>
  <c r="D4" i="4"/>
  <c r="C4" i="4"/>
  <c r="B4" i="4"/>
  <c r="A4" i="4"/>
  <c r="H3" i="4"/>
  <c r="G3" i="4"/>
  <c r="F3" i="4"/>
  <c r="E3" i="4"/>
  <c r="I3" i="4" s="1"/>
  <c r="D3" i="4"/>
  <c r="C3" i="4"/>
  <c r="B3" i="4"/>
  <c r="A3" i="4"/>
  <c r="H2" i="4"/>
  <c r="G2" i="4"/>
  <c r="F2" i="4"/>
  <c r="I2" i="4" s="1"/>
  <c r="E2" i="4"/>
  <c r="D2" i="4"/>
  <c r="C2" i="4"/>
  <c r="B2" i="4"/>
  <c r="A2" i="4"/>
  <c r="Q3" i="4" l="1"/>
  <c r="M5" i="4"/>
  <c r="AC12" i="4"/>
  <c r="I91" i="4"/>
  <c r="I391" i="4"/>
  <c r="I274" i="4"/>
  <c r="I733" i="4"/>
  <c r="I82" i="4"/>
  <c r="I347" i="4"/>
  <c r="I155" i="4"/>
  <c r="I349" i="4"/>
  <c r="I372" i="4"/>
  <c r="I157" i="4"/>
  <c r="I180" i="4"/>
  <c r="I261" i="4"/>
  <c r="I263" i="4"/>
  <c r="I457" i="4"/>
  <c r="I710" i="4"/>
  <c r="I718" i="4"/>
  <c r="I987" i="4"/>
  <c r="I989" i="4"/>
  <c r="I18" i="4"/>
  <c r="I617" i="4"/>
  <c r="I93" i="4"/>
  <c r="I725" i="4"/>
  <c r="I727" i="4"/>
  <c r="I873" i="4"/>
  <c r="I80" i="4"/>
  <c r="I120" i="4"/>
  <c r="I731" i="4"/>
  <c r="I1152" i="4"/>
  <c r="I478" i="4"/>
  <c r="I581" i="4"/>
  <c r="I708" i="4"/>
  <c r="I864" i="4"/>
  <c r="I985" i="4"/>
  <c r="I1270" i="4"/>
  <c r="I8" i="4"/>
  <c r="I69" i="4"/>
  <c r="I71" i="4"/>
  <c r="I259" i="4"/>
  <c r="I265" i="4"/>
  <c r="I336" i="4"/>
  <c r="I459" i="4"/>
  <c r="I564" i="4"/>
  <c r="I816" i="4"/>
  <c r="I1120" i="4"/>
  <c r="I210" i="4"/>
  <c r="I640" i="4"/>
  <c r="I285" i="4"/>
  <c r="I308" i="4"/>
  <c r="I533" i="4"/>
  <c r="I773" i="4"/>
  <c r="I775" i="4"/>
  <c r="I1044" i="4"/>
  <c r="I1287" i="4"/>
  <c r="I514" i="4"/>
  <c r="I395" i="4"/>
  <c r="I729" i="4"/>
  <c r="I501" i="4"/>
  <c r="I503" i="4"/>
  <c r="I608" i="4"/>
  <c r="I1131" i="4"/>
  <c r="I1133" i="4"/>
  <c r="I67" i="4"/>
  <c r="I73" i="4"/>
  <c r="I144" i="4"/>
  <c r="I184" i="4"/>
  <c r="I338" i="4"/>
  <c r="I461" i="4"/>
  <c r="I553" i="4"/>
  <c r="I566" i="4"/>
  <c r="I660" i="4"/>
  <c r="I693" i="4"/>
  <c r="I818" i="4"/>
  <c r="I964" i="4"/>
  <c r="I1122" i="4"/>
  <c r="I16" i="4"/>
  <c r="I757" i="4"/>
  <c r="I907" i="4"/>
  <c r="I909" i="4"/>
  <c r="I1061" i="4"/>
  <c r="I1063" i="4"/>
  <c r="I402" i="4"/>
  <c r="I894" i="4"/>
  <c r="I389" i="4"/>
  <c r="I619" i="4"/>
  <c r="I621" i="4"/>
  <c r="I740" i="4"/>
  <c r="I896" i="4"/>
  <c r="I942" i="4"/>
  <c r="I1198" i="4"/>
  <c r="I116" i="4"/>
  <c r="I197" i="4"/>
  <c r="I199" i="4"/>
  <c r="I393" i="4"/>
  <c r="I1029" i="4"/>
  <c r="I1031" i="4"/>
  <c r="I195" i="4"/>
  <c r="I201" i="4"/>
  <c r="I312" i="4"/>
  <c r="I877" i="4"/>
  <c r="I1033" i="4"/>
  <c r="I217" i="4"/>
  <c r="I219" i="4"/>
  <c r="I448" i="4"/>
  <c r="I540" i="4"/>
  <c r="I542" i="4"/>
  <c r="I557" i="4"/>
  <c r="I949" i="4"/>
  <c r="I951" i="4"/>
  <c r="I953" i="4"/>
  <c r="I976" i="4"/>
  <c r="I1072" i="4"/>
  <c r="I1093" i="4"/>
  <c r="I1232" i="4"/>
  <c r="I283" i="4"/>
  <c r="I404" i="4"/>
  <c r="I272" i="4"/>
  <c r="I742" i="4"/>
  <c r="I875" i="4"/>
  <c r="I25" i="4"/>
  <c r="I27" i="4"/>
  <c r="I221" i="4"/>
  <c r="I325" i="4"/>
  <c r="I327" i="4"/>
  <c r="I544" i="4"/>
  <c r="I649" i="4"/>
  <c r="I1051" i="4"/>
  <c r="I1053" i="4"/>
  <c r="I1074" i="4"/>
  <c r="I1205" i="4"/>
  <c r="I1209" i="4"/>
  <c r="I29" i="4"/>
  <c r="I52" i="4"/>
  <c r="I133" i="4"/>
  <c r="I135" i="4"/>
  <c r="I323" i="4"/>
  <c r="I329" i="4"/>
  <c r="I452" i="4"/>
  <c r="I546" i="4"/>
  <c r="I628" i="4"/>
  <c r="I651" i="4"/>
  <c r="I653" i="4"/>
  <c r="I784" i="4"/>
  <c r="I926" i="4"/>
  <c r="I1211" i="4"/>
  <c r="I1213" i="4"/>
  <c r="I868" i="4"/>
  <c r="I1035" i="4"/>
  <c r="I535" i="4"/>
  <c r="I699" i="4"/>
  <c r="I701" i="4"/>
  <c r="I1020" i="4"/>
  <c r="I1022" i="4"/>
  <c r="I1054" i="4"/>
  <c r="I1115" i="4"/>
  <c r="I1117" i="4"/>
  <c r="I1202" i="4"/>
  <c r="I54" i="4"/>
  <c r="I246" i="4"/>
  <c r="I374" i="4"/>
  <c r="I382" i="4"/>
  <c r="I437" i="4"/>
  <c r="I1014" i="4"/>
  <c r="I1046" i="4"/>
  <c r="I1126" i="4"/>
  <c r="I1200" i="4"/>
  <c r="I1261" i="4"/>
  <c r="I855" i="4"/>
  <c r="I7" i="4"/>
  <c r="I41" i="4"/>
  <c r="I43" i="4"/>
  <c r="I105" i="4"/>
  <c r="I107" i="4"/>
  <c r="I169" i="4"/>
  <c r="I171" i="4"/>
  <c r="I233" i="4"/>
  <c r="I235" i="4"/>
  <c r="I297" i="4"/>
  <c r="I299" i="4"/>
  <c r="I361" i="4"/>
  <c r="I363" i="4"/>
  <c r="I477" i="4"/>
  <c r="I507" i="4"/>
  <c r="I599" i="4"/>
  <c r="I612" i="4"/>
  <c r="I629" i="4"/>
  <c r="I684" i="4"/>
  <c r="I722" i="4"/>
  <c r="I758" i="4"/>
  <c r="I779" i="4"/>
  <c r="I781" i="4"/>
  <c r="I790" i="4"/>
  <c r="I857" i="4"/>
  <c r="I870" i="4"/>
  <c r="I923" i="4"/>
  <c r="I925" i="4"/>
  <c r="I944" i="4"/>
  <c r="I988" i="4"/>
  <c r="I1003" i="4"/>
  <c r="I1005" i="4"/>
  <c r="I1024" i="4"/>
  <c r="I1134" i="4"/>
  <c r="I1204" i="4"/>
  <c r="I1280" i="4"/>
  <c r="I182" i="4"/>
  <c r="I697" i="4"/>
  <c r="I788" i="4"/>
  <c r="I885" i="4"/>
  <c r="I1037" i="4"/>
  <c r="I1259" i="4"/>
  <c r="I384" i="4"/>
  <c r="I441" i="4"/>
  <c r="I505" i="4"/>
  <c r="I516" i="4"/>
  <c r="I777" i="4"/>
  <c r="I853" i="4"/>
  <c r="I1001" i="4"/>
  <c r="I420" i="4"/>
  <c r="I496" i="4"/>
  <c r="I509" i="4"/>
  <c r="I518" i="4"/>
  <c r="I580" i="4"/>
  <c r="I601" i="4"/>
  <c r="I745" i="4"/>
  <c r="I764" i="4"/>
  <c r="I766" i="4"/>
  <c r="I946" i="4"/>
  <c r="I1092" i="4"/>
  <c r="I1189" i="4"/>
  <c r="I1221" i="4"/>
  <c r="I1257" i="4"/>
  <c r="I409" i="4"/>
  <c r="I411" i="4"/>
  <c r="I571" i="4"/>
  <c r="I605" i="4"/>
  <c r="I836" i="4"/>
  <c r="I933" i="4"/>
  <c r="I1081" i="4"/>
  <c r="I1104" i="4"/>
  <c r="I1172" i="4"/>
  <c r="I1252" i="4"/>
  <c r="I1269" i="4"/>
  <c r="I413" i="4"/>
  <c r="I573" i="4"/>
  <c r="I692" i="4"/>
  <c r="I838" i="4"/>
  <c r="I844" i="4"/>
  <c r="I846" i="4"/>
  <c r="I994" i="4"/>
  <c r="I1083" i="4"/>
  <c r="I1085" i="4"/>
  <c r="I1140" i="4"/>
  <c r="I1161" i="4"/>
  <c r="I1237" i="4"/>
  <c r="I1239" i="4"/>
  <c r="I1254" i="4"/>
  <c r="I118" i="4"/>
  <c r="I310" i="4"/>
  <c r="I439" i="4"/>
  <c r="I720" i="4"/>
  <c r="I1113" i="4"/>
  <c r="I485" i="4"/>
  <c r="I590" i="4"/>
  <c r="I4" i="4"/>
  <c r="M4" i="4" s="1"/>
  <c r="I5" i="4"/>
  <c r="AA7" i="4" s="1"/>
  <c r="I36" i="4"/>
  <c r="G11" i="1" s="1"/>
  <c r="I100" i="4"/>
  <c r="I164" i="4"/>
  <c r="I228" i="4"/>
  <c r="I292" i="4"/>
  <c r="I356" i="4"/>
  <c r="I468" i="4"/>
  <c r="I677" i="4"/>
  <c r="I709" i="4"/>
  <c r="I825" i="4"/>
  <c r="I916" i="4"/>
  <c r="I996" i="4"/>
  <c r="I1013" i="4"/>
  <c r="I1068" i="4"/>
  <c r="I1106" i="4"/>
  <c r="I1142" i="4"/>
  <c r="I1163" i="4"/>
  <c r="I1165" i="4"/>
  <c r="I1174" i="4"/>
  <c r="I1241" i="4"/>
  <c r="I20" i="4"/>
  <c r="I75" i="4"/>
  <c r="I84" i="4"/>
  <c r="I139" i="4"/>
  <c r="I148" i="4"/>
  <c r="I203" i="4"/>
  <c r="I212" i="4"/>
  <c r="I267" i="4"/>
  <c r="I276" i="4"/>
  <c r="I331" i="4"/>
  <c r="I340" i="4"/>
  <c r="I397" i="4"/>
  <c r="I406" i="4"/>
  <c r="I443" i="4"/>
  <c r="I489" i="4"/>
  <c r="I500" i="4"/>
  <c r="I681" i="4"/>
  <c r="I809" i="4"/>
  <c r="I937" i="4"/>
  <c r="I1065" i="4"/>
  <c r="I1193" i="4"/>
  <c r="I1284" i="4"/>
  <c r="I445" i="4"/>
  <c r="I454" i="4"/>
  <c r="I491" i="4"/>
  <c r="I537" i="4"/>
  <c r="I548" i="4"/>
  <c r="I620" i="4"/>
  <c r="I644" i="4"/>
  <c r="I683" i="4"/>
  <c r="I685" i="4"/>
  <c r="I694" i="4"/>
  <c r="I748" i="4"/>
  <c r="I772" i="4"/>
  <c r="I811" i="4"/>
  <c r="I813" i="4"/>
  <c r="I822" i="4"/>
  <c r="I876" i="4"/>
  <c r="I900" i="4"/>
  <c r="I939" i="4"/>
  <c r="I941" i="4"/>
  <c r="I950" i="4"/>
  <c r="I1004" i="4"/>
  <c r="I1028" i="4"/>
  <c r="I1067" i="4"/>
  <c r="I1069" i="4"/>
  <c r="I1078" i="4"/>
  <c r="I1132" i="4"/>
  <c r="I1156" i="4"/>
  <c r="I1195" i="4"/>
  <c r="I1197" i="4"/>
  <c r="I1206" i="4"/>
  <c r="I1260" i="4"/>
  <c r="I1286" i="4"/>
  <c r="I22" i="4"/>
  <c r="R2" i="4" s="1"/>
  <c r="I86" i="4"/>
  <c r="I150" i="4"/>
  <c r="I214" i="4"/>
  <c r="I278" i="4"/>
  <c r="I342" i="4"/>
  <c r="I502" i="4"/>
  <c r="I539" i="4"/>
  <c r="I585" i="4"/>
  <c r="I596" i="4"/>
  <c r="I633" i="4"/>
  <c r="I761" i="4"/>
  <c r="I889" i="4"/>
  <c r="I1017" i="4"/>
  <c r="I1145" i="4"/>
  <c r="I1273" i="4"/>
  <c r="I59" i="4"/>
  <c r="I68" i="4"/>
  <c r="AA10" i="4" s="1"/>
  <c r="I123" i="4"/>
  <c r="I132" i="4"/>
  <c r="I187" i="4"/>
  <c r="I196" i="4"/>
  <c r="I251" i="4"/>
  <c r="I260" i="4"/>
  <c r="I315" i="4"/>
  <c r="I324" i="4"/>
  <c r="I379" i="4"/>
  <c r="I425" i="4"/>
  <c r="I436" i="4"/>
  <c r="I589" i="4"/>
  <c r="I598" i="4"/>
  <c r="I713" i="4"/>
  <c r="I841" i="4"/>
  <c r="I969" i="4"/>
  <c r="I1097" i="4"/>
  <c r="I1225" i="4"/>
  <c r="I1238" i="4"/>
  <c r="I381" i="4"/>
  <c r="I390" i="4"/>
  <c r="I427" i="4"/>
  <c r="I473" i="4"/>
  <c r="I652" i="4"/>
  <c r="I715" i="4"/>
  <c r="I717" i="4"/>
  <c r="I726" i="4"/>
  <c r="I780" i="4"/>
  <c r="I843" i="4"/>
  <c r="I845" i="4"/>
  <c r="I854" i="4"/>
  <c r="I908" i="4"/>
  <c r="I971" i="4"/>
  <c r="I973" i="4"/>
  <c r="I982" i="4"/>
  <c r="I1036" i="4"/>
  <c r="I1099" i="4"/>
  <c r="I1101" i="4"/>
  <c r="I1110" i="4"/>
  <c r="I1164" i="4"/>
  <c r="I1227" i="4"/>
  <c r="I1229" i="4"/>
  <c r="I12" i="4"/>
  <c r="I429" i="4"/>
  <c r="I475" i="4"/>
  <c r="I521" i="4"/>
  <c r="I532" i="4"/>
  <c r="I665" i="4"/>
  <c r="I793" i="4"/>
  <c r="I921" i="4"/>
  <c r="I1049" i="4"/>
  <c r="I1177" i="4"/>
  <c r="AC7" i="4" l="1"/>
  <c r="N2" i="4"/>
  <c r="AB10" i="4"/>
  <c r="S4" i="4"/>
  <c r="AC10" i="4"/>
  <c r="A11" i="1"/>
  <c r="AA11" i="4"/>
  <c r="AC2" i="4"/>
  <c r="AA4" i="4"/>
  <c r="AB8" i="4"/>
  <c r="X4" i="4"/>
  <c r="AB12" i="4"/>
  <c r="N4" i="4"/>
  <c r="AB5" i="4"/>
  <c r="AA13" i="4"/>
  <c r="L6" i="4"/>
  <c r="AB2" i="4"/>
  <c r="Q2" i="4"/>
  <c r="AC13" i="4"/>
  <c r="V2" i="4"/>
  <c r="M3" i="4"/>
  <c r="AA6" i="4"/>
  <c r="AA3" i="4"/>
  <c r="AA2" i="4"/>
  <c r="AA9" i="4"/>
  <c r="S3" i="4"/>
  <c r="R4" i="4"/>
  <c r="AC6" i="4"/>
  <c r="V5" i="4"/>
  <c r="W2" i="4"/>
  <c r="L2" i="4"/>
  <c r="N5" i="4"/>
  <c r="AC3" i="4"/>
  <c r="R3" i="4"/>
  <c r="AB7" i="4"/>
  <c r="AC11" i="4"/>
  <c r="AB3" i="4"/>
  <c r="AC4" i="4"/>
  <c r="W3" i="4"/>
  <c r="M2" i="4"/>
  <c r="AB6" i="4"/>
  <c r="AC8" i="4"/>
  <c r="AB9" i="4"/>
  <c r="AB4" i="4"/>
  <c r="AA8" i="4"/>
  <c r="J11" i="1"/>
  <c r="N3" i="4"/>
  <c r="M6" i="4"/>
  <c r="AB11" i="4"/>
  <c r="X2" i="4"/>
  <c r="AC9" i="4"/>
  <c r="AA5" i="4"/>
  <c r="D11" i="1"/>
  <c r="AB13" i="4"/>
  <c r="Q4" i="4"/>
  <c r="X5" i="4"/>
  <c r="X3" i="4"/>
  <c r="L4" i="4"/>
  <c r="V4" i="4"/>
  <c r="S2" i="4"/>
  <c r="V3" i="4"/>
  <c r="L5" i="4"/>
  <c r="W4" i="4"/>
  <c r="N6" i="4"/>
  <c r="W5" i="4"/>
  <c r="AA12" i="4"/>
  <c r="L3" i="4"/>
  <c r="AC5" i="4"/>
</calcChain>
</file>

<file path=xl/sharedStrings.xml><?xml version="1.0" encoding="utf-8"?>
<sst xmlns="http://schemas.openxmlformats.org/spreadsheetml/2006/main" count="10505" uniqueCount="505">
  <si>
    <t>SALES PERFORMANCE DASHBOARD</t>
  </si>
  <si>
    <t>FY 2025  |  1,287 Orders  |  Use the dropdown filters below to explore the data</t>
  </si>
  <si>
    <t>FILTERS</t>
  </si>
  <si>
    <t>Month From</t>
  </si>
  <si>
    <t>Month To</t>
  </si>
  <si>
    <t>City</t>
  </si>
  <si>
    <t>Category</t>
  </si>
  <si>
    <t>Sales Rep</t>
  </si>
  <si>
    <t>2025-01</t>
  </si>
  <si>
    <t>2025-12</t>
  </si>
  <si>
    <t>All</t>
  </si>
  <si>
    <t>KEY METRICS</t>
  </si>
  <si>
    <t>TOTAL SALES</t>
  </si>
  <si>
    <t>TOTAL PROFIT</t>
  </si>
  <si>
    <t>TOTAL ORDERS</t>
  </si>
  <si>
    <t>AVG ORDER VALUE</t>
  </si>
  <si>
    <t>VISUAL ANALYSIS</t>
  </si>
  <si>
    <t>Tip: Change the Month From / Month To / City / Category / Sales Rep dropdowns above to filter every KPI and chart on this dashboard.</t>
  </si>
  <si>
    <t>Order_ID</t>
  </si>
  <si>
    <t>Order_Date</t>
  </si>
  <si>
    <t>Customer_Name</t>
  </si>
  <si>
    <t>Region</t>
  </si>
  <si>
    <t>Product_Category</t>
  </si>
  <si>
    <t>Product_Name</t>
  </si>
  <si>
    <t>Sales_Rep</t>
  </si>
  <si>
    <t>Units_Sold</t>
  </si>
  <si>
    <t>Unit_Price</t>
  </si>
  <si>
    <t>Total_Sales</t>
  </si>
  <si>
    <t>Payment_Method</t>
  </si>
  <si>
    <t>Discount_%</t>
  </si>
  <si>
    <t>Profit</t>
  </si>
  <si>
    <t>2025-01-01</t>
  </si>
  <si>
    <t>Neha Patil</t>
  </si>
  <si>
    <t>Hyderabad</t>
  </si>
  <si>
    <t>South</t>
  </si>
  <si>
    <t>Electronics</t>
  </si>
  <si>
    <t>Headphones</t>
  </si>
  <si>
    <t>Sneha</t>
  </si>
  <si>
    <t>Credit Card</t>
  </si>
  <si>
    <t>Amit Shah</t>
  </si>
  <si>
    <t>Delhi</t>
  </si>
  <si>
    <t>North</t>
  </si>
  <si>
    <t>Ajay</t>
  </si>
  <si>
    <t>Cash</t>
  </si>
  <si>
    <t>Karan Verma</t>
  </si>
  <si>
    <t>Furniture</t>
  </si>
  <si>
    <t>Sofa</t>
  </si>
  <si>
    <t>Rahul</t>
  </si>
  <si>
    <t>Debit Card</t>
  </si>
  <si>
    <t>2025-01-02</t>
  </si>
  <si>
    <t>Priya Sharma</t>
  </si>
  <si>
    <t>Clothing</t>
  </si>
  <si>
    <t>T-Shirt</t>
  </si>
  <si>
    <t>Mumbai</t>
  </si>
  <si>
    <t>West</t>
  </si>
  <si>
    <t>Pooja</t>
  </si>
  <si>
    <t>2025-01-03</t>
  </si>
  <si>
    <t>Chair</t>
  </si>
  <si>
    <t>Pune</t>
  </si>
  <si>
    <t>2025-01-04</t>
  </si>
  <si>
    <t>Rohit Mehta</t>
  </si>
  <si>
    <t>UPI</t>
  </si>
  <si>
    <t>Jeans</t>
  </si>
  <si>
    <t>Jacket</t>
  </si>
  <si>
    <t>2025-01-05</t>
  </si>
  <si>
    <t>Laptop</t>
  </si>
  <si>
    <t>Bangalore</t>
  </si>
  <si>
    <t>Mobile</t>
  </si>
  <si>
    <t>2025-01-06</t>
  </si>
  <si>
    <t>Table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</si>
  <si>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</si>
  <si>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</si>
  <si>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</si>
  <si>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</si>
  <si>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</si>
  <si>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</si>
  <si>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</si>
  <si>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</si>
  <si>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</si>
  <si>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</si>
  <si>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</si>
  <si>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</si>
  <si>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</si>
  <si>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</si>
  <si>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</si>
  <si>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</si>
  <si>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</si>
  <si>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</si>
  <si>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</si>
  <si>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</si>
  <si>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</si>
  <si>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</si>
  <si>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</si>
  <si>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</si>
  <si>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</si>
  <si>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</si>
  <si>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</si>
  <si>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</si>
  <si>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</si>
  <si>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</si>
  <si>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</si>
  <si>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</si>
  <si>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</si>
  <si>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</si>
  <si>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</si>
  <si>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</si>
  <si>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</si>
  <si>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</si>
  <si>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</si>
  <si>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</si>
  <si>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</si>
  <si>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</si>
  <si>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</si>
  <si>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</si>
  <si>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</si>
  <si>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</si>
  <si>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</si>
  <si>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</si>
  <si>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</si>
  <si>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</si>
  <si>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</si>
  <si>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</si>
  <si>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</si>
  <si>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</si>
  <si>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</si>
  <si>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</si>
  <si>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</si>
  <si>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</si>
  <si>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</si>
  <si>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</si>
  <si>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</si>
  <si>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</si>
  <si>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</si>
  <si>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</si>
  <si>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</si>
  <si>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</si>
  <si>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</si>
  <si>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</si>
  <si>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</si>
  <si>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</si>
  <si>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</si>
  <si>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</si>
  <si>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</si>
  <si>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</si>
  <si>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</si>
  <si>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</si>
  <si>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</si>
  <si>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</si>
  <si>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</si>
  <si>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</si>
  <si>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</si>
  <si>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</si>
  <si>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</si>
  <si>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</si>
  <si>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</si>
  <si>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</si>
  <si>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</si>
  <si>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</si>
  <si>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</si>
  <si>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</si>
  <si>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</si>
  <si>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</si>
  <si>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</si>
  <si>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</si>
  <si>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</si>
  <si>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</si>
  <si>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</si>
  <si>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</si>
  <si>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</si>
  <si>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</si>
  <si>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</si>
  <si>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</si>
  <si>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</si>
  <si>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</si>
  <si>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</si>
  <si>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</si>
  <si>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</si>
  <si>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</si>
  <si>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</si>
  <si>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</si>
  <si>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</si>
  <si>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</si>
  <si>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</si>
  <si>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</si>
  <si>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</si>
  <si>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</si>
  <si>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</si>
  <si>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</si>
  <si>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</si>
  <si>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</si>
  <si>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</si>
  <si>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</si>
  <si>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</si>
  <si>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</si>
  <si>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</si>
  <si>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</si>
  <si>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</si>
  <si>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</si>
  <si>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</si>
  <si>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</si>
  <si>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</si>
  <si>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</si>
  <si>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</si>
  <si>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</si>
  <si>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</si>
  <si>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</si>
  <si>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</si>
  <si>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</si>
  <si>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</si>
  <si>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</si>
  <si>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</si>
  <si>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</si>
  <si>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</si>
  <si>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</si>
  <si>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</si>
  <si>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</si>
  <si>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</si>
  <si>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</si>
  <si>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</si>
  <si>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</si>
  <si>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</si>
  <si>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</si>
  <si>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</si>
  <si>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</si>
  <si>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</si>
  <si>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</si>
  <si>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</si>
  <si>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</si>
  <si>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</si>
  <si>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</si>
  <si>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</si>
  <si>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</si>
  <si>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</si>
  <si>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</si>
  <si>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</si>
  <si>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</si>
  <si>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</si>
  <si>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</si>
  <si>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</si>
  <si>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</si>
  <si>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</si>
  <si>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</si>
  <si>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</si>
  <si>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</si>
  <si>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</si>
  <si>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</si>
  <si>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</si>
  <si>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</si>
  <si>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</si>
  <si>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</si>
  <si>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</si>
  <si>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</si>
  <si>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</si>
  <si>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</si>
  <si>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</si>
  <si>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</si>
  <si>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</si>
  <si>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</si>
  <si>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</si>
  <si>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</si>
  <si>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</si>
  <si>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</si>
  <si>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</si>
  <si>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</si>
  <si>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</si>
  <si>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</si>
  <si>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</si>
  <si>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</si>
  <si>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</si>
  <si>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</si>
  <si>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</si>
  <si>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</si>
  <si>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</si>
  <si>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</si>
  <si>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</si>
  <si>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</si>
  <si>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</si>
  <si>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</si>
  <si>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</si>
  <si>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</si>
  <si>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</si>
  <si>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</si>
  <si>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</si>
  <si>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</si>
  <si>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</si>
  <si>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</si>
  <si>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</si>
  <si>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</si>
  <si>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</si>
  <si>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</si>
  <si>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</si>
  <si>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</si>
  <si>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</si>
  <si>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</si>
  <si>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</si>
  <si>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</si>
  <si>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</si>
  <si>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</si>
  <si>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</si>
  <si>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</si>
  <si>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</si>
  <si>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</si>
  <si>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</si>
  <si>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</si>
  <si>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</si>
  <si>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</si>
  <si>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</si>
  <si>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</si>
  <si>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</si>
  <si>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</si>
  <si>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</si>
  <si>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</si>
  <si>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</si>
  <si>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</si>
  <si>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</si>
  <si>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</si>
  <si>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</si>
  <si>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</si>
  <si>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</si>
  <si>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</si>
  <si>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</si>
  <si>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</si>
  <si>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</si>
  <si>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</si>
  <si>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</si>
  <si>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</si>
  <si>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</si>
  <si>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</si>
  <si>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</si>
  <si>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</si>
  <si>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</si>
  <si>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</si>
  <si>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</si>
  <si>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</si>
  <si>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</si>
  <si>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</si>
  <si>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</si>
  <si>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</si>
  <si>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</si>
  <si>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</si>
  <si>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</si>
  <si>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</si>
  <si>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</si>
  <si>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</si>
  <si>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</si>
  <si>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</si>
  <si>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</si>
  <si>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</si>
  <si>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</si>
  <si>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</si>
  <si>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</si>
  <si>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</si>
  <si>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</si>
  <si>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</si>
  <si>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</si>
  <si>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</si>
  <si>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</si>
  <si>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</si>
  <si>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</si>
  <si>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</si>
  <si>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</si>
  <si>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</si>
  <si>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</si>
  <si>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</si>
  <si>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</si>
  <si>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</si>
  <si>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</si>
  <si>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</si>
  <si>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</si>
  <si>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</si>
  <si>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</si>
  <si>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</si>
  <si>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</si>
  <si>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</si>
  <si>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</si>
  <si>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</si>
  <si>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</si>
  <si>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</si>
  <si>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</si>
  <si>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</si>
  <si>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</si>
  <si>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</si>
  <si>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</si>
  <si>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</si>
  <si>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</si>
  <si>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</si>
  <si>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</si>
  <si>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</si>
  <si>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</si>
  <si>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</si>
  <si>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</si>
  <si>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</si>
  <si>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</si>
  <si>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</si>
  <si>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</si>
  <si>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</si>
  <si>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</si>
  <si>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</si>
  <si>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</si>
  <si>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</si>
  <si>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</si>
  <si>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</si>
  <si>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</si>
  <si>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</si>
  <si>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</si>
  <si>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</si>
  <si>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</si>
  <si>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</si>
  <si>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</si>
  <si>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</si>
  <si>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</si>
  <si>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</si>
  <si>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</si>
  <si>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</si>
  <si>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</si>
  <si>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</si>
  <si>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</si>
  <si>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</si>
  <si>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</si>
  <si>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</si>
  <si>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</si>
  <si>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</si>
  <si>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</si>
  <si>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</si>
  <si>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</si>
  <si>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</si>
  <si>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</si>
  <si>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</si>
  <si>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</si>
  <si>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Sales Performance Report — FY 2025</t>
  </si>
  <si>
    <t>Source: Sheet1  |  Period: 01 Jan 2025 – 31 Dec 2025  |  1,287 orders</t>
  </si>
  <si>
    <t>Key Performance Indicators (KPIs)</t>
  </si>
  <si>
    <t>Total Sales</t>
  </si>
  <si>
    <t>Total Profit</t>
  </si>
  <si>
    <t>Profit Margin</t>
  </si>
  <si>
    <t>Total Orders</t>
  </si>
  <si>
    <t>₹93,303,190</t>
  </si>
  <si>
    <t>₹18,660,578</t>
  </si>
  <si>
    <t>20.0%</t>
  </si>
  <si>
    <t>1,287</t>
  </si>
  <si>
    <t>Avg Order Value</t>
  </si>
  <si>
    <t>Units Sold</t>
  </si>
  <si>
    <t>Avg Discount</t>
  </si>
  <si>
    <t>Top Region</t>
  </si>
  <si>
    <t>₹72,497</t>
  </si>
  <si>
    <t>3,889</t>
  </si>
  <si>
    <t>7.3%</t>
  </si>
  <si>
    <t>Monthly Sales &amp; Profit Trend</t>
  </si>
  <si>
    <t>Month</t>
  </si>
  <si>
    <t>Sales (₹)</t>
  </si>
  <si>
    <t>Profit (₹)</t>
  </si>
  <si>
    <t>Orders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</si>
  <si>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</si>
  <si>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</si>
  <si>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</si>
  <si>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</si>
  <si>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</si>
  <si>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</si>
  <si>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</si>
  <si>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</si>
  <si>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</si>
  <si>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</si>
  <si>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Performance by Product Category</t>
  </si>
  <si>
    <t>Performance by Region</t>
  </si>
  <si>
    <t>Performance by Sales Representative</t>
  </si>
  <si>
    <t>Sales by Payment Method  &amp;  Top Cities</t>
  </si>
  <si>
    <t>Payment Method</t>
  </si>
  <si>
    <t>Key Insights &amp; Recommendations</t>
  </si>
  <si>
    <t>• Overall performance:</t>
  </si>
  <si>
    <t>₹93,303,190 in total sales across 1,287 orders, generating ₹18,660,578 profit at a stable ~20.0% margin — margins are consistent across categories, regions, and discount levels, suggesting pricing/costing is applied uniformly rather than varying by product mix.</t>
  </si>
  <si>
    <t>• Regional gap:</t>
  </si>
  <si>
    <t>South (₹38,575,509) and West (₹36,402,997) lead sales, while North trails at ₹18,324,684 — roughly half the leading regions. North represents the clearest growth opportunity.</t>
  </si>
  <si>
    <t>• Category balance:</t>
  </si>
  <si>
    <t>Electronics, Furniture, and Clothing are nearly tied (₹31,645,209, ₹31,476,922, ₹30,181,058) — no single category dominates, so category-level campaigns should be evaluated on profit contribution, not just revenue.</t>
  </si>
  <si>
    <t>• Seasonality:</t>
  </si>
  <si>
    <t>Sales peak in July and October (₹9,432,089 in 2025-07) and dip in February/May (₹6,210,795 in 2025-05) — plan inventory and staffing around this cycle, and investigate low-season promotions.</t>
  </si>
  <si>
    <t>• Discounting:</t>
  </si>
  <si>
    <t>Moderate discounts (5%) show the strongest sales and profit performance; 15% discounts do not proportionally increase volume, indicating discounting beyond 10% may be eroding margin without a matching demand lift.</t>
  </si>
  <si>
    <t>• Sales rep spread:</t>
  </si>
  <si>
    <t>Ajay leads with ₹25,775,669 in sales; performance across reps is fairly even, so coaching should focus on replicating top rep's approach rather than closing a large skill gap.</t>
  </si>
  <si>
    <t>• Customer concentration:</t>
  </si>
  <si>
    <t>Only 5 unique customers drive all 1,287 orders — this is a highly concentrated customer base; diversifying acquisition should be a priority to reduce dependency risk.</t>
  </si>
  <si>
    <t>• Payment mix:</t>
  </si>
  <si>
    <t>Cash (₹24,744,884) and Debit Card lead payment methods, with digital methods (UPI, Credit Card) slightly behind — consider incentivizing digital payments for better transaction traceability.</t>
  </si>
  <si>
    <t>Suggested Charts for Dashboard</t>
  </si>
  <si>
    <t>– Line chart — Monthly Sales &amp; Profit trend (included above) to track seasonality.</t>
  </si>
  <si>
    <t>– Stacked bar chart — Sales by Region x Product Category to spot regional category gaps.</t>
  </si>
  <si>
    <t>– Pie/donut chart — Sales share by Region (included above) for quick mix view.</t>
  </si>
  <si>
    <t>– Bar chart — Sales Rep leaderboard (included above) for performance tracking.</t>
  </si>
  <si>
    <t>– Scatter plot — Discount % vs Profit Margin to visualize discount efficiency.</t>
  </si>
  <si>
    <t>– Heatmap/table — Month x City sales to identify underperforming city-month combinations.</t>
  </si>
  <si>
    <t>Focus Areas for Next Quarter</t>
  </si>
  <si>
    <t>→ Grow the North region — smallest region by sales; targeted campaigns or added sales headcount could close the gap with South/West.</t>
  </si>
  <si>
    <t>→ Expand the customer base — only 5 unique customers currently; new customer acquisition reduces revenue concentration risk.</t>
  </si>
  <si>
    <t>→ Review discount policy above 10% — margin does not improve proportionally; consider capping standard discounts near 5% for better profit-per-order.</t>
  </si>
  <si>
    <t>→ Plan for seasonality — align inventory and staffing with Jul/Oct peaks and Feb/May troughs.</t>
  </si>
  <si>
    <t>→ Push digital payment adoption — Cash still leads; UPI/Card incentives can improve traceability and reconciliation speed.</t>
  </si>
  <si>
    <t>Month-wise Sales — Waterfall View</t>
  </si>
  <si>
    <t>Shows how monthly sales build month-over-month: green = increase vs. prior month, red = decrease vs. prior month.</t>
  </si>
  <si>
    <t>Monthly Sales (₹)</t>
  </si>
  <si>
    <t>Base (hidden)</t>
  </si>
  <si>
    <t>Increase (₹)</t>
  </si>
  <si>
    <t>Decrease (₹)</t>
  </si>
  <si>
    <t>Match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</si>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</sst>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18" x14ac:knownFonts="1">
    <font>
      <sz val="11"/>
      <color theme="1"/>
      <name val="Aptos Narrow"/>
      <family val="2"/>
      <charset val="1"/>
    </font>
    <font>
      <b/>
      <sz val="20"/>
      <color rgb="FFFFFFFF"/>
      <name val="Arial"/>
      <charset val="1"/>
    </font>
    <font>
      <i/>
      <sz val="10"/>
      <color rgb="FF7F7F7F"/>
      <name val="Arial"/>
      <charset val="1"/>
    </font>
    <font>
      <b/>
      <sz val="13"/>
      <color rgb="FFFFFFFF"/>
      <name val="Arial"/>
      <charset val="1"/>
    </font>
    <font>
      <b/>
      <sz val="9"/>
      <color rgb="FF1F4E78"/>
      <name val="Arial"/>
      <charset val="1"/>
    </font>
    <font>
      <b/>
      <sz val="11"/>
      <color rgb="FF7F6000"/>
      <name val="Arial"/>
      <charset val="1"/>
    </font>
    <font>
      <b/>
      <sz val="10"/>
      <color rgb="FF595959"/>
      <name val="Arial"/>
      <charset val="1"/>
    </font>
    <font>
      <b/>
      <sz val="20"/>
      <color rgb="FF1F4E78"/>
      <name val="Arial"/>
      <charset val="1"/>
    </font>
    <font>
      <i/>
      <sz val="9"/>
      <color rgb="FF7F7F7F"/>
      <name val="Arial"/>
      <charset val="1"/>
    </font>
    <font>
      <b/>
      <sz val="18"/>
      <color rgb="FFFFFFFF"/>
      <name val="Arial"/>
      <charset val="1"/>
    </font>
    <font>
      <b/>
      <sz val="9"/>
      <color rgb="FF595959"/>
      <name val="Arial"/>
      <charset val="1"/>
    </font>
    <font>
      <b/>
      <sz val="14"/>
      <color rgb="FF1F4E78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1"/>
      <name val="Cambria"/>
      <charset val="1"/>
    </font>
    <font>
      <b/>
      <sz val="9"/>
      <color rgb="FFFFFFFF"/>
      <name val="Arial"/>
      <charset val="1"/>
    </font>
    <font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  <fill>
      <patternFill patternType="solid">
        <fgColor rgb="FF2E75B6"/>
        <bgColor rgb="FF15608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3" fillId="0" borderId="0" xfId="0" applyFont="1"/>
    <xf numFmtId="0" fontId="13" fillId="0" borderId="0" xfId="0" applyFont="1" applyAlignment="1">
      <alignment vertical="top" wrapText="1"/>
    </xf>
    <xf numFmtId="0" fontId="11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3" fontId="7" fillId="5" borderId="1" xfId="0" applyNumberFormat="1" applyFont="1" applyFill="1" applyBorder="1" applyAlignment="1">
      <alignment horizontal="center"/>
    </xf>
    <xf numFmtId="164" fontId="7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3" borderId="0" xfId="0" applyFont="1" applyFill="1" applyAlignment="1">
      <alignment horizontal="left" vertical="center" indent="1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3" fillId="0" borderId="1" xfId="0" applyFont="1" applyBorder="1"/>
    <xf numFmtId="3" fontId="13" fillId="0" borderId="1" xfId="0" applyNumberFormat="1" applyFont="1" applyBorder="1"/>
    <xf numFmtId="0" fontId="14" fillId="0" borderId="0" xfId="0" applyFont="1" applyAlignment="1">
      <alignment vertical="top" wrapText="1"/>
    </xf>
    <xf numFmtId="0" fontId="15" fillId="0" borderId="0" xfId="0" applyFont="1"/>
    <xf numFmtId="0" fontId="13" fillId="0" borderId="1" xfId="0" applyFont="1" applyBorder="1" applyAlignment="1">
      <alignment horizontal="center"/>
    </xf>
    <xf numFmtId="3" fontId="13" fillId="0" borderId="1" xfId="0" applyNumberFormat="1" applyFont="1" applyBorder="1" applyAlignment="1">
      <alignment horizontal="center"/>
    </xf>
    <xf numFmtId="3" fontId="15" fillId="0" borderId="0" xfId="0" applyNumberFormat="1" applyFont="1"/>
    <xf numFmtId="0" fontId="16" fillId="2" borderId="0" xfId="0" applyFont="1" applyFill="1"/>
    <xf numFmtId="0" fontId="1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7F6000"/>
      <rgbColor rgb="FF800080"/>
      <rgbColor rgb="FF156082"/>
      <rgbColor rgb="FFBFBFBF"/>
      <rgbColor rgb="FF7F7F7F"/>
      <rgbColor rgb="FF9999FF"/>
      <rgbColor rgb="FF993366"/>
      <rgbColor rgb="FFFFF2CC"/>
      <rgbColor rgb="FFF2F2F2"/>
      <rgbColor rgb="FF660066"/>
      <rgbColor rgb="FFCF642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B3B3"/>
      <rgbColor rgb="FFEEA18B"/>
      <rgbColor rgb="FFCC99FF"/>
      <rgbColor rgb="FFFFCC99"/>
      <rgbColor rgb="FF2E75B6"/>
      <rgbColor rgb="FF33CCCC"/>
      <rgbColor rgb="FF99CC00"/>
      <rgbColor rgb="FFFFCC00"/>
      <rgbColor rgb="FFFF9900"/>
      <rgbColor rgb="FFE97132"/>
      <rgbColor rgb="FF595959"/>
      <rgbColor rgb="FF8B8B8B"/>
      <rgbColor rgb="FF003366"/>
      <rgbColor rgb="FF2E9E5B"/>
      <rgbColor rgb="FF003300"/>
      <rgbColor rgb="FF333300"/>
      <rgbColor rgb="FFC0392B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City-wise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Dashboard_Data!$L$1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4E7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Dashboard_Data!$K$2:$K$6</c:f>
              <c:strCache>
                <c:ptCount val="5"/>
                <c:pt idx="0">
                  <c:v>Bangalore</c:v>
                </c:pt>
                <c:pt idx="1">
                  <c:v>Delhi</c:v>
                </c:pt>
                <c:pt idx="2">
                  <c:v>Hyderabad</c:v>
                </c:pt>
                <c:pt idx="3">
                  <c:v>Mumbai</c:v>
                </c:pt>
                <c:pt idx="4">
                  <c:v>Pune</c:v>
                </c:pt>
              </c:strCache>
            </c:strRef>
          </c:cat>
          <c:val>
            <c:numRef>
              <c:f>Dashboard_Data!$L$2:$L$6</c:f>
              <c:numCache>
                <c:formatCode>General</c:formatCode>
                <c:ptCount val="5"/>
                <c:pt idx="0">
                  <c:v>21409479.300000004</c:v>
                </c:pt>
                <c:pt idx="1">
                  <c:v>18324683.850000005</c:v>
                </c:pt>
                <c:pt idx="2">
                  <c:v>17166029.850000005</c:v>
                </c:pt>
                <c:pt idx="3">
                  <c:v>17674169.749999996</c:v>
                </c:pt>
                <c:pt idx="4">
                  <c:v>18728826.849999994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2-41DA-B51F-8D41D027B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132798"/>
        <c:axId val="18143695"/>
      </c:barChart>
      <c:catAx>
        <c:axId val="821327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18143695"/>
        <c:crosses val="autoZero"/>
        <c:auto val="1"/>
        <c:lblAlgn val="ctr"/>
        <c:lblOffset val="100"/>
        <c:noMultiLvlLbl val="0"/>
      </c:catAx>
      <c:valAx>
        <c:axId val="181436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21327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Category-wise Sales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Dashboard_Data!$Q$1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AC1-4C29-8927-4F077ED596A6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AC1-4C29-8927-4F077ED596A6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AC1-4C29-8927-4F077ED596A6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AC1-4C29-8927-4F077ED596A6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AC1-4C29-8927-4F077ED596A6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4AC1-4C29-8927-4F077ED596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Dashboard_Data!$P$2:$P$4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Dashboard_Data!$Q$2:$Q$4</c:f>
              <c:numCache>
                <c:formatCode>General</c:formatCode>
                <c:ptCount val="3"/>
                <c:pt idx="0">
                  <c:v>30181058.099999998</c:v>
                </c:pt>
                <c:pt idx="1">
                  <c:v>31645209.050000012</c:v>
                </c:pt>
                <c:pt idx="2">
                  <c:v>31476922.450000007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C1-4C29-8927-4F077ED59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Sales Rep Performance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Dashboard_Data!$V$1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Dashboard_Data!$U$2:$U$5</c:f>
              <c:strCache>
                <c:ptCount val="4"/>
                <c:pt idx="0">
                  <c:v>Ajay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</c:strCache>
            </c:strRef>
          </c:cat>
          <c:val>
            <c:numRef>
              <c:f>Dashboard_Data!$V$2:$V$5</c:f>
              <c:numCache>
                <c:formatCode>General</c:formatCode>
                <c:ptCount val="4"/>
                <c:pt idx="0">
                  <c:v>25775669.350000001</c:v>
                </c:pt>
                <c:pt idx="1">
                  <c:v>21561355.000000011</c:v>
                </c:pt>
                <c:pt idx="2">
                  <c:v>24295450.449999999</c:v>
                </c:pt>
                <c:pt idx="3">
                  <c:v>21670714.800000004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6-4719-A7DD-12BA3B4FD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582264"/>
        <c:axId val="74813867"/>
      </c:barChart>
      <c:catAx>
        <c:axId val="5558226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4813867"/>
        <c:crosses val="autoZero"/>
        <c:auto val="1"/>
        <c:lblAlgn val="ctr"/>
        <c:lblOffset val="100"/>
        <c:noMultiLvlLbl val="0"/>
      </c:catAx>
      <c:valAx>
        <c:axId val="7481386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555822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Dashboard_Data!$AA$1</c:f>
              <c:strCache>
                <c:ptCount val="1"/>
                <c:pt idx="0">
                  <c:v>Sales</c:v>
                </c:pt>
              </c:strCache>
            </c:strRef>
          </c:tx>
          <c:spPr>
            <a:ln w="2484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Dashboard_Data!$Z$2:$Z$13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Dashboard_Data!$AA$2:$AA$13</c:f>
              <c:numCache>
                <c:formatCode>General</c:formatCode>
                <c:ptCount val="12"/>
                <c:pt idx="0">
                  <c:v>8230898.8500000015</c:v>
                </c:pt>
                <c:pt idx="1">
                  <c:v>6285791.3000000026</c:v>
                </c:pt>
                <c:pt idx="2">
                  <c:v>8158549.8499999996</c:v>
                </c:pt>
                <c:pt idx="3">
                  <c:v>7177984.0500000017</c:v>
                </c:pt>
                <c:pt idx="4">
                  <c:v>6210795.2999999998</c:v>
                </c:pt>
                <c:pt idx="5">
                  <c:v>7259682.2999999998</c:v>
                </c:pt>
                <c:pt idx="6">
                  <c:v>9432089.3499999996</c:v>
                </c:pt>
                <c:pt idx="7">
                  <c:v>9116986.7000000048</c:v>
                </c:pt>
                <c:pt idx="8">
                  <c:v>7403277.2999999989</c:v>
                </c:pt>
                <c:pt idx="9">
                  <c:v>9315625.1499999985</c:v>
                </c:pt>
                <c:pt idx="10">
                  <c:v>7558035.8499999978</c:v>
                </c:pt>
                <c:pt idx="11">
                  <c:v>7153473.5999999987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90-4F4C-B9D6-1ED628246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1737888"/>
        <c:axId val="45123326"/>
      </c:lineChart>
      <c:catAx>
        <c:axId val="717378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45123326"/>
        <c:crosses val="autoZero"/>
        <c:auto val="1"/>
        <c:lblAlgn val="ctr"/>
        <c:lblOffset val="100"/>
        <c:noMultiLvlLbl val="0"/>
      </c:catAx>
      <c:valAx>
        <c:axId val="451233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Aptos Narrow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17378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sz="1800" b="1" strike="noStrike" spc="-1">
                <a:solidFill>
                  <a:srgbClr val="000000"/>
                </a:solidFill>
                <a:latin typeface="Aptos Narrow"/>
              </a:rPr>
              <a:t>Monthly Sales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Sales_Report!$B$13</c:f>
              <c:strCache>
                <c:ptCount val="1"/>
                <c:pt idx="0">
                  <c:v>Sales (₹)</c:v>
                </c:pt>
              </c:strCache>
            </c:strRef>
          </c:tx>
          <c:spPr>
            <a:ln w="633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Sales_Report!$A$14:$A$25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Sales_Report!$B$14:$B$25</c:f>
              <c:numCache>
                <c:formatCode>#,##0</c:formatCode>
                <c:ptCount val="12"/>
                <c:pt idx="0">
                  <c:v>8230898.8499999996</c:v>
                </c:pt>
                <c:pt idx="1">
                  <c:v>6285791.2999999998</c:v>
                </c:pt>
                <c:pt idx="2">
                  <c:v>8158549.8499999996</c:v>
                </c:pt>
                <c:pt idx="3">
                  <c:v>7177984.0499999998</c:v>
                </c:pt>
                <c:pt idx="4">
                  <c:v>6210795.2999999998</c:v>
                </c:pt>
                <c:pt idx="5">
                  <c:v>7259682.2999999998</c:v>
                </c:pt>
                <c:pt idx="6">
                  <c:v>9432089.3499999996</c:v>
                </c:pt>
                <c:pt idx="7">
                  <c:v>9116986.6999999993</c:v>
                </c:pt>
                <c:pt idx="8">
                  <c:v>7403277.2999999998</c:v>
                </c:pt>
                <c:pt idx="9">
                  <c:v>9315625.1500000004</c:v>
                </c:pt>
                <c:pt idx="10">
                  <c:v>7558035.8499999996</c:v>
                </c:pt>
                <c:pt idx="11">
                  <c:v>7153473.5999999996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30-48E2-9F33-8B613F0B204C}"/>
            </c:ext>
          </c:extLst>
        </c:ser>
        <c:ser>
          <c:idx val="1"/>
          <c:order val="1"/>
          <c:tx>
            <c:strRef>
              <c:f>Sales_Report!$C$13</c:f>
              <c:strCache>
                <c:ptCount val="1"/>
                <c:pt idx="0">
                  <c:v>Profit (₹)</c:v>
                </c:pt>
              </c:strCache>
            </c:strRef>
          </c:tx>
          <c:spPr>
            <a:ln w="633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Sales_Report!$A$14:$A$25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Sales_Report!$C$14:$C$25</c:f>
              <c:numCache>
                <c:formatCode>#,##0</c:formatCode>
                <c:ptCount val="12"/>
                <c:pt idx="0">
                  <c:v>1554667.93</c:v>
                </c:pt>
                <c:pt idx="1">
                  <c:v>1291060.17</c:v>
                </c:pt>
                <c:pt idx="2">
                  <c:v>1609965.18</c:v>
                </c:pt>
                <c:pt idx="3">
                  <c:v>1388411.08</c:v>
                </c:pt>
                <c:pt idx="4">
                  <c:v>1240932.3600000001</c:v>
                </c:pt>
                <c:pt idx="5">
                  <c:v>1486745.51</c:v>
                </c:pt>
                <c:pt idx="6">
                  <c:v>1866301.56</c:v>
                </c:pt>
                <c:pt idx="7">
                  <c:v>1926541.6</c:v>
                </c:pt>
                <c:pt idx="8">
                  <c:v>1424073.16</c:v>
                </c:pt>
                <c:pt idx="9">
                  <c:v>1927927.93</c:v>
                </c:pt>
                <c:pt idx="10">
                  <c:v>1510867.72</c:v>
                </c:pt>
                <c:pt idx="11">
                  <c:v>1433083.91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F30-48E2-9F33-8B613F0B2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6593022"/>
        <c:axId val="96423831"/>
      </c:lineChart>
      <c:catAx>
        <c:axId val="565930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ptos Narrow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96423831"/>
        <c:crosses val="autoZero"/>
        <c:auto val="1"/>
        <c:lblAlgn val="ctr"/>
        <c:lblOffset val="100"/>
        <c:noMultiLvlLbl val="0"/>
      </c:catAx>
      <c:valAx>
        <c:axId val="96423831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ptos Narrow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565930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sz="1800" b="1" strike="noStrike" spc="-1">
                <a:solidFill>
                  <a:srgbClr val="000000"/>
                </a:solidFill>
                <a:latin typeface="Aptos Narrow"/>
              </a:rPr>
              <a:t>Sales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Sales_Report!$B$34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Sales_Report!$A$35:$A$37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</c:strCache>
            </c:strRef>
          </c:cat>
          <c:val>
            <c:numRef>
              <c:f>Sales_Report!$B$35:$B$37</c:f>
              <c:numCache>
                <c:formatCode>#,##0</c:formatCode>
                <c:ptCount val="3"/>
                <c:pt idx="0">
                  <c:v>31645209.050000001</c:v>
                </c:pt>
                <c:pt idx="1">
                  <c:v>31476922.449999999</c:v>
                </c:pt>
                <c:pt idx="2">
                  <c:v>30181058.100000001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F-4791-9692-E31F63F91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736505"/>
        <c:axId val="98285996"/>
      </c:barChart>
      <c:catAx>
        <c:axId val="727365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98285996"/>
        <c:crosses val="autoZero"/>
        <c:auto val="1"/>
        <c:lblAlgn val="ctr"/>
        <c:lblOffset val="100"/>
        <c:noMultiLvlLbl val="0"/>
      </c:catAx>
      <c:valAx>
        <c:axId val="98285996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ptos Narrow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27365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sz="1800" b="1" strike="noStrike" spc="-1">
                <a:solidFill>
                  <a:srgbClr val="000000"/>
                </a:solidFill>
                <a:latin typeface="Aptos Narrow"/>
              </a:rPr>
              <a:t>Sales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Sales_Report!$B$55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B215-4637-BD74-3D78363CC4E2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215-4637-BD74-3D78363CC4E2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215-4637-BD74-3D78363CC4E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215-4637-BD74-3D78363CC4E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215-4637-BD74-3D78363CC4E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215-4637-BD74-3D78363CC4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Sales_Report!$A$56:$A$58</c:f>
              <c:strCache>
                <c:ptCount val="3"/>
                <c:pt idx="0">
                  <c:v>South</c:v>
                </c:pt>
                <c:pt idx="1">
                  <c:v>West</c:v>
                </c:pt>
                <c:pt idx="2">
                  <c:v>North</c:v>
                </c:pt>
              </c:strCache>
            </c:strRef>
          </c:cat>
          <c:val>
            <c:numRef>
              <c:f>Sales_Report!$B$56:$B$58</c:f>
              <c:numCache>
                <c:formatCode>#,##0</c:formatCode>
                <c:ptCount val="3"/>
                <c:pt idx="0">
                  <c:v>38575509.149999999</c:v>
                </c:pt>
                <c:pt idx="1">
                  <c:v>36402996.600000001</c:v>
                </c:pt>
                <c:pt idx="2">
                  <c:v>18324683.850000001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15-4637-BD74-3D78363CC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sz="1800" b="1" strike="noStrike" spc="-1">
                <a:solidFill>
                  <a:srgbClr val="000000"/>
                </a:solidFill>
                <a:latin typeface="Aptos Narrow"/>
              </a:rPr>
              <a:t>Sales by Sales Rep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Sales_Report!$B$76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Sales_Report!$A$77:$A$80</c:f>
              <c:strCache>
                <c:ptCount val="4"/>
                <c:pt idx="0">
                  <c:v>Ajay</c:v>
                </c:pt>
                <c:pt idx="1">
                  <c:v>Rahul</c:v>
                </c:pt>
                <c:pt idx="2">
                  <c:v>Sneha</c:v>
                </c:pt>
                <c:pt idx="3">
                  <c:v>Pooja</c:v>
                </c:pt>
              </c:strCache>
            </c:strRef>
          </c:cat>
          <c:val>
            <c:numRef>
              <c:f>Sales_Report!$B$77:$B$80</c:f>
              <c:numCache>
                <c:formatCode>#,##0</c:formatCode>
                <c:ptCount val="4"/>
                <c:pt idx="0">
                  <c:v>25775669.350000001</c:v>
                </c:pt>
                <c:pt idx="1">
                  <c:v>24295450.449999999</c:v>
                </c:pt>
                <c:pt idx="2">
                  <c:v>21670714.800000001</c:v>
                </c:pt>
                <c:pt idx="3">
                  <c:v>21561355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5-4774-97E8-368A87FAC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672234"/>
        <c:axId val="78548595"/>
      </c:barChart>
      <c:catAx>
        <c:axId val="3467223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8548595"/>
        <c:crosses val="autoZero"/>
        <c:auto val="1"/>
        <c:lblAlgn val="ctr"/>
        <c:lblOffset val="100"/>
        <c:noMultiLvlLbl val="0"/>
      </c:catAx>
      <c:valAx>
        <c:axId val="78548595"/>
        <c:scaling>
          <c:orientation val="minMax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46722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sz="1800" b="1" strike="noStrike" spc="-1">
                <a:solidFill>
                  <a:srgbClr val="000000"/>
                </a:solidFill>
                <a:latin typeface="Aptos Narrow"/>
              </a:rPr>
              <a:t>Month-wise Sales — Waterfall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Sales_Report!$C$132</c:f>
              <c:strCache>
                <c:ptCount val="1"/>
                <c:pt idx="0">
                  <c:v>0</c:v>
                </c:pt>
              </c:strCache>
            </c:strRef>
          </c:tx>
          <c:spPr>
            <a:noFill/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Sales_Report!$A$133:$A$145</c:f>
              <c:strCache>
                <c:ptCount val="11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</c:strCache>
            </c:strRef>
          </c:cat>
          <c:val>
            <c:numRef>
              <c:f>Sales_Report!$C$133:$C$145</c:f>
              <c:numCache>
                <c:formatCode>#,##0</c:formatCode>
                <c:ptCount val="13"/>
                <c:pt idx="0">
                  <c:v>6285791</c:v>
                </c:pt>
                <c:pt idx="1">
                  <c:v>6285791</c:v>
                </c:pt>
                <c:pt idx="2">
                  <c:v>7177984</c:v>
                </c:pt>
                <c:pt idx="3">
                  <c:v>6210795</c:v>
                </c:pt>
                <c:pt idx="4">
                  <c:v>6210795</c:v>
                </c:pt>
                <c:pt idx="5">
                  <c:v>7259682</c:v>
                </c:pt>
                <c:pt idx="6">
                  <c:v>9116987</c:v>
                </c:pt>
                <c:pt idx="7">
                  <c:v>7403277</c:v>
                </c:pt>
                <c:pt idx="8">
                  <c:v>7403277</c:v>
                </c:pt>
                <c:pt idx="9">
                  <c:v>7558036</c:v>
                </c:pt>
                <c:pt idx="10">
                  <c:v>7153474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1-442F-A570-FE936DCB1B89}"/>
            </c:ext>
          </c:extLst>
        </c:ser>
        <c:ser>
          <c:idx val="1"/>
          <c:order val="1"/>
          <c:tx>
            <c:strRef>
              <c:f>Sales_Report!$D$132</c:f>
              <c:strCache>
                <c:ptCount val="1"/>
                <c:pt idx="0">
                  <c:v>82,30,899</c:v>
                </c:pt>
              </c:strCache>
            </c:strRef>
          </c:tx>
          <c:spPr>
            <a:solidFill>
              <a:srgbClr val="2E9E5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Sales_Report!$A$133:$A$145</c:f>
              <c:strCache>
                <c:ptCount val="11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</c:strCache>
            </c:strRef>
          </c:cat>
          <c:val>
            <c:numRef>
              <c:f>Sales_Report!$D$133:$D$145</c:f>
              <c:numCache>
                <c:formatCode>#,##0</c:formatCode>
                <c:ptCount val="13"/>
                <c:pt idx="0">
                  <c:v>0</c:v>
                </c:pt>
                <c:pt idx="1">
                  <c:v>1872759</c:v>
                </c:pt>
                <c:pt idx="2">
                  <c:v>0</c:v>
                </c:pt>
                <c:pt idx="3">
                  <c:v>0</c:v>
                </c:pt>
                <c:pt idx="4">
                  <c:v>1048887</c:v>
                </c:pt>
                <c:pt idx="5">
                  <c:v>2172407</c:v>
                </c:pt>
                <c:pt idx="6">
                  <c:v>0</c:v>
                </c:pt>
                <c:pt idx="7">
                  <c:v>0</c:v>
                </c:pt>
                <c:pt idx="8">
                  <c:v>1912348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31-442F-A570-FE936DCB1B89}"/>
            </c:ext>
          </c:extLst>
        </c:ser>
        <c:ser>
          <c:idx val="2"/>
          <c:order val="2"/>
          <c:tx>
            <c:strRef>
              <c:f>Sales_Report!$E$132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C0392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Sales_Report!$A$133:$A$145</c:f>
              <c:strCache>
                <c:ptCount val="11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</c:strCache>
            </c:strRef>
          </c:cat>
          <c:val>
            <c:numRef>
              <c:f>Sales_Report!$E$133:$E$145</c:f>
              <c:numCache>
                <c:formatCode>#,##0</c:formatCode>
                <c:ptCount val="13"/>
                <c:pt idx="0">
                  <c:v>1945108</c:v>
                </c:pt>
                <c:pt idx="1">
                  <c:v>0</c:v>
                </c:pt>
                <c:pt idx="2">
                  <c:v>980566</c:v>
                </c:pt>
                <c:pt idx="3">
                  <c:v>967189</c:v>
                </c:pt>
                <c:pt idx="4">
                  <c:v>0</c:v>
                </c:pt>
                <c:pt idx="5">
                  <c:v>0</c:v>
                </c:pt>
                <c:pt idx="6">
                  <c:v>315102</c:v>
                </c:pt>
                <c:pt idx="7">
                  <c:v>1713710</c:v>
                </c:pt>
                <c:pt idx="8">
                  <c:v>0</c:v>
                </c:pt>
                <c:pt idx="9">
                  <c:v>1757589</c:v>
                </c:pt>
                <c:pt idx="10">
                  <c:v>404562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31-442F-A570-FE936DCB1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47793"/>
        <c:axId val="12705845"/>
      </c:barChart>
      <c:catAx>
        <c:axId val="172477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ptos Narrow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12705845"/>
        <c:crosses val="autoZero"/>
        <c:auto val="1"/>
        <c:lblAlgn val="ctr"/>
        <c:lblOffset val="100"/>
        <c:noMultiLvlLbl val="0"/>
      </c:catAx>
      <c:valAx>
        <c:axId val="127058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ptos Narrow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172477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sz="1800" b="1" strike="noStrike" spc="-1">
                <a:solidFill>
                  <a:srgbClr val="000000"/>
                </a:solidFill>
                <a:latin typeface="Aptos Narrow"/>
              </a:rPr>
              <a:t>Month-wise Sales — Waterfall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Sales_Report!$C$131</c:f>
              <c:strCache>
                <c:ptCount val="1"/>
                <c:pt idx="0">
                  <c:v>Base (hidden)</c:v>
                </c:pt>
              </c:strCache>
            </c:strRef>
          </c:tx>
          <c:spPr>
            <a:noFill/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Sales_Report!$A$132:$A$143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Sales_Report!$C$132:$C$143</c:f>
              <c:numCache>
                <c:formatCode>#,##0</c:formatCode>
                <c:ptCount val="12"/>
                <c:pt idx="0">
                  <c:v>0</c:v>
                </c:pt>
                <c:pt idx="1">
                  <c:v>6285791</c:v>
                </c:pt>
                <c:pt idx="2">
                  <c:v>6285791</c:v>
                </c:pt>
                <c:pt idx="3">
                  <c:v>7177984</c:v>
                </c:pt>
                <c:pt idx="4">
                  <c:v>6210795</c:v>
                </c:pt>
                <c:pt idx="5">
                  <c:v>6210795</c:v>
                </c:pt>
                <c:pt idx="6">
                  <c:v>7259682</c:v>
                </c:pt>
                <c:pt idx="7">
                  <c:v>9116987</c:v>
                </c:pt>
                <c:pt idx="8">
                  <c:v>7403277</c:v>
                </c:pt>
                <c:pt idx="9">
                  <c:v>7403277</c:v>
                </c:pt>
                <c:pt idx="10">
                  <c:v>7558036</c:v>
                </c:pt>
                <c:pt idx="11">
                  <c:v>7153474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4-474D-81DC-0A97B160ED53}"/>
            </c:ext>
          </c:extLst>
        </c:ser>
        <c:ser>
          <c:idx val="1"/>
          <c:order val="1"/>
          <c:tx>
            <c:v>Increase</c:v>
          </c:tx>
          <c:spPr>
            <a:solidFill>
              <a:srgbClr val="2E9E5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Sales_Report!$A$132:$A$143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Sales_Report!$D$132:$D$143</c:f>
              <c:numCache>
                <c:formatCode>#,##0</c:formatCode>
                <c:ptCount val="12"/>
                <c:pt idx="0">
                  <c:v>8230899</c:v>
                </c:pt>
                <c:pt idx="1">
                  <c:v>0</c:v>
                </c:pt>
                <c:pt idx="2">
                  <c:v>1872759</c:v>
                </c:pt>
                <c:pt idx="3">
                  <c:v>0</c:v>
                </c:pt>
                <c:pt idx="4">
                  <c:v>0</c:v>
                </c:pt>
                <c:pt idx="5">
                  <c:v>1048887</c:v>
                </c:pt>
                <c:pt idx="6">
                  <c:v>2172407</c:v>
                </c:pt>
                <c:pt idx="7">
                  <c:v>0</c:v>
                </c:pt>
                <c:pt idx="8">
                  <c:v>0</c:v>
                </c:pt>
                <c:pt idx="9">
                  <c:v>1912348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24-474D-81DC-0A97B160ED53}"/>
            </c:ext>
          </c:extLst>
        </c:ser>
        <c:ser>
          <c:idx val="2"/>
          <c:order val="2"/>
          <c:tx>
            <c:v>Decrease</c:v>
          </c:tx>
          <c:spPr>
            <a:solidFill>
              <a:srgbClr val="C0392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Sales_Report!$A$132:$A$143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Sales_Report!$E$132:$E$143</c:f>
              <c:numCache>
                <c:formatCode>#,##0</c:formatCode>
                <c:ptCount val="12"/>
                <c:pt idx="0">
                  <c:v>0</c:v>
                </c:pt>
                <c:pt idx="1">
                  <c:v>1945108</c:v>
                </c:pt>
                <c:pt idx="2">
                  <c:v>0</c:v>
                </c:pt>
                <c:pt idx="3">
                  <c:v>980566</c:v>
                </c:pt>
                <c:pt idx="4">
                  <c:v>967189</c:v>
                </c:pt>
                <c:pt idx="5">
                  <c:v>0</c:v>
                </c:pt>
                <c:pt idx="6">
                  <c:v>0</c:v>
                </c:pt>
                <c:pt idx="7">
                  <c:v>315102</c:v>
                </c:pt>
                <c:pt idx="8">
                  <c:v>1713710</c:v>
                </c:pt>
                <c:pt idx="9">
                  <c:v>0</c:v>
                </c:pt>
                <c:pt idx="10">
                  <c:v>1757589</c:v>
                </c:pt>
                <c:pt idx="11">
                  <c:v>404562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24-474D-81DC-0A97B160E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683945"/>
        <c:axId val="76708148"/>
      </c:barChart>
      <c:catAx>
        <c:axId val="446839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ptos Narrow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6708148"/>
        <c:crosses val="autoZero"/>
        <c:auto val="1"/>
        <c:lblAlgn val="ctr"/>
        <c:lblOffset val="100"/>
        <c:noMultiLvlLbl val="0"/>
      </c:catAx>
      <c:valAx>
        <c:axId val="76708148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ptos Narrow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446839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6</xdr:col>
      <xdr:colOff>425520</xdr:colOff>
      <xdr:row>30</xdr:row>
      <xdr:rowOff>181080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13</xdr:row>
      <xdr:rowOff>0</xdr:rowOff>
    </xdr:from>
    <xdr:to>
      <xdr:col>12</xdr:col>
      <xdr:colOff>425880</xdr:colOff>
      <xdr:row>30</xdr:row>
      <xdr:rowOff>181080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6</xdr:col>
      <xdr:colOff>425520</xdr:colOff>
      <xdr:row>47</xdr:row>
      <xdr:rowOff>181080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30</xdr:row>
      <xdr:rowOff>0</xdr:rowOff>
    </xdr:from>
    <xdr:to>
      <xdr:col>12</xdr:col>
      <xdr:colOff>425880</xdr:colOff>
      <xdr:row>47</xdr:row>
      <xdr:rowOff>181080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</xdr:row>
      <xdr:rowOff>216360</xdr:rowOff>
    </xdr:from>
    <xdr:to>
      <xdr:col>11</xdr:col>
      <xdr:colOff>290520</xdr:colOff>
      <xdr:row>28</xdr:row>
      <xdr:rowOff>130680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32</xdr:row>
      <xdr:rowOff>216720</xdr:rowOff>
    </xdr:from>
    <xdr:to>
      <xdr:col>9</xdr:col>
      <xdr:colOff>368280</xdr:colOff>
      <xdr:row>49</xdr:row>
      <xdr:rowOff>131040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53</xdr:row>
      <xdr:rowOff>216720</xdr:rowOff>
    </xdr:from>
    <xdr:to>
      <xdr:col>8</xdr:col>
      <xdr:colOff>406800</xdr:colOff>
      <xdr:row>70</xdr:row>
      <xdr:rowOff>131040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74</xdr:row>
      <xdr:rowOff>216360</xdr:rowOff>
    </xdr:from>
    <xdr:to>
      <xdr:col>9</xdr:col>
      <xdr:colOff>368280</xdr:colOff>
      <xdr:row>91</xdr:row>
      <xdr:rowOff>130680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146</xdr:row>
      <xdr:rowOff>0</xdr:rowOff>
    </xdr:from>
    <xdr:to>
      <xdr:col>6</xdr:col>
      <xdr:colOff>815760</xdr:colOff>
      <xdr:row>166</xdr:row>
      <xdr:rowOff>149040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144</xdr:row>
      <xdr:rowOff>0</xdr:rowOff>
    </xdr:from>
    <xdr:to>
      <xdr:col>6</xdr:col>
      <xdr:colOff>816120</xdr:colOff>
      <xdr:row>164</xdr:row>
      <xdr:rowOff>149400</xdr:rowOff>
    </xdr:to>
    <xdr:graphicFrame macro="">
      <xdr:nvGraphicFramePr>
        <xdr:cNvPr id="9" name="Chart 6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zoomScaleNormal="100" workbookViewId="0">
      <pane ySplit="5" topLeftCell="A6" activePane="bottomLeft" state="frozen"/>
      <selection pane="bottomLeft" activeCell="N10" sqref="N10"/>
    </sheetView>
  </sheetViews>
  <sheetFormatPr defaultColWidth="8.5546875" defaultRowHeight="14.4" x14ac:dyDescent="0.3"/>
  <cols>
    <col min="1" max="12" width="10" customWidth="1"/>
  </cols>
  <sheetData>
    <row r="1" spans="1:12" ht="19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9.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x14ac:dyDescent="0.3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5" spans="1:12" ht="24" customHeight="1" x14ac:dyDescent="0.3">
      <c r="A5" s="12" t="s">
        <v>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 x14ac:dyDescent="0.3">
      <c r="B6" s="11" t="s">
        <v>3</v>
      </c>
      <c r="C6" s="11"/>
      <c r="D6" s="11" t="s">
        <v>4</v>
      </c>
      <c r="E6" s="11"/>
      <c r="F6" s="11" t="s">
        <v>5</v>
      </c>
      <c r="G6" s="11"/>
      <c r="H6" s="11" t="s">
        <v>6</v>
      </c>
      <c r="I6" s="11"/>
      <c r="J6" s="11" t="s">
        <v>7</v>
      </c>
      <c r="K6" s="11"/>
    </row>
    <row r="7" spans="1:12" ht="21.75" customHeight="1" x14ac:dyDescent="0.3">
      <c r="B7" s="10" t="s">
        <v>8</v>
      </c>
      <c r="C7" s="10"/>
      <c r="D7" s="10" t="s">
        <v>9</v>
      </c>
      <c r="E7" s="10"/>
      <c r="F7" s="10" t="s">
        <v>10</v>
      </c>
      <c r="G7" s="10"/>
      <c r="H7" s="10" t="s">
        <v>10</v>
      </c>
      <c r="I7" s="10"/>
      <c r="J7" s="10" t="s">
        <v>10</v>
      </c>
      <c r="K7" s="10"/>
    </row>
    <row r="9" spans="1:12" ht="24" customHeight="1" x14ac:dyDescent="0.3">
      <c r="A9" s="12" t="s">
        <v>11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 ht="18" customHeight="1" x14ac:dyDescent="0.3">
      <c r="A10" s="9" t="s">
        <v>12</v>
      </c>
      <c r="B10" s="9"/>
      <c r="C10" s="9"/>
      <c r="D10" s="9" t="s">
        <v>13</v>
      </c>
      <c r="E10" s="9"/>
      <c r="F10" s="9"/>
      <c r="G10" s="9" t="s">
        <v>14</v>
      </c>
      <c r="H10" s="9"/>
      <c r="I10" s="9"/>
      <c r="J10" s="9" t="s">
        <v>15</v>
      </c>
      <c r="K10" s="9"/>
      <c r="L10" s="9"/>
    </row>
    <row r="11" spans="1:12" ht="30" customHeight="1" x14ac:dyDescent="0.4">
      <c r="A11" s="8">
        <f>SUMPRODUCT(Dashboard_Data!$I$2:$I$1288,Dashboard_Data!$G$2:$G$1288)</f>
        <v>93303189.599999949</v>
      </c>
      <c r="B11" s="8"/>
      <c r="C11" s="8"/>
      <c r="D11" s="8">
        <f>SUMPRODUCT(Dashboard_Data!$I$2:$I$1288,Dashboard_Data!$H$2:$H$1288)</f>
        <v>18660578.10999997</v>
      </c>
      <c r="E11" s="8"/>
      <c r="F11" s="8"/>
      <c r="G11" s="7">
        <f>SUM(Dashboard_Data!$I$2:$I$1288)</f>
        <v>1287</v>
      </c>
      <c r="H11" s="7"/>
      <c r="I11" s="7"/>
      <c r="J11" s="8">
        <f>IFERROR(SUMPRODUCT(Dashboard_Data!$I$2:$I$1288,Dashboard_Data!$G$2:$G$1288)/SUM(Dashboard_Data!$I$2:$I$1288),0)</f>
        <v>72496.650815850779</v>
      </c>
      <c r="K11" s="8"/>
      <c r="L11" s="8"/>
    </row>
    <row r="13" spans="1:12" ht="24" customHeight="1" x14ac:dyDescent="0.3">
      <c r="A13" s="12" t="s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49" spans="1:12" x14ac:dyDescent="0.3">
      <c r="A49" s="6" t="s">
        <v>17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</sheetData>
  <mergeCells count="24">
    <mergeCell ref="A49:L49"/>
    <mergeCell ref="A11:C11"/>
    <mergeCell ref="D11:F11"/>
    <mergeCell ref="G11:I11"/>
    <mergeCell ref="J11:L11"/>
    <mergeCell ref="A13:L13"/>
    <mergeCell ref="A9:L9"/>
    <mergeCell ref="A10:C10"/>
    <mergeCell ref="D10:F10"/>
    <mergeCell ref="G10:I10"/>
    <mergeCell ref="J10:L10"/>
    <mergeCell ref="B7:C7"/>
    <mergeCell ref="D7:E7"/>
    <mergeCell ref="F7:G7"/>
    <mergeCell ref="H7:I7"/>
    <mergeCell ref="J7:K7"/>
    <mergeCell ref="A1:L2"/>
    <mergeCell ref="A3:L3"/>
    <mergeCell ref="A5:L5"/>
    <mergeCell ref="B6:C6"/>
    <mergeCell ref="D6:E6"/>
    <mergeCell ref="F6:G6"/>
    <mergeCell ref="H6:I6"/>
    <mergeCell ref="J6:K6"/>
  </mergeCells>
  <dataValidations count="4">
    <dataValidation type="list" sqref="B7 D7" xr:uid="{00000000-0002-0000-0000-000000000000}">
      <formula1>"2025-01,2025-02,2025-03,2025-04,2025-05,2025-06,2025-07,2025-08,2025-09,2025-10,2025-11,2025-12"</formula1>
      <formula2>0</formula2>
    </dataValidation>
    <dataValidation type="list" sqref="F7" xr:uid="{00000000-0002-0000-0000-000001000000}">
      <formula1>"All,Bangalore,Delhi,Hyderabad,Mumbai,Pune"</formula1>
      <formula2>0</formula2>
    </dataValidation>
    <dataValidation type="list" sqref="H7" xr:uid="{00000000-0002-0000-0000-000002000000}">
      <formula1>"All,Clothing,Electronics,Furniture"</formula1>
      <formula2>0</formula2>
    </dataValidation>
    <dataValidation type="list" sqref="J7" xr:uid="{00000000-0002-0000-0000-000003000000}">
      <formula1>"All,Ajay,Pooja,Rahul,Sneha"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88"/>
  <sheetViews>
    <sheetView tabSelected="1" zoomScaleNormal="100" workbookViewId="0">
      <selection activeCell="N10" sqref="N10"/>
    </sheetView>
  </sheetViews>
  <sheetFormatPr defaultColWidth="8.5546875" defaultRowHeight="14.4" x14ac:dyDescent="0.3"/>
  <cols>
    <col min="1" max="1" width="8.109375" customWidth="1"/>
    <col min="2" max="2" width="10.33203125" customWidth="1"/>
    <col min="3" max="3" width="14.6640625" customWidth="1"/>
    <col min="4" max="4" width="9.77734375" customWidth="1"/>
    <col min="5" max="5" width="6.44140625" customWidth="1"/>
    <col min="6" max="6" width="15.33203125" customWidth="1"/>
    <col min="7" max="7" width="13.109375" customWidth="1"/>
    <col min="8" max="8" width="9.21875" customWidth="1"/>
    <col min="9" max="9" width="9.33203125" customWidth="1"/>
    <col min="10" max="10" width="9.21875" customWidth="1"/>
    <col min="11" max="11" width="10" customWidth="1"/>
    <col min="12" max="12" width="14.88671875" customWidth="1"/>
    <col min="13" max="13" width="10.44140625" customWidth="1"/>
    <col min="14" max="14" width="9" customWidth="1"/>
  </cols>
  <sheetData>
    <row r="1" spans="1:14" ht="14.25" customHeight="1" x14ac:dyDescent="0.3">
      <c r="A1" t="s">
        <v>18</v>
      </c>
      <c r="B1" t="s">
        <v>19</v>
      </c>
      <c r="C1" t="s">
        <v>20</v>
      </c>
      <c r="D1" t="s">
        <v>5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</row>
    <row r="2" spans="1:14" ht="14.25" customHeight="1" x14ac:dyDescent="0.3">
      <c r="A2">
        <v>1001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>
        <v>4</v>
      </c>
      <c r="J2">
        <v>20401</v>
      </c>
      <c r="K2">
        <v>73443.600000000006</v>
      </c>
      <c r="L2" t="s">
        <v>38</v>
      </c>
      <c r="M2">
        <v>10</v>
      </c>
      <c r="N2">
        <v>21019.15</v>
      </c>
    </row>
    <row r="3" spans="1:14" ht="14.25" customHeight="1" x14ac:dyDescent="0.3">
      <c r="A3">
        <v>1002</v>
      </c>
      <c r="B3" t="s">
        <v>31</v>
      </c>
      <c r="C3" t="s">
        <v>39</v>
      </c>
      <c r="D3" t="s">
        <v>40</v>
      </c>
      <c r="E3" t="s">
        <v>41</v>
      </c>
      <c r="F3" t="s">
        <v>35</v>
      </c>
      <c r="G3" t="s">
        <v>36</v>
      </c>
      <c r="H3" t="s">
        <v>42</v>
      </c>
      <c r="I3">
        <v>4</v>
      </c>
      <c r="J3">
        <v>17480</v>
      </c>
      <c r="K3">
        <v>66424</v>
      </c>
      <c r="L3" t="s">
        <v>43</v>
      </c>
      <c r="M3">
        <v>5</v>
      </c>
      <c r="N3">
        <v>15368.62</v>
      </c>
    </row>
    <row r="4" spans="1:14" ht="14.25" customHeight="1" x14ac:dyDescent="0.3">
      <c r="A4">
        <v>1003</v>
      </c>
      <c r="B4" t="s">
        <v>31</v>
      </c>
      <c r="C4" t="s">
        <v>44</v>
      </c>
      <c r="D4" t="s">
        <v>33</v>
      </c>
      <c r="E4" t="s">
        <v>34</v>
      </c>
      <c r="F4" t="s">
        <v>45</v>
      </c>
      <c r="G4" t="s">
        <v>46</v>
      </c>
      <c r="H4" t="s">
        <v>47</v>
      </c>
      <c r="I4">
        <v>1</v>
      </c>
      <c r="J4">
        <v>20603</v>
      </c>
      <c r="K4">
        <v>18542.7</v>
      </c>
      <c r="L4" t="s">
        <v>48</v>
      </c>
      <c r="M4">
        <v>10</v>
      </c>
      <c r="N4">
        <v>3595.24</v>
      </c>
    </row>
    <row r="5" spans="1:14" ht="14.25" customHeight="1" x14ac:dyDescent="0.3">
      <c r="A5">
        <v>1004</v>
      </c>
      <c r="B5" t="s">
        <v>49</v>
      </c>
      <c r="C5" t="s">
        <v>50</v>
      </c>
      <c r="D5" t="s">
        <v>33</v>
      </c>
      <c r="E5" t="s">
        <v>34</v>
      </c>
      <c r="F5" t="s">
        <v>51</v>
      </c>
      <c r="G5" t="s">
        <v>52</v>
      </c>
      <c r="H5" t="s">
        <v>47</v>
      </c>
      <c r="I5">
        <v>2</v>
      </c>
      <c r="J5">
        <v>35787</v>
      </c>
      <c r="K5">
        <v>71574</v>
      </c>
      <c r="L5" t="s">
        <v>48</v>
      </c>
      <c r="M5">
        <v>0</v>
      </c>
      <c r="N5">
        <v>10999.85</v>
      </c>
    </row>
    <row r="6" spans="1:14" ht="14.25" customHeight="1" x14ac:dyDescent="0.3">
      <c r="A6">
        <v>1005</v>
      </c>
      <c r="B6" t="s">
        <v>49</v>
      </c>
      <c r="C6" t="s">
        <v>39</v>
      </c>
      <c r="D6" t="s">
        <v>53</v>
      </c>
      <c r="E6" t="s">
        <v>54</v>
      </c>
      <c r="F6" t="s">
        <v>45</v>
      </c>
      <c r="G6" t="s">
        <v>46</v>
      </c>
      <c r="H6" t="s">
        <v>55</v>
      </c>
      <c r="I6">
        <v>5</v>
      </c>
      <c r="J6">
        <v>41396</v>
      </c>
      <c r="K6">
        <v>206980</v>
      </c>
      <c r="L6" t="s">
        <v>43</v>
      </c>
      <c r="M6">
        <v>0</v>
      </c>
      <c r="N6">
        <v>34168.81</v>
      </c>
    </row>
    <row r="7" spans="1:14" ht="14.25" customHeight="1" x14ac:dyDescent="0.3">
      <c r="A7">
        <v>1006</v>
      </c>
      <c r="B7" t="s">
        <v>56</v>
      </c>
      <c r="C7" t="s">
        <v>50</v>
      </c>
      <c r="D7" t="s">
        <v>33</v>
      </c>
      <c r="E7" t="s">
        <v>34</v>
      </c>
      <c r="F7" t="s">
        <v>45</v>
      </c>
      <c r="G7" t="s">
        <v>57</v>
      </c>
      <c r="H7" t="s">
        <v>42</v>
      </c>
      <c r="I7">
        <v>5</v>
      </c>
      <c r="J7">
        <v>31592</v>
      </c>
      <c r="K7">
        <v>157960</v>
      </c>
      <c r="L7" t="s">
        <v>48</v>
      </c>
      <c r="M7">
        <v>0</v>
      </c>
      <c r="N7">
        <v>21390.53</v>
      </c>
    </row>
    <row r="8" spans="1:14" ht="14.25" customHeight="1" x14ac:dyDescent="0.3">
      <c r="A8">
        <v>1007</v>
      </c>
      <c r="B8" t="s">
        <v>56</v>
      </c>
      <c r="C8" t="s">
        <v>32</v>
      </c>
      <c r="D8" t="s">
        <v>58</v>
      </c>
      <c r="E8" t="s">
        <v>54</v>
      </c>
      <c r="F8" t="s">
        <v>35</v>
      </c>
      <c r="G8" t="s">
        <v>36</v>
      </c>
      <c r="H8" t="s">
        <v>47</v>
      </c>
      <c r="I8">
        <v>3</v>
      </c>
      <c r="J8">
        <v>37915</v>
      </c>
      <c r="K8">
        <v>113745</v>
      </c>
      <c r="L8" t="s">
        <v>43</v>
      </c>
      <c r="M8">
        <v>0</v>
      </c>
      <c r="N8">
        <v>30022.959999999999</v>
      </c>
    </row>
    <row r="9" spans="1:14" ht="14.25" customHeight="1" x14ac:dyDescent="0.3">
      <c r="A9">
        <v>1008</v>
      </c>
      <c r="B9" t="s">
        <v>59</v>
      </c>
      <c r="C9" t="s">
        <v>60</v>
      </c>
      <c r="D9" t="s">
        <v>53</v>
      </c>
      <c r="E9" t="s">
        <v>54</v>
      </c>
      <c r="F9" t="s">
        <v>35</v>
      </c>
      <c r="G9" t="s">
        <v>36</v>
      </c>
      <c r="H9" t="s">
        <v>47</v>
      </c>
      <c r="I9">
        <v>1</v>
      </c>
      <c r="J9">
        <v>38859</v>
      </c>
      <c r="K9">
        <v>36916.050000000003</v>
      </c>
      <c r="L9" t="s">
        <v>61</v>
      </c>
      <c r="M9">
        <v>5</v>
      </c>
      <c r="N9">
        <v>6036.85</v>
      </c>
    </row>
    <row r="10" spans="1:14" ht="14.25" customHeight="1" x14ac:dyDescent="0.3">
      <c r="A10">
        <v>1009</v>
      </c>
      <c r="B10" t="s">
        <v>59</v>
      </c>
      <c r="C10" t="s">
        <v>44</v>
      </c>
      <c r="D10" t="s">
        <v>53</v>
      </c>
      <c r="E10" t="s">
        <v>54</v>
      </c>
      <c r="F10" t="s">
        <v>51</v>
      </c>
      <c r="G10" t="s">
        <v>62</v>
      </c>
      <c r="H10" t="s">
        <v>37</v>
      </c>
      <c r="I10">
        <v>3</v>
      </c>
      <c r="J10">
        <v>26304</v>
      </c>
      <c r="K10">
        <v>71020.800000000003</v>
      </c>
      <c r="L10" t="s">
        <v>61</v>
      </c>
      <c r="M10">
        <v>10</v>
      </c>
      <c r="N10">
        <v>8473.11</v>
      </c>
    </row>
    <row r="11" spans="1:14" ht="14.25" customHeight="1" x14ac:dyDescent="0.3">
      <c r="A11">
        <v>1010</v>
      </c>
      <c r="B11" t="s">
        <v>59</v>
      </c>
      <c r="C11" t="s">
        <v>39</v>
      </c>
      <c r="D11" t="s">
        <v>53</v>
      </c>
      <c r="E11" t="s">
        <v>54</v>
      </c>
      <c r="F11" t="s">
        <v>51</v>
      </c>
      <c r="G11" t="s">
        <v>63</v>
      </c>
      <c r="H11" t="s">
        <v>47</v>
      </c>
      <c r="I11">
        <v>5</v>
      </c>
      <c r="J11">
        <v>15994</v>
      </c>
      <c r="K11">
        <v>67974.5</v>
      </c>
      <c r="L11" t="s">
        <v>48</v>
      </c>
      <c r="M11">
        <v>15</v>
      </c>
      <c r="N11">
        <v>12850.43</v>
      </c>
    </row>
    <row r="12" spans="1:14" ht="14.25" customHeight="1" x14ac:dyDescent="0.3">
      <c r="A12">
        <v>1011</v>
      </c>
      <c r="B12" t="s">
        <v>64</v>
      </c>
      <c r="C12" t="s">
        <v>32</v>
      </c>
      <c r="D12" t="s">
        <v>53</v>
      </c>
      <c r="E12" t="s">
        <v>54</v>
      </c>
      <c r="F12" t="s">
        <v>35</v>
      </c>
      <c r="G12" t="s">
        <v>36</v>
      </c>
      <c r="H12" t="s">
        <v>42</v>
      </c>
      <c r="I12">
        <v>3</v>
      </c>
      <c r="J12">
        <v>20557</v>
      </c>
      <c r="K12">
        <v>58587.45</v>
      </c>
      <c r="L12" t="s">
        <v>48</v>
      </c>
      <c r="M12">
        <v>5</v>
      </c>
      <c r="N12">
        <v>6595.92</v>
      </c>
    </row>
    <row r="13" spans="1:14" ht="14.25" customHeight="1" x14ac:dyDescent="0.3">
      <c r="A13">
        <v>1012</v>
      </c>
      <c r="B13" t="s">
        <v>64</v>
      </c>
      <c r="C13" t="s">
        <v>50</v>
      </c>
      <c r="D13" t="s">
        <v>33</v>
      </c>
      <c r="E13" t="s">
        <v>34</v>
      </c>
      <c r="F13" t="s">
        <v>35</v>
      </c>
      <c r="G13" t="s">
        <v>65</v>
      </c>
      <c r="H13" t="s">
        <v>42</v>
      </c>
      <c r="I13">
        <v>1</v>
      </c>
      <c r="J13">
        <v>1926</v>
      </c>
      <c r="K13">
        <v>1829.7</v>
      </c>
      <c r="L13" t="s">
        <v>38</v>
      </c>
      <c r="M13">
        <v>5</v>
      </c>
      <c r="N13">
        <v>199.21</v>
      </c>
    </row>
    <row r="14" spans="1:14" ht="14.25" customHeight="1" x14ac:dyDescent="0.3">
      <c r="A14">
        <v>1013</v>
      </c>
      <c r="B14" t="s">
        <v>64</v>
      </c>
      <c r="C14" t="s">
        <v>32</v>
      </c>
      <c r="D14" t="s">
        <v>66</v>
      </c>
      <c r="E14" t="s">
        <v>34</v>
      </c>
      <c r="F14" t="s">
        <v>35</v>
      </c>
      <c r="G14" t="s">
        <v>67</v>
      </c>
      <c r="H14" t="s">
        <v>55</v>
      </c>
      <c r="I14">
        <v>4</v>
      </c>
      <c r="J14">
        <v>21124</v>
      </c>
      <c r="K14">
        <v>80271.199999999997</v>
      </c>
      <c r="L14" t="s">
        <v>43</v>
      </c>
      <c r="M14">
        <v>5</v>
      </c>
      <c r="N14">
        <v>15340.73</v>
      </c>
    </row>
    <row r="15" spans="1:14" ht="14.25" customHeight="1" x14ac:dyDescent="0.3">
      <c r="A15">
        <v>1014</v>
      </c>
      <c r="B15" t="s">
        <v>64</v>
      </c>
      <c r="C15" t="s">
        <v>60</v>
      </c>
      <c r="D15" t="s">
        <v>53</v>
      </c>
      <c r="E15" t="s">
        <v>54</v>
      </c>
      <c r="F15" t="s">
        <v>45</v>
      </c>
      <c r="G15" t="s">
        <v>46</v>
      </c>
      <c r="H15" t="s">
        <v>37</v>
      </c>
      <c r="I15">
        <v>4</v>
      </c>
      <c r="J15">
        <v>35983</v>
      </c>
      <c r="K15">
        <v>129538.8</v>
      </c>
      <c r="L15" t="s">
        <v>38</v>
      </c>
      <c r="M15">
        <v>10</v>
      </c>
      <c r="N15">
        <v>21019.95</v>
      </c>
    </row>
    <row r="16" spans="1:14" ht="14.25" customHeight="1" x14ac:dyDescent="0.3">
      <c r="A16">
        <v>1015</v>
      </c>
      <c r="B16" t="s">
        <v>68</v>
      </c>
      <c r="C16" t="s">
        <v>50</v>
      </c>
      <c r="D16" t="s">
        <v>53</v>
      </c>
      <c r="E16" t="s">
        <v>54</v>
      </c>
      <c r="F16" t="s">
        <v>35</v>
      </c>
      <c r="G16" t="s">
        <v>36</v>
      </c>
      <c r="H16" t="s">
        <v>42</v>
      </c>
      <c r="I16">
        <v>2</v>
      </c>
      <c r="J16">
        <v>41417</v>
      </c>
      <c r="K16">
        <v>82834</v>
      </c>
      <c r="L16" t="s">
        <v>38</v>
      </c>
      <c r="M16">
        <v>0</v>
      </c>
      <c r="N16">
        <v>13758.71</v>
      </c>
    </row>
    <row r="17" spans="1:14" ht="14.25" customHeight="1" x14ac:dyDescent="0.3">
      <c r="A17">
        <v>1016</v>
      </c>
      <c r="B17" t="s">
        <v>68</v>
      </c>
      <c r="C17" t="s">
        <v>44</v>
      </c>
      <c r="D17" t="s">
        <v>58</v>
      </c>
      <c r="E17" t="s">
        <v>54</v>
      </c>
      <c r="F17" t="s">
        <v>45</v>
      </c>
      <c r="G17" t="s">
        <v>69</v>
      </c>
      <c r="H17" t="s">
        <v>47</v>
      </c>
      <c r="I17">
        <v>1</v>
      </c>
      <c r="J17">
        <v>12194</v>
      </c>
      <c r="K17">
        <v>12194</v>
      </c>
      <c r="L17" t="s">
        <v>61</v>
      </c>
      <c r="M17">
        <v>0</v>
      </c>
      <c r="N17">
        <v>2550.4699999999998</v>
      </c>
    </row>
    <row r="18" spans="1:14" ht="14.25" customHeight="1" x14ac:dyDescent="0.3">
      <c r="A18">
        <v>1017</v>
      </c>
      <c r="B18" t="s">
        <v>68</v>
      </c>
      <c r="C18" t="s">
        <v>60</v>
      </c>
      <c r="D18" t="s">
        <v>40</v>
      </c>
      <c r="E18" t="s">
        <v>41</v>
      </c>
      <c r="F18" t="s">
        <v>51</v>
      </c>
      <c r="G18" t="s">
        <v>62</v>
      </c>
      <c r="H18" t="s">
        <v>37</v>
      </c>
      <c r="I18">
        <v>5</v>
      </c>
      <c r="J18">
        <v>31519</v>
      </c>
      <c r="K18">
        <v>141835.5</v>
      </c>
      <c r="L18" t="s">
        <v>38</v>
      </c>
      <c r="M18">
        <v>10</v>
      </c>
      <c r="N18">
        <v>21722.95</v>
      </c>
    </row>
    <row r="19" spans="1:14" ht="14.25" customHeight="1" x14ac:dyDescent="0.3">
      <c r="A19">
        <v>1018</v>
      </c>
      <c r="B19" t="s">
        <v>68</v>
      </c>
      <c r="C19" t="s">
        <v>39</v>
      </c>
      <c r="D19" t="s">
        <v>40</v>
      </c>
      <c r="E19" t="s">
        <v>41</v>
      </c>
      <c r="F19" t="s">
        <v>45</v>
      </c>
      <c r="G19" t="s">
        <v>69</v>
      </c>
      <c r="H19" t="s">
        <v>47</v>
      </c>
      <c r="I19">
        <v>5</v>
      </c>
      <c r="J19">
        <v>8468</v>
      </c>
      <c r="K19">
        <v>42340</v>
      </c>
      <c r="L19" t="s">
        <v>43</v>
      </c>
      <c r="M19">
        <v>0</v>
      </c>
      <c r="N19">
        <v>5531.83</v>
      </c>
    </row>
    <row r="20" spans="1:14" ht="14.25" customHeight="1" x14ac:dyDescent="0.3">
      <c r="A20">
        <v>1019</v>
      </c>
      <c r="B20" t="s">
        <v>68</v>
      </c>
      <c r="C20" t="s">
        <v>32</v>
      </c>
      <c r="D20" t="s">
        <v>33</v>
      </c>
      <c r="E20" t="s">
        <v>34</v>
      </c>
      <c r="F20" t="s">
        <v>45</v>
      </c>
      <c r="G20" t="s">
        <v>46</v>
      </c>
      <c r="H20" t="s">
        <v>47</v>
      </c>
      <c r="I20">
        <v>2</v>
      </c>
      <c r="J20">
        <v>4252</v>
      </c>
      <c r="K20">
        <v>8504</v>
      </c>
      <c r="L20" t="s">
        <v>38</v>
      </c>
      <c r="M20">
        <v>0</v>
      </c>
      <c r="N20">
        <v>1015.88</v>
      </c>
    </row>
    <row r="21" spans="1:14" ht="14.25" customHeight="1" x14ac:dyDescent="0.3">
      <c r="A21">
        <v>1020</v>
      </c>
      <c r="B21" t="s">
        <v>70</v>
      </c>
      <c r="C21" t="s">
        <v>60</v>
      </c>
      <c r="D21" t="s">
        <v>53</v>
      </c>
      <c r="E21" t="s">
        <v>54</v>
      </c>
      <c r="F21" t="s">
        <v>45</v>
      </c>
      <c r="G21" t="s">
        <v>46</v>
      </c>
      <c r="H21" t="s">
        <v>55</v>
      </c>
      <c r="I21">
        <v>3</v>
      </c>
      <c r="J21">
        <v>7401</v>
      </c>
      <c r="K21">
        <v>21092.85</v>
      </c>
      <c r="L21" t="s">
        <v>61</v>
      </c>
      <c r="M21">
        <v>5</v>
      </c>
      <c r="N21">
        <v>3948.81</v>
      </c>
    </row>
    <row r="22" spans="1:14" ht="14.25" customHeight="1" x14ac:dyDescent="0.3">
      <c r="A22">
        <v>1021</v>
      </c>
      <c r="B22" t="s">
        <v>70</v>
      </c>
      <c r="C22" t="s">
        <v>32</v>
      </c>
      <c r="D22" t="s">
        <v>53</v>
      </c>
      <c r="E22" t="s">
        <v>54</v>
      </c>
      <c r="F22" t="s">
        <v>45</v>
      </c>
      <c r="G22" t="s">
        <v>46</v>
      </c>
      <c r="H22" t="s">
        <v>47</v>
      </c>
      <c r="I22">
        <v>5</v>
      </c>
      <c r="J22">
        <v>27235</v>
      </c>
      <c r="K22">
        <v>122557.5</v>
      </c>
      <c r="L22" t="s">
        <v>48</v>
      </c>
      <c r="M22">
        <v>10</v>
      </c>
      <c r="N22">
        <v>22166.05</v>
      </c>
    </row>
    <row r="23" spans="1:14" ht="14.25" customHeight="1" x14ac:dyDescent="0.3">
      <c r="A23">
        <v>1022</v>
      </c>
      <c r="B23" t="s">
        <v>70</v>
      </c>
      <c r="C23" t="s">
        <v>39</v>
      </c>
      <c r="D23" t="s">
        <v>33</v>
      </c>
      <c r="E23" t="s">
        <v>34</v>
      </c>
      <c r="F23" t="s">
        <v>51</v>
      </c>
      <c r="G23" t="s">
        <v>63</v>
      </c>
      <c r="H23" t="s">
        <v>42</v>
      </c>
      <c r="I23">
        <v>3</v>
      </c>
      <c r="J23">
        <v>29600</v>
      </c>
      <c r="K23">
        <v>84360</v>
      </c>
      <c r="L23" t="s">
        <v>48</v>
      </c>
      <c r="M23">
        <v>5</v>
      </c>
      <c r="N23">
        <v>18150.330000000002</v>
      </c>
    </row>
    <row r="24" spans="1:14" ht="14.25" customHeight="1" x14ac:dyDescent="0.3">
      <c r="A24">
        <v>1023</v>
      </c>
      <c r="B24" t="s">
        <v>71</v>
      </c>
      <c r="C24" t="s">
        <v>44</v>
      </c>
      <c r="D24" t="s">
        <v>58</v>
      </c>
      <c r="E24" t="s">
        <v>54</v>
      </c>
      <c r="F24" t="s">
        <v>45</v>
      </c>
      <c r="G24" t="s">
        <v>46</v>
      </c>
      <c r="H24" t="s">
        <v>37</v>
      </c>
      <c r="I24">
        <v>4</v>
      </c>
      <c r="J24">
        <v>3674</v>
      </c>
      <c r="K24">
        <v>12491.6</v>
      </c>
      <c r="L24" t="s">
        <v>38</v>
      </c>
      <c r="M24">
        <v>15</v>
      </c>
      <c r="N24">
        <v>2919.66</v>
      </c>
    </row>
    <row r="25" spans="1:14" ht="14.25" customHeight="1" x14ac:dyDescent="0.3">
      <c r="A25">
        <v>1024</v>
      </c>
      <c r="B25" t="s">
        <v>71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42</v>
      </c>
      <c r="I25">
        <v>1</v>
      </c>
      <c r="J25">
        <v>43622</v>
      </c>
      <c r="K25">
        <v>41440.9</v>
      </c>
      <c r="L25" t="s">
        <v>48</v>
      </c>
      <c r="M25">
        <v>5</v>
      </c>
      <c r="N25">
        <v>4574.51</v>
      </c>
    </row>
    <row r="26" spans="1:14" ht="14.25" customHeight="1" x14ac:dyDescent="0.3">
      <c r="A26">
        <v>1025</v>
      </c>
      <c r="B26" t="s">
        <v>71</v>
      </c>
      <c r="C26" t="s">
        <v>50</v>
      </c>
      <c r="D26" t="s">
        <v>53</v>
      </c>
      <c r="E26" t="s">
        <v>54</v>
      </c>
      <c r="F26" t="s">
        <v>51</v>
      </c>
      <c r="G26" t="s">
        <v>52</v>
      </c>
      <c r="H26" t="s">
        <v>47</v>
      </c>
      <c r="I26">
        <v>4</v>
      </c>
      <c r="J26">
        <v>21019</v>
      </c>
      <c r="K26">
        <v>79872.2</v>
      </c>
      <c r="L26" t="s">
        <v>61</v>
      </c>
      <c r="M26">
        <v>5</v>
      </c>
      <c r="N26">
        <v>13347.19</v>
      </c>
    </row>
    <row r="27" spans="1:14" ht="14.25" customHeight="1" x14ac:dyDescent="0.3">
      <c r="A27">
        <v>1026</v>
      </c>
      <c r="B27" t="s">
        <v>72</v>
      </c>
      <c r="C27" t="s">
        <v>60</v>
      </c>
      <c r="D27" t="s">
        <v>66</v>
      </c>
      <c r="E27" t="s">
        <v>34</v>
      </c>
      <c r="F27" t="s">
        <v>35</v>
      </c>
      <c r="G27" t="s">
        <v>36</v>
      </c>
      <c r="H27" t="s">
        <v>37</v>
      </c>
      <c r="I27">
        <v>5</v>
      </c>
      <c r="J27">
        <v>5346</v>
      </c>
      <c r="K27">
        <v>22720.5</v>
      </c>
      <c r="L27" t="s">
        <v>38</v>
      </c>
      <c r="M27">
        <v>15</v>
      </c>
      <c r="N27">
        <v>2603.14</v>
      </c>
    </row>
    <row r="28" spans="1:14" ht="14.25" customHeight="1" x14ac:dyDescent="0.3">
      <c r="A28">
        <v>1027</v>
      </c>
      <c r="B28" t="s">
        <v>72</v>
      </c>
      <c r="C28" t="s">
        <v>44</v>
      </c>
      <c r="D28" t="s">
        <v>40</v>
      </c>
      <c r="E28" t="s">
        <v>41</v>
      </c>
      <c r="F28" t="s">
        <v>51</v>
      </c>
      <c r="G28" t="s">
        <v>63</v>
      </c>
      <c r="H28" t="s">
        <v>37</v>
      </c>
      <c r="I28">
        <v>1</v>
      </c>
      <c r="J28">
        <v>38705</v>
      </c>
      <c r="K28">
        <v>36769.75</v>
      </c>
      <c r="L28" t="s">
        <v>38</v>
      </c>
      <c r="M28">
        <v>5</v>
      </c>
      <c r="N28">
        <v>8869.92</v>
      </c>
    </row>
    <row r="29" spans="1:14" ht="14.25" customHeight="1" x14ac:dyDescent="0.3">
      <c r="A29">
        <v>1028</v>
      </c>
      <c r="B29" t="s">
        <v>72</v>
      </c>
      <c r="C29" t="s">
        <v>32</v>
      </c>
      <c r="D29" t="s">
        <v>58</v>
      </c>
      <c r="E29" t="s">
        <v>54</v>
      </c>
      <c r="F29" t="s">
        <v>45</v>
      </c>
      <c r="G29" t="s">
        <v>69</v>
      </c>
      <c r="H29" t="s">
        <v>47</v>
      </c>
      <c r="I29">
        <v>5</v>
      </c>
      <c r="J29">
        <v>9311</v>
      </c>
      <c r="K29">
        <v>41899.5</v>
      </c>
      <c r="L29" t="s">
        <v>38</v>
      </c>
      <c r="M29">
        <v>10</v>
      </c>
      <c r="N29">
        <v>4666.68</v>
      </c>
    </row>
    <row r="30" spans="1:14" ht="14.25" customHeight="1" x14ac:dyDescent="0.3">
      <c r="A30">
        <v>1029</v>
      </c>
      <c r="B30" t="s">
        <v>72</v>
      </c>
      <c r="C30" t="s">
        <v>32</v>
      </c>
      <c r="D30" t="s">
        <v>53</v>
      </c>
      <c r="E30" t="s">
        <v>54</v>
      </c>
      <c r="F30" t="s">
        <v>45</v>
      </c>
      <c r="G30" t="s">
        <v>46</v>
      </c>
      <c r="H30" t="s">
        <v>47</v>
      </c>
      <c r="I30">
        <v>2</v>
      </c>
      <c r="J30">
        <v>30398</v>
      </c>
      <c r="K30">
        <v>54716.4</v>
      </c>
      <c r="L30" t="s">
        <v>43</v>
      </c>
      <c r="M30">
        <v>10</v>
      </c>
      <c r="N30">
        <v>12834.94</v>
      </c>
    </row>
    <row r="31" spans="1:14" ht="14.25" customHeight="1" x14ac:dyDescent="0.3">
      <c r="A31">
        <v>1030</v>
      </c>
      <c r="B31" t="s">
        <v>72</v>
      </c>
      <c r="C31" t="s">
        <v>39</v>
      </c>
      <c r="D31" t="s">
        <v>40</v>
      </c>
      <c r="E31" t="s">
        <v>41</v>
      </c>
      <c r="F31" t="s">
        <v>35</v>
      </c>
      <c r="G31" t="s">
        <v>67</v>
      </c>
      <c r="H31" t="s">
        <v>42</v>
      </c>
      <c r="I31">
        <v>3</v>
      </c>
      <c r="J31">
        <v>48575</v>
      </c>
      <c r="K31">
        <v>131152.5</v>
      </c>
      <c r="L31" t="s">
        <v>38</v>
      </c>
      <c r="M31">
        <v>10</v>
      </c>
      <c r="N31">
        <v>13842.6</v>
      </c>
    </row>
    <row r="32" spans="1:14" ht="14.25" customHeight="1" x14ac:dyDescent="0.3">
      <c r="A32">
        <v>1031</v>
      </c>
      <c r="B32" t="s">
        <v>73</v>
      </c>
      <c r="C32" t="s">
        <v>60</v>
      </c>
      <c r="D32" t="s">
        <v>53</v>
      </c>
      <c r="E32" t="s">
        <v>54</v>
      </c>
      <c r="F32" t="s">
        <v>35</v>
      </c>
      <c r="G32" t="s">
        <v>67</v>
      </c>
      <c r="H32" t="s">
        <v>42</v>
      </c>
      <c r="I32">
        <v>1</v>
      </c>
      <c r="J32">
        <v>14666</v>
      </c>
      <c r="K32">
        <v>14666</v>
      </c>
      <c r="L32" t="s">
        <v>43</v>
      </c>
      <c r="M32">
        <v>0</v>
      </c>
      <c r="N32">
        <v>2772.92</v>
      </c>
    </row>
    <row r="33" spans="1:14" ht="14.25" customHeight="1" x14ac:dyDescent="0.3">
      <c r="A33">
        <v>1032</v>
      </c>
      <c r="B33" t="s">
        <v>73</v>
      </c>
      <c r="C33" t="s">
        <v>39</v>
      </c>
      <c r="D33" t="s">
        <v>58</v>
      </c>
      <c r="E33" t="s">
        <v>54</v>
      </c>
      <c r="F33" t="s">
        <v>35</v>
      </c>
      <c r="G33" t="s">
        <v>67</v>
      </c>
      <c r="H33" t="s">
        <v>42</v>
      </c>
      <c r="I33">
        <v>4</v>
      </c>
      <c r="J33">
        <v>23433</v>
      </c>
      <c r="K33">
        <v>93732</v>
      </c>
      <c r="L33" t="s">
        <v>38</v>
      </c>
      <c r="M33">
        <v>0</v>
      </c>
      <c r="N33">
        <v>26963.14</v>
      </c>
    </row>
    <row r="34" spans="1:14" ht="14.25" customHeight="1" x14ac:dyDescent="0.3">
      <c r="A34">
        <v>1033</v>
      </c>
      <c r="B34" t="s">
        <v>73</v>
      </c>
      <c r="C34" t="s">
        <v>39</v>
      </c>
      <c r="D34" t="s">
        <v>33</v>
      </c>
      <c r="E34" t="s">
        <v>34</v>
      </c>
      <c r="F34" t="s">
        <v>51</v>
      </c>
      <c r="G34" t="s">
        <v>63</v>
      </c>
      <c r="H34" t="s">
        <v>55</v>
      </c>
      <c r="I34">
        <v>4</v>
      </c>
      <c r="J34">
        <v>38131</v>
      </c>
      <c r="K34">
        <v>137271.6</v>
      </c>
      <c r="L34" t="s">
        <v>38</v>
      </c>
      <c r="M34">
        <v>10</v>
      </c>
      <c r="N34">
        <v>33440.870000000003</v>
      </c>
    </row>
    <row r="35" spans="1:14" ht="14.25" customHeight="1" x14ac:dyDescent="0.3">
      <c r="A35">
        <v>1034</v>
      </c>
      <c r="B35" t="s">
        <v>73</v>
      </c>
      <c r="C35" t="s">
        <v>50</v>
      </c>
      <c r="D35" t="s">
        <v>53</v>
      </c>
      <c r="E35" t="s">
        <v>54</v>
      </c>
      <c r="F35" t="s">
        <v>51</v>
      </c>
      <c r="G35" t="s">
        <v>62</v>
      </c>
      <c r="H35" t="s">
        <v>42</v>
      </c>
      <c r="I35">
        <v>3</v>
      </c>
      <c r="J35">
        <v>5046</v>
      </c>
      <c r="K35">
        <v>15138</v>
      </c>
      <c r="L35" t="s">
        <v>43</v>
      </c>
      <c r="M35">
        <v>0</v>
      </c>
      <c r="N35">
        <v>2248.4699999999998</v>
      </c>
    </row>
    <row r="36" spans="1:14" ht="14.25" customHeight="1" x14ac:dyDescent="0.3">
      <c r="A36">
        <v>1035</v>
      </c>
      <c r="B36" t="s">
        <v>74</v>
      </c>
      <c r="C36" t="s">
        <v>44</v>
      </c>
      <c r="D36" t="s">
        <v>66</v>
      </c>
      <c r="E36" t="s">
        <v>34</v>
      </c>
      <c r="F36" t="s">
        <v>35</v>
      </c>
      <c r="G36" t="s">
        <v>67</v>
      </c>
      <c r="H36" t="s">
        <v>55</v>
      </c>
      <c r="I36">
        <v>2</v>
      </c>
      <c r="J36">
        <v>1061</v>
      </c>
      <c r="K36">
        <v>1803.7</v>
      </c>
      <c r="L36" t="s">
        <v>38</v>
      </c>
      <c r="M36">
        <v>15</v>
      </c>
      <c r="N36">
        <v>395.46</v>
      </c>
    </row>
    <row r="37" spans="1:14" ht="14.25" customHeight="1" x14ac:dyDescent="0.3">
      <c r="A37">
        <v>1036</v>
      </c>
      <c r="B37" t="s">
        <v>74</v>
      </c>
      <c r="C37" t="s">
        <v>60</v>
      </c>
      <c r="D37" t="s">
        <v>53</v>
      </c>
      <c r="E37" t="s">
        <v>54</v>
      </c>
      <c r="F37" t="s">
        <v>45</v>
      </c>
      <c r="G37" t="s">
        <v>57</v>
      </c>
      <c r="H37" t="s">
        <v>55</v>
      </c>
      <c r="I37">
        <v>2</v>
      </c>
      <c r="J37">
        <v>25849</v>
      </c>
      <c r="K37">
        <v>46528.2</v>
      </c>
      <c r="L37" t="s">
        <v>38</v>
      </c>
      <c r="M37">
        <v>10</v>
      </c>
      <c r="N37">
        <v>10762.31</v>
      </c>
    </row>
    <row r="38" spans="1:14" ht="14.25" customHeight="1" x14ac:dyDescent="0.3">
      <c r="A38">
        <v>1037</v>
      </c>
      <c r="B38" t="s">
        <v>74</v>
      </c>
      <c r="C38" t="s">
        <v>39</v>
      </c>
      <c r="D38" t="s">
        <v>53</v>
      </c>
      <c r="E38" t="s">
        <v>54</v>
      </c>
      <c r="F38" t="s">
        <v>45</v>
      </c>
      <c r="G38" t="s">
        <v>69</v>
      </c>
      <c r="H38" t="s">
        <v>42</v>
      </c>
      <c r="I38">
        <v>5</v>
      </c>
      <c r="J38">
        <v>48380</v>
      </c>
      <c r="K38">
        <v>205615</v>
      </c>
      <c r="L38" t="s">
        <v>38</v>
      </c>
      <c r="M38">
        <v>15</v>
      </c>
      <c r="N38">
        <v>34507.800000000003</v>
      </c>
    </row>
    <row r="39" spans="1:14" ht="14.25" customHeight="1" x14ac:dyDescent="0.3">
      <c r="A39">
        <v>1038</v>
      </c>
      <c r="B39" t="s">
        <v>75</v>
      </c>
      <c r="C39" t="s">
        <v>60</v>
      </c>
      <c r="D39" t="s">
        <v>53</v>
      </c>
      <c r="E39" t="s">
        <v>54</v>
      </c>
      <c r="F39" t="s">
        <v>45</v>
      </c>
      <c r="G39" t="s">
        <v>46</v>
      </c>
      <c r="H39" t="s">
        <v>47</v>
      </c>
      <c r="I39">
        <v>2</v>
      </c>
      <c r="J39">
        <v>15320</v>
      </c>
      <c r="K39">
        <v>29108</v>
      </c>
      <c r="L39" t="s">
        <v>61</v>
      </c>
      <c r="M39">
        <v>5</v>
      </c>
      <c r="N39">
        <v>6701.95</v>
      </c>
    </row>
    <row r="40" spans="1:14" ht="14.25" customHeight="1" x14ac:dyDescent="0.3">
      <c r="A40">
        <v>1039</v>
      </c>
      <c r="B40" t="s">
        <v>75</v>
      </c>
      <c r="C40" t="s">
        <v>32</v>
      </c>
      <c r="D40" t="s">
        <v>40</v>
      </c>
      <c r="E40" t="s">
        <v>41</v>
      </c>
      <c r="F40" t="s">
        <v>35</v>
      </c>
      <c r="G40" t="s">
        <v>65</v>
      </c>
      <c r="H40" t="s">
        <v>42</v>
      </c>
      <c r="I40">
        <v>5</v>
      </c>
      <c r="J40">
        <v>42266</v>
      </c>
      <c r="K40">
        <v>190197</v>
      </c>
      <c r="L40" t="s">
        <v>61</v>
      </c>
      <c r="M40">
        <v>10</v>
      </c>
      <c r="N40">
        <v>25035.77</v>
      </c>
    </row>
    <row r="41" spans="1:14" ht="14.25" customHeight="1" x14ac:dyDescent="0.3">
      <c r="A41">
        <v>1040</v>
      </c>
      <c r="B41" t="s">
        <v>75</v>
      </c>
      <c r="C41" t="s">
        <v>32</v>
      </c>
      <c r="D41" t="s">
        <v>66</v>
      </c>
      <c r="E41" t="s">
        <v>34</v>
      </c>
      <c r="F41" t="s">
        <v>35</v>
      </c>
      <c r="G41" t="s">
        <v>67</v>
      </c>
      <c r="H41" t="s">
        <v>47</v>
      </c>
      <c r="I41">
        <v>5</v>
      </c>
      <c r="J41">
        <v>27759</v>
      </c>
      <c r="K41">
        <v>124915.5</v>
      </c>
      <c r="L41" t="s">
        <v>43</v>
      </c>
      <c r="M41">
        <v>10</v>
      </c>
      <c r="N41">
        <v>27202.65</v>
      </c>
    </row>
    <row r="42" spans="1:14" ht="14.25" customHeight="1" x14ac:dyDescent="0.3">
      <c r="A42">
        <v>1041</v>
      </c>
      <c r="B42" t="s">
        <v>76</v>
      </c>
      <c r="C42" t="s">
        <v>60</v>
      </c>
      <c r="D42" t="s">
        <v>58</v>
      </c>
      <c r="E42" t="s">
        <v>54</v>
      </c>
      <c r="F42" t="s">
        <v>45</v>
      </c>
      <c r="G42" t="s">
        <v>57</v>
      </c>
      <c r="H42" t="s">
        <v>55</v>
      </c>
      <c r="I42">
        <v>2</v>
      </c>
      <c r="J42">
        <v>21530</v>
      </c>
      <c r="K42">
        <v>43060</v>
      </c>
      <c r="L42" t="s">
        <v>48</v>
      </c>
      <c r="M42">
        <v>0</v>
      </c>
      <c r="N42">
        <v>6782.52</v>
      </c>
    </row>
    <row r="43" spans="1:14" ht="14.25" customHeight="1" x14ac:dyDescent="0.3">
      <c r="A43">
        <v>1042</v>
      </c>
      <c r="B43" t="s">
        <v>76</v>
      </c>
      <c r="C43" t="s">
        <v>60</v>
      </c>
      <c r="D43" t="s">
        <v>58</v>
      </c>
      <c r="E43" t="s">
        <v>54</v>
      </c>
      <c r="F43" t="s">
        <v>45</v>
      </c>
      <c r="G43" t="s">
        <v>46</v>
      </c>
      <c r="H43" t="s">
        <v>47</v>
      </c>
      <c r="I43">
        <v>1</v>
      </c>
      <c r="J43">
        <v>30607</v>
      </c>
      <c r="K43">
        <v>29076.65</v>
      </c>
      <c r="L43" t="s">
        <v>43</v>
      </c>
      <c r="M43">
        <v>5</v>
      </c>
      <c r="N43">
        <v>5647.78</v>
      </c>
    </row>
    <row r="44" spans="1:14" ht="14.25" customHeight="1" x14ac:dyDescent="0.3">
      <c r="A44">
        <v>1043</v>
      </c>
      <c r="B44" t="s">
        <v>76</v>
      </c>
      <c r="C44" t="s">
        <v>50</v>
      </c>
      <c r="D44" t="s">
        <v>66</v>
      </c>
      <c r="E44" t="s">
        <v>34</v>
      </c>
      <c r="F44" t="s">
        <v>51</v>
      </c>
      <c r="G44" t="s">
        <v>52</v>
      </c>
      <c r="H44" t="s">
        <v>42</v>
      </c>
      <c r="I44">
        <v>2</v>
      </c>
      <c r="J44">
        <v>15968</v>
      </c>
      <c r="K44">
        <v>30339.200000000001</v>
      </c>
      <c r="L44" t="s">
        <v>38</v>
      </c>
      <c r="M44">
        <v>5</v>
      </c>
      <c r="N44">
        <v>5120.08</v>
      </c>
    </row>
    <row r="45" spans="1:14" ht="14.25" customHeight="1" x14ac:dyDescent="0.3">
      <c r="A45">
        <v>1044</v>
      </c>
      <c r="B45" t="s">
        <v>77</v>
      </c>
      <c r="C45" t="s">
        <v>39</v>
      </c>
      <c r="D45" t="s">
        <v>53</v>
      </c>
      <c r="E45" t="s">
        <v>54</v>
      </c>
      <c r="F45" t="s">
        <v>51</v>
      </c>
      <c r="G45" t="s">
        <v>52</v>
      </c>
      <c r="H45" t="s">
        <v>55</v>
      </c>
      <c r="I45">
        <v>4</v>
      </c>
      <c r="J45">
        <v>20887</v>
      </c>
      <c r="K45">
        <v>83548</v>
      </c>
      <c r="L45" t="s">
        <v>38</v>
      </c>
      <c r="M45">
        <v>0</v>
      </c>
      <c r="N45">
        <v>20356.38</v>
      </c>
    </row>
    <row r="46" spans="1:14" ht="14.25" customHeight="1" x14ac:dyDescent="0.3">
      <c r="A46">
        <v>1045</v>
      </c>
      <c r="B46" t="s">
        <v>77</v>
      </c>
      <c r="C46" t="s">
        <v>44</v>
      </c>
      <c r="D46" t="s">
        <v>33</v>
      </c>
      <c r="E46" t="s">
        <v>34</v>
      </c>
      <c r="F46" t="s">
        <v>45</v>
      </c>
      <c r="G46" t="s">
        <v>69</v>
      </c>
      <c r="H46" t="s">
        <v>47</v>
      </c>
      <c r="I46">
        <v>2</v>
      </c>
      <c r="J46">
        <v>4139</v>
      </c>
      <c r="K46">
        <v>7036.3</v>
      </c>
      <c r="L46" t="s">
        <v>43</v>
      </c>
      <c r="M46">
        <v>15</v>
      </c>
      <c r="N46">
        <v>762.79</v>
      </c>
    </row>
    <row r="47" spans="1:14" ht="14.25" customHeight="1" x14ac:dyDescent="0.3">
      <c r="A47">
        <v>1046</v>
      </c>
      <c r="B47" t="s">
        <v>77</v>
      </c>
      <c r="C47" t="s">
        <v>50</v>
      </c>
      <c r="D47" t="s">
        <v>58</v>
      </c>
      <c r="E47" t="s">
        <v>54</v>
      </c>
      <c r="F47" t="s">
        <v>51</v>
      </c>
      <c r="G47" t="s">
        <v>62</v>
      </c>
      <c r="H47" t="s">
        <v>47</v>
      </c>
      <c r="I47">
        <v>3</v>
      </c>
      <c r="J47">
        <v>44094</v>
      </c>
      <c r="K47">
        <v>119053.8</v>
      </c>
      <c r="L47" t="s">
        <v>61</v>
      </c>
      <c r="M47">
        <v>10</v>
      </c>
      <c r="N47">
        <v>24583.19</v>
      </c>
    </row>
    <row r="48" spans="1:14" ht="14.25" customHeight="1" x14ac:dyDescent="0.3">
      <c r="A48">
        <v>1047</v>
      </c>
      <c r="B48" t="s">
        <v>77</v>
      </c>
      <c r="C48" t="s">
        <v>50</v>
      </c>
      <c r="D48" t="s">
        <v>33</v>
      </c>
      <c r="E48" t="s">
        <v>34</v>
      </c>
      <c r="F48" t="s">
        <v>35</v>
      </c>
      <c r="G48" t="s">
        <v>67</v>
      </c>
      <c r="H48" t="s">
        <v>37</v>
      </c>
      <c r="I48">
        <v>5</v>
      </c>
      <c r="J48">
        <v>29009</v>
      </c>
      <c r="K48">
        <v>130540.5</v>
      </c>
      <c r="L48" t="s">
        <v>61</v>
      </c>
      <c r="M48">
        <v>10</v>
      </c>
      <c r="N48">
        <v>36300.71</v>
      </c>
    </row>
    <row r="49" spans="1:14" ht="14.25" customHeight="1" x14ac:dyDescent="0.3">
      <c r="A49">
        <v>1048</v>
      </c>
      <c r="B49" t="s">
        <v>77</v>
      </c>
      <c r="C49" t="s">
        <v>60</v>
      </c>
      <c r="D49" t="s">
        <v>58</v>
      </c>
      <c r="E49" t="s">
        <v>54</v>
      </c>
      <c r="F49" t="s">
        <v>45</v>
      </c>
      <c r="G49" t="s">
        <v>69</v>
      </c>
      <c r="H49" t="s">
        <v>42</v>
      </c>
      <c r="I49">
        <v>1</v>
      </c>
      <c r="J49">
        <v>9646</v>
      </c>
      <c r="K49">
        <v>8199.1</v>
      </c>
      <c r="L49" t="s">
        <v>61</v>
      </c>
      <c r="M49">
        <v>15</v>
      </c>
      <c r="N49">
        <v>1570.19</v>
      </c>
    </row>
    <row r="50" spans="1:14" ht="14.25" customHeight="1" x14ac:dyDescent="0.3">
      <c r="A50">
        <v>1049</v>
      </c>
      <c r="B50" t="s">
        <v>78</v>
      </c>
      <c r="C50" t="s">
        <v>50</v>
      </c>
      <c r="D50" t="s">
        <v>40</v>
      </c>
      <c r="E50" t="s">
        <v>41</v>
      </c>
      <c r="F50" t="s">
        <v>35</v>
      </c>
      <c r="G50" t="s">
        <v>67</v>
      </c>
      <c r="H50" t="s">
        <v>55</v>
      </c>
      <c r="I50">
        <v>5</v>
      </c>
      <c r="J50">
        <v>40647</v>
      </c>
      <c r="K50">
        <v>182911.5</v>
      </c>
      <c r="L50" t="s">
        <v>61</v>
      </c>
      <c r="M50">
        <v>10</v>
      </c>
      <c r="N50">
        <v>22828.84</v>
      </c>
    </row>
    <row r="51" spans="1:14" ht="14.25" customHeight="1" x14ac:dyDescent="0.3">
      <c r="A51">
        <v>1050</v>
      </c>
      <c r="B51" t="s">
        <v>78</v>
      </c>
      <c r="C51" t="s">
        <v>60</v>
      </c>
      <c r="D51" t="s">
        <v>53</v>
      </c>
      <c r="E51" t="s">
        <v>54</v>
      </c>
      <c r="F51" t="s">
        <v>45</v>
      </c>
      <c r="G51" t="s">
        <v>46</v>
      </c>
      <c r="H51" t="s">
        <v>42</v>
      </c>
      <c r="I51">
        <v>5</v>
      </c>
      <c r="J51">
        <v>30882</v>
      </c>
      <c r="K51">
        <v>138969</v>
      </c>
      <c r="L51" t="s">
        <v>48</v>
      </c>
      <c r="M51">
        <v>10</v>
      </c>
      <c r="N51">
        <v>32156.79</v>
      </c>
    </row>
    <row r="52" spans="1:14" ht="14.25" customHeight="1" x14ac:dyDescent="0.3">
      <c r="A52">
        <v>1051</v>
      </c>
      <c r="B52" t="s">
        <v>78</v>
      </c>
      <c r="C52" t="s">
        <v>32</v>
      </c>
      <c r="D52" t="s">
        <v>40</v>
      </c>
      <c r="E52" t="s">
        <v>41</v>
      </c>
      <c r="F52" t="s">
        <v>35</v>
      </c>
      <c r="G52" t="s">
        <v>67</v>
      </c>
      <c r="H52" t="s">
        <v>55</v>
      </c>
      <c r="I52">
        <v>5</v>
      </c>
      <c r="J52">
        <v>25938</v>
      </c>
      <c r="K52">
        <v>123205.5</v>
      </c>
      <c r="L52" t="s">
        <v>48</v>
      </c>
      <c r="M52">
        <v>5</v>
      </c>
      <c r="N52">
        <v>34405.47</v>
      </c>
    </row>
    <row r="53" spans="1:14" ht="14.25" customHeight="1" x14ac:dyDescent="0.3">
      <c r="A53">
        <v>1052</v>
      </c>
      <c r="B53" t="s">
        <v>78</v>
      </c>
      <c r="C53" t="s">
        <v>44</v>
      </c>
      <c r="D53" t="s">
        <v>33</v>
      </c>
      <c r="E53" t="s">
        <v>34</v>
      </c>
      <c r="F53" t="s">
        <v>35</v>
      </c>
      <c r="G53" t="s">
        <v>67</v>
      </c>
      <c r="H53" t="s">
        <v>37</v>
      </c>
      <c r="I53">
        <v>2</v>
      </c>
      <c r="J53">
        <v>39220</v>
      </c>
      <c r="K53">
        <v>66674</v>
      </c>
      <c r="L53" t="s">
        <v>43</v>
      </c>
      <c r="M53">
        <v>15</v>
      </c>
      <c r="N53">
        <v>7773.51</v>
      </c>
    </row>
    <row r="54" spans="1:14" ht="14.25" customHeight="1" x14ac:dyDescent="0.3">
      <c r="A54">
        <v>1053</v>
      </c>
      <c r="B54" t="s">
        <v>79</v>
      </c>
      <c r="C54" t="s">
        <v>32</v>
      </c>
      <c r="D54" t="s">
        <v>66</v>
      </c>
      <c r="E54" t="s">
        <v>34</v>
      </c>
      <c r="F54" t="s">
        <v>35</v>
      </c>
      <c r="G54" t="s">
        <v>36</v>
      </c>
      <c r="H54" t="s">
        <v>42</v>
      </c>
      <c r="I54">
        <v>2</v>
      </c>
      <c r="J54">
        <v>44743</v>
      </c>
      <c r="K54">
        <v>89486</v>
      </c>
      <c r="L54" t="s">
        <v>48</v>
      </c>
      <c r="M54">
        <v>0</v>
      </c>
      <c r="N54">
        <v>23646.05</v>
      </c>
    </row>
    <row r="55" spans="1:14" ht="14.25" customHeight="1" x14ac:dyDescent="0.3">
      <c r="A55">
        <v>1054</v>
      </c>
      <c r="B55" t="s">
        <v>79</v>
      </c>
      <c r="C55" t="s">
        <v>50</v>
      </c>
      <c r="D55" t="s">
        <v>53</v>
      </c>
      <c r="E55" t="s">
        <v>54</v>
      </c>
      <c r="F55" t="s">
        <v>45</v>
      </c>
      <c r="G55" t="s">
        <v>46</v>
      </c>
      <c r="H55" t="s">
        <v>42</v>
      </c>
      <c r="I55">
        <v>5</v>
      </c>
      <c r="J55">
        <v>7291</v>
      </c>
      <c r="K55">
        <v>34632.25</v>
      </c>
      <c r="L55" t="s">
        <v>61</v>
      </c>
      <c r="M55">
        <v>5</v>
      </c>
      <c r="N55">
        <v>5846.46</v>
      </c>
    </row>
    <row r="56" spans="1:14" ht="14.25" customHeight="1" x14ac:dyDescent="0.3">
      <c r="A56">
        <v>1055</v>
      </c>
      <c r="B56" t="s">
        <v>79</v>
      </c>
      <c r="C56" t="s">
        <v>50</v>
      </c>
      <c r="D56" t="s">
        <v>53</v>
      </c>
      <c r="E56" t="s">
        <v>54</v>
      </c>
      <c r="F56" t="s">
        <v>35</v>
      </c>
      <c r="G56" t="s">
        <v>65</v>
      </c>
      <c r="H56" t="s">
        <v>42</v>
      </c>
      <c r="I56">
        <v>4</v>
      </c>
      <c r="J56">
        <v>27645</v>
      </c>
      <c r="K56">
        <v>110580</v>
      </c>
      <c r="L56" t="s">
        <v>48</v>
      </c>
      <c r="M56">
        <v>0</v>
      </c>
      <c r="N56">
        <v>16349.37</v>
      </c>
    </row>
    <row r="57" spans="1:14" ht="14.25" customHeight="1" x14ac:dyDescent="0.3">
      <c r="A57">
        <v>1056</v>
      </c>
      <c r="B57" t="s">
        <v>80</v>
      </c>
      <c r="C57" t="s">
        <v>32</v>
      </c>
      <c r="D57" t="s">
        <v>66</v>
      </c>
      <c r="E57" t="s">
        <v>34</v>
      </c>
      <c r="F57" t="s">
        <v>35</v>
      </c>
      <c r="G57" t="s">
        <v>67</v>
      </c>
      <c r="H57" t="s">
        <v>37</v>
      </c>
      <c r="I57">
        <v>3</v>
      </c>
      <c r="J57">
        <v>19971</v>
      </c>
      <c r="K57">
        <v>56917.35</v>
      </c>
      <c r="L57" t="s">
        <v>38</v>
      </c>
      <c r="M57">
        <v>5</v>
      </c>
      <c r="N57">
        <v>11123.07</v>
      </c>
    </row>
    <row r="58" spans="1:14" ht="14.25" customHeight="1" x14ac:dyDescent="0.3">
      <c r="A58">
        <v>1057</v>
      </c>
      <c r="B58" t="s">
        <v>80</v>
      </c>
      <c r="C58" t="s">
        <v>50</v>
      </c>
      <c r="D58" t="s">
        <v>58</v>
      </c>
      <c r="E58" t="s">
        <v>54</v>
      </c>
      <c r="F58" t="s">
        <v>51</v>
      </c>
      <c r="G58" t="s">
        <v>62</v>
      </c>
      <c r="H58" t="s">
        <v>42</v>
      </c>
      <c r="I58">
        <v>3</v>
      </c>
      <c r="J58">
        <v>11230</v>
      </c>
      <c r="K58">
        <v>30321</v>
      </c>
      <c r="L58" t="s">
        <v>48</v>
      </c>
      <c r="M58">
        <v>10</v>
      </c>
      <c r="N58">
        <v>7264.76</v>
      </c>
    </row>
    <row r="59" spans="1:14" ht="14.25" customHeight="1" x14ac:dyDescent="0.3">
      <c r="A59">
        <v>1058</v>
      </c>
      <c r="B59" t="s">
        <v>81</v>
      </c>
      <c r="C59" t="s">
        <v>32</v>
      </c>
      <c r="D59" t="s">
        <v>40</v>
      </c>
      <c r="E59" t="s">
        <v>41</v>
      </c>
      <c r="F59" t="s">
        <v>35</v>
      </c>
      <c r="G59" t="s">
        <v>36</v>
      </c>
      <c r="H59" t="s">
        <v>47</v>
      </c>
      <c r="I59">
        <v>4</v>
      </c>
      <c r="J59">
        <v>14439</v>
      </c>
      <c r="K59">
        <v>49092.6</v>
      </c>
      <c r="L59" t="s">
        <v>38</v>
      </c>
      <c r="M59">
        <v>15</v>
      </c>
      <c r="N59">
        <v>6604.66</v>
      </c>
    </row>
    <row r="60" spans="1:14" ht="14.25" customHeight="1" x14ac:dyDescent="0.3">
      <c r="A60">
        <v>1059</v>
      </c>
      <c r="B60" t="s">
        <v>81</v>
      </c>
      <c r="C60" t="s">
        <v>50</v>
      </c>
      <c r="D60" t="s">
        <v>66</v>
      </c>
      <c r="E60" t="s">
        <v>34</v>
      </c>
      <c r="F60" t="s">
        <v>45</v>
      </c>
      <c r="G60" t="s">
        <v>46</v>
      </c>
      <c r="H60" t="s">
        <v>47</v>
      </c>
      <c r="I60">
        <v>3</v>
      </c>
      <c r="J60">
        <v>4146</v>
      </c>
      <c r="K60">
        <v>12438</v>
      </c>
      <c r="L60" t="s">
        <v>43</v>
      </c>
      <c r="M60">
        <v>0</v>
      </c>
      <c r="N60">
        <v>1759.39</v>
      </c>
    </row>
    <row r="61" spans="1:14" ht="14.25" customHeight="1" x14ac:dyDescent="0.3">
      <c r="A61">
        <v>1060</v>
      </c>
      <c r="B61" t="s">
        <v>81</v>
      </c>
      <c r="C61" t="s">
        <v>39</v>
      </c>
      <c r="D61" t="s">
        <v>40</v>
      </c>
      <c r="E61" t="s">
        <v>41</v>
      </c>
      <c r="F61" t="s">
        <v>35</v>
      </c>
      <c r="G61" t="s">
        <v>67</v>
      </c>
      <c r="H61" t="s">
        <v>47</v>
      </c>
      <c r="I61">
        <v>1</v>
      </c>
      <c r="J61">
        <v>35172</v>
      </c>
      <c r="K61">
        <v>35172</v>
      </c>
      <c r="L61" t="s">
        <v>43</v>
      </c>
      <c r="M61">
        <v>0</v>
      </c>
      <c r="N61">
        <v>4402.43</v>
      </c>
    </row>
    <row r="62" spans="1:14" ht="14.25" customHeight="1" x14ac:dyDescent="0.3">
      <c r="A62">
        <v>1061</v>
      </c>
      <c r="B62" t="s">
        <v>81</v>
      </c>
      <c r="C62" t="s">
        <v>39</v>
      </c>
      <c r="D62" t="s">
        <v>40</v>
      </c>
      <c r="E62" t="s">
        <v>41</v>
      </c>
      <c r="F62" t="s">
        <v>51</v>
      </c>
      <c r="G62" t="s">
        <v>52</v>
      </c>
      <c r="H62" t="s">
        <v>42</v>
      </c>
      <c r="I62">
        <v>4</v>
      </c>
      <c r="J62">
        <v>47360</v>
      </c>
      <c r="K62">
        <v>189440</v>
      </c>
      <c r="L62" t="s">
        <v>43</v>
      </c>
      <c r="M62">
        <v>0</v>
      </c>
      <c r="N62">
        <v>34380.83</v>
      </c>
    </row>
    <row r="63" spans="1:14" ht="14.25" customHeight="1" x14ac:dyDescent="0.3">
      <c r="A63">
        <v>1062</v>
      </c>
      <c r="B63" t="s">
        <v>82</v>
      </c>
      <c r="C63" t="s">
        <v>44</v>
      </c>
      <c r="D63" t="s">
        <v>66</v>
      </c>
      <c r="E63" t="s">
        <v>34</v>
      </c>
      <c r="F63" t="s">
        <v>51</v>
      </c>
      <c r="G63" t="s">
        <v>63</v>
      </c>
      <c r="H63" t="s">
        <v>42</v>
      </c>
      <c r="I63">
        <v>4</v>
      </c>
      <c r="J63">
        <v>3687</v>
      </c>
      <c r="K63">
        <v>14010.6</v>
      </c>
      <c r="L63" t="s">
        <v>43</v>
      </c>
      <c r="M63">
        <v>5</v>
      </c>
      <c r="N63">
        <v>2180.59</v>
      </c>
    </row>
    <row r="64" spans="1:14" ht="14.25" customHeight="1" x14ac:dyDescent="0.3">
      <c r="A64">
        <v>1063</v>
      </c>
      <c r="B64" t="s">
        <v>82</v>
      </c>
      <c r="C64" t="s">
        <v>44</v>
      </c>
      <c r="D64" t="s">
        <v>66</v>
      </c>
      <c r="E64" t="s">
        <v>34</v>
      </c>
      <c r="F64" t="s">
        <v>45</v>
      </c>
      <c r="G64" t="s">
        <v>69</v>
      </c>
      <c r="H64" t="s">
        <v>42</v>
      </c>
      <c r="I64">
        <v>2</v>
      </c>
      <c r="J64">
        <v>43276</v>
      </c>
      <c r="K64">
        <v>73569.2</v>
      </c>
      <c r="L64" t="s">
        <v>48</v>
      </c>
      <c r="M64">
        <v>15</v>
      </c>
      <c r="N64">
        <v>17340.79</v>
      </c>
    </row>
    <row r="65" spans="1:14" ht="14.25" customHeight="1" x14ac:dyDescent="0.3">
      <c r="A65">
        <v>1064</v>
      </c>
      <c r="B65" t="s">
        <v>83</v>
      </c>
      <c r="C65" t="s">
        <v>32</v>
      </c>
      <c r="D65" t="s">
        <v>53</v>
      </c>
      <c r="E65" t="s">
        <v>54</v>
      </c>
      <c r="F65" t="s">
        <v>45</v>
      </c>
      <c r="G65" t="s">
        <v>57</v>
      </c>
      <c r="H65" t="s">
        <v>42</v>
      </c>
      <c r="I65">
        <v>1</v>
      </c>
      <c r="J65">
        <v>49864</v>
      </c>
      <c r="K65">
        <v>42384.4</v>
      </c>
      <c r="L65" t="s">
        <v>48</v>
      </c>
      <c r="M65">
        <v>15</v>
      </c>
      <c r="N65">
        <v>7665.68</v>
      </c>
    </row>
    <row r="66" spans="1:14" ht="14.25" customHeight="1" x14ac:dyDescent="0.3">
      <c r="A66">
        <v>1065</v>
      </c>
      <c r="B66" t="s">
        <v>83</v>
      </c>
      <c r="C66" t="s">
        <v>32</v>
      </c>
      <c r="D66" t="s">
        <v>58</v>
      </c>
      <c r="E66" t="s">
        <v>54</v>
      </c>
      <c r="F66" t="s">
        <v>51</v>
      </c>
      <c r="G66" t="s">
        <v>63</v>
      </c>
      <c r="H66" t="s">
        <v>42</v>
      </c>
      <c r="I66">
        <v>5</v>
      </c>
      <c r="J66">
        <v>14631</v>
      </c>
      <c r="K66">
        <v>62181.75</v>
      </c>
      <c r="L66" t="s">
        <v>61</v>
      </c>
      <c r="M66">
        <v>15</v>
      </c>
      <c r="N66">
        <v>11157.43</v>
      </c>
    </row>
    <row r="67" spans="1:14" ht="14.25" customHeight="1" x14ac:dyDescent="0.3">
      <c r="A67">
        <v>1066</v>
      </c>
      <c r="B67" t="s">
        <v>83</v>
      </c>
      <c r="C67" t="s">
        <v>39</v>
      </c>
      <c r="D67" t="s">
        <v>40</v>
      </c>
      <c r="E67" t="s">
        <v>41</v>
      </c>
      <c r="F67" t="s">
        <v>35</v>
      </c>
      <c r="G67" t="s">
        <v>36</v>
      </c>
      <c r="H67" t="s">
        <v>47</v>
      </c>
      <c r="I67">
        <v>4</v>
      </c>
      <c r="J67">
        <v>25902</v>
      </c>
      <c r="K67">
        <v>103608</v>
      </c>
      <c r="L67" t="s">
        <v>38</v>
      </c>
      <c r="M67">
        <v>0</v>
      </c>
      <c r="N67">
        <v>15753.29</v>
      </c>
    </row>
    <row r="68" spans="1:14" ht="14.25" customHeight="1" x14ac:dyDescent="0.3">
      <c r="A68">
        <v>1067</v>
      </c>
      <c r="B68" t="s">
        <v>83</v>
      </c>
      <c r="C68" t="s">
        <v>60</v>
      </c>
      <c r="D68" t="s">
        <v>53</v>
      </c>
      <c r="E68" t="s">
        <v>54</v>
      </c>
      <c r="F68" t="s">
        <v>35</v>
      </c>
      <c r="G68" t="s">
        <v>67</v>
      </c>
      <c r="H68" t="s">
        <v>47</v>
      </c>
      <c r="I68">
        <v>4</v>
      </c>
      <c r="J68">
        <v>12366</v>
      </c>
      <c r="K68">
        <v>44517.599999999999</v>
      </c>
      <c r="L68" t="s">
        <v>43</v>
      </c>
      <c r="M68">
        <v>10</v>
      </c>
      <c r="N68">
        <v>7498.97</v>
      </c>
    </row>
    <row r="69" spans="1:14" ht="14.25" customHeight="1" x14ac:dyDescent="0.3">
      <c r="A69">
        <v>1068</v>
      </c>
      <c r="B69" t="s">
        <v>83</v>
      </c>
      <c r="C69" t="s">
        <v>50</v>
      </c>
      <c r="D69" t="s">
        <v>33</v>
      </c>
      <c r="E69" t="s">
        <v>34</v>
      </c>
      <c r="F69" t="s">
        <v>35</v>
      </c>
      <c r="G69" t="s">
        <v>65</v>
      </c>
      <c r="H69" t="s">
        <v>55</v>
      </c>
      <c r="I69">
        <v>3</v>
      </c>
      <c r="J69">
        <v>2808</v>
      </c>
      <c r="K69">
        <v>8002.8</v>
      </c>
      <c r="L69" t="s">
        <v>48</v>
      </c>
      <c r="M69">
        <v>5</v>
      </c>
      <c r="N69">
        <v>1382.02</v>
      </c>
    </row>
    <row r="70" spans="1:14" ht="14.25" customHeight="1" x14ac:dyDescent="0.3">
      <c r="A70">
        <v>1069</v>
      </c>
      <c r="B70" t="s">
        <v>84</v>
      </c>
      <c r="C70" t="s">
        <v>50</v>
      </c>
      <c r="D70" t="s">
        <v>33</v>
      </c>
      <c r="E70" t="s">
        <v>34</v>
      </c>
      <c r="F70" t="s">
        <v>51</v>
      </c>
      <c r="G70" t="s">
        <v>63</v>
      </c>
      <c r="H70" t="s">
        <v>47</v>
      </c>
      <c r="I70">
        <v>5</v>
      </c>
      <c r="J70">
        <v>42042</v>
      </c>
      <c r="K70">
        <v>199699.5</v>
      </c>
      <c r="L70" t="s">
        <v>43</v>
      </c>
      <c r="M70">
        <v>5</v>
      </c>
      <c r="N70">
        <v>52990.81</v>
      </c>
    </row>
    <row r="71" spans="1:14" ht="14.25" customHeight="1" x14ac:dyDescent="0.3">
      <c r="A71">
        <v>1070</v>
      </c>
      <c r="B71" t="s">
        <v>84</v>
      </c>
      <c r="C71" t="s">
        <v>60</v>
      </c>
      <c r="D71" t="s">
        <v>40</v>
      </c>
      <c r="E71" t="s">
        <v>41</v>
      </c>
      <c r="F71" t="s">
        <v>51</v>
      </c>
      <c r="G71" t="s">
        <v>63</v>
      </c>
      <c r="H71" t="s">
        <v>42</v>
      </c>
      <c r="I71">
        <v>3</v>
      </c>
      <c r="J71">
        <v>41988</v>
      </c>
      <c r="K71">
        <v>119665.8</v>
      </c>
      <c r="L71" t="s">
        <v>43</v>
      </c>
      <c r="M71">
        <v>5</v>
      </c>
      <c r="N71">
        <v>24675.29</v>
      </c>
    </row>
    <row r="72" spans="1:14" ht="14.25" customHeight="1" x14ac:dyDescent="0.3">
      <c r="A72">
        <v>1071</v>
      </c>
      <c r="B72" t="s">
        <v>84</v>
      </c>
      <c r="C72" t="s">
        <v>39</v>
      </c>
      <c r="D72" t="s">
        <v>53</v>
      </c>
      <c r="E72" t="s">
        <v>54</v>
      </c>
      <c r="F72" t="s">
        <v>45</v>
      </c>
      <c r="G72" t="s">
        <v>46</v>
      </c>
      <c r="H72" t="s">
        <v>42</v>
      </c>
      <c r="I72">
        <v>4</v>
      </c>
      <c r="J72">
        <v>23397</v>
      </c>
      <c r="K72">
        <v>88908.6</v>
      </c>
      <c r="L72" t="s">
        <v>61</v>
      </c>
      <c r="M72">
        <v>5</v>
      </c>
      <c r="N72">
        <v>25213.4</v>
      </c>
    </row>
    <row r="73" spans="1:14" ht="14.25" customHeight="1" x14ac:dyDescent="0.3">
      <c r="A73">
        <v>1072</v>
      </c>
      <c r="B73" t="s">
        <v>84</v>
      </c>
      <c r="C73" t="s">
        <v>44</v>
      </c>
      <c r="D73" t="s">
        <v>58</v>
      </c>
      <c r="E73" t="s">
        <v>54</v>
      </c>
      <c r="F73" t="s">
        <v>51</v>
      </c>
      <c r="G73" t="s">
        <v>62</v>
      </c>
      <c r="H73" t="s">
        <v>55</v>
      </c>
      <c r="I73">
        <v>2</v>
      </c>
      <c r="J73">
        <v>36541</v>
      </c>
      <c r="K73">
        <v>69427.899999999994</v>
      </c>
      <c r="L73" t="s">
        <v>43</v>
      </c>
      <c r="M73">
        <v>5</v>
      </c>
      <c r="N73">
        <v>17517.07</v>
      </c>
    </row>
    <row r="74" spans="1:14" ht="14.25" customHeight="1" x14ac:dyDescent="0.3">
      <c r="A74">
        <v>1073</v>
      </c>
      <c r="B74" t="s">
        <v>84</v>
      </c>
      <c r="C74" t="s">
        <v>50</v>
      </c>
      <c r="D74" t="s">
        <v>58</v>
      </c>
      <c r="E74" t="s">
        <v>54</v>
      </c>
      <c r="F74" t="s">
        <v>51</v>
      </c>
      <c r="G74" t="s">
        <v>52</v>
      </c>
      <c r="H74" t="s">
        <v>42</v>
      </c>
      <c r="I74">
        <v>3</v>
      </c>
      <c r="J74">
        <v>6630</v>
      </c>
      <c r="K74">
        <v>19890</v>
      </c>
      <c r="L74" t="s">
        <v>43</v>
      </c>
      <c r="M74">
        <v>0</v>
      </c>
      <c r="N74">
        <v>2236.46</v>
      </c>
    </row>
    <row r="75" spans="1:14" ht="14.25" customHeight="1" x14ac:dyDescent="0.3">
      <c r="A75">
        <v>1074</v>
      </c>
      <c r="B75" t="s">
        <v>85</v>
      </c>
      <c r="C75" t="s">
        <v>44</v>
      </c>
      <c r="D75" t="s">
        <v>58</v>
      </c>
      <c r="E75" t="s">
        <v>54</v>
      </c>
      <c r="F75" t="s">
        <v>51</v>
      </c>
      <c r="G75" t="s">
        <v>63</v>
      </c>
      <c r="H75" t="s">
        <v>37</v>
      </c>
      <c r="I75">
        <v>5</v>
      </c>
      <c r="J75">
        <v>22708</v>
      </c>
      <c r="K75">
        <v>96509</v>
      </c>
      <c r="L75" t="s">
        <v>48</v>
      </c>
      <c r="M75">
        <v>15</v>
      </c>
      <c r="N75">
        <v>19128.68</v>
      </c>
    </row>
    <row r="76" spans="1:14" ht="14.25" customHeight="1" x14ac:dyDescent="0.3">
      <c r="A76">
        <v>1075</v>
      </c>
      <c r="B76" t="s">
        <v>85</v>
      </c>
      <c r="C76" t="s">
        <v>60</v>
      </c>
      <c r="D76" t="s">
        <v>33</v>
      </c>
      <c r="E76" t="s">
        <v>34</v>
      </c>
      <c r="F76" t="s">
        <v>35</v>
      </c>
      <c r="G76" t="s">
        <v>67</v>
      </c>
      <c r="H76" t="s">
        <v>47</v>
      </c>
      <c r="I76">
        <v>5</v>
      </c>
      <c r="J76">
        <v>4443</v>
      </c>
      <c r="K76">
        <v>22215</v>
      </c>
      <c r="L76" t="s">
        <v>43</v>
      </c>
      <c r="M76">
        <v>0</v>
      </c>
      <c r="N76">
        <v>2509.85</v>
      </c>
    </row>
    <row r="77" spans="1:14" ht="14.25" customHeight="1" x14ac:dyDescent="0.3">
      <c r="A77">
        <v>1076</v>
      </c>
      <c r="B77" t="s">
        <v>86</v>
      </c>
      <c r="C77" t="s">
        <v>60</v>
      </c>
      <c r="D77" t="s">
        <v>58</v>
      </c>
      <c r="E77" t="s">
        <v>54</v>
      </c>
      <c r="F77" t="s">
        <v>51</v>
      </c>
      <c r="G77" t="s">
        <v>63</v>
      </c>
      <c r="H77" t="s">
        <v>42</v>
      </c>
      <c r="I77">
        <v>2</v>
      </c>
      <c r="J77">
        <v>3747</v>
      </c>
      <c r="K77">
        <v>7494</v>
      </c>
      <c r="L77" t="s">
        <v>61</v>
      </c>
      <c r="M77">
        <v>0</v>
      </c>
      <c r="N77">
        <v>1798.74</v>
      </c>
    </row>
    <row r="78" spans="1:14" ht="14.25" customHeight="1" x14ac:dyDescent="0.3">
      <c r="A78">
        <v>1077</v>
      </c>
      <c r="B78" t="s">
        <v>86</v>
      </c>
      <c r="C78" t="s">
        <v>32</v>
      </c>
      <c r="D78" t="s">
        <v>53</v>
      </c>
      <c r="E78" t="s">
        <v>54</v>
      </c>
      <c r="F78" t="s">
        <v>51</v>
      </c>
      <c r="G78" t="s">
        <v>52</v>
      </c>
      <c r="H78" t="s">
        <v>37</v>
      </c>
      <c r="I78">
        <v>1</v>
      </c>
      <c r="J78">
        <v>1975</v>
      </c>
      <c r="K78">
        <v>1876.25</v>
      </c>
      <c r="L78" t="s">
        <v>38</v>
      </c>
      <c r="M78">
        <v>5</v>
      </c>
      <c r="N78">
        <v>193.26</v>
      </c>
    </row>
    <row r="79" spans="1:14" ht="14.25" customHeight="1" x14ac:dyDescent="0.3">
      <c r="A79">
        <v>1078</v>
      </c>
      <c r="B79" t="s">
        <v>86</v>
      </c>
      <c r="C79" t="s">
        <v>60</v>
      </c>
      <c r="D79" t="s">
        <v>53</v>
      </c>
      <c r="E79" t="s">
        <v>54</v>
      </c>
      <c r="F79" t="s">
        <v>45</v>
      </c>
      <c r="G79" t="s">
        <v>46</v>
      </c>
      <c r="H79" t="s">
        <v>42</v>
      </c>
      <c r="I79">
        <v>4</v>
      </c>
      <c r="J79">
        <v>21342</v>
      </c>
      <c r="K79">
        <v>76831.199999999997</v>
      </c>
      <c r="L79" t="s">
        <v>48</v>
      </c>
      <c r="M79">
        <v>10</v>
      </c>
      <c r="N79">
        <v>10299.049999999999</v>
      </c>
    </row>
    <row r="80" spans="1:14" ht="14.25" customHeight="1" x14ac:dyDescent="0.3">
      <c r="A80">
        <v>1079</v>
      </c>
      <c r="B80" t="s">
        <v>86</v>
      </c>
      <c r="C80" t="s">
        <v>39</v>
      </c>
      <c r="D80" t="s">
        <v>58</v>
      </c>
      <c r="E80" t="s">
        <v>54</v>
      </c>
      <c r="F80" t="s">
        <v>35</v>
      </c>
      <c r="G80" t="s">
        <v>65</v>
      </c>
      <c r="H80" t="s">
        <v>37</v>
      </c>
      <c r="I80">
        <v>3</v>
      </c>
      <c r="J80">
        <v>2956</v>
      </c>
      <c r="K80">
        <v>8868</v>
      </c>
      <c r="L80" t="s">
        <v>43</v>
      </c>
      <c r="M80">
        <v>0</v>
      </c>
      <c r="N80">
        <v>1400.86</v>
      </c>
    </row>
    <row r="81" spans="1:14" ht="14.25" customHeight="1" x14ac:dyDescent="0.3">
      <c r="A81">
        <v>1080</v>
      </c>
      <c r="B81" t="s">
        <v>86</v>
      </c>
      <c r="C81" t="s">
        <v>50</v>
      </c>
      <c r="D81" t="s">
        <v>53</v>
      </c>
      <c r="E81" t="s">
        <v>54</v>
      </c>
      <c r="F81" t="s">
        <v>45</v>
      </c>
      <c r="G81" t="s">
        <v>46</v>
      </c>
      <c r="H81" t="s">
        <v>37</v>
      </c>
      <c r="I81">
        <v>3</v>
      </c>
      <c r="J81">
        <v>35322</v>
      </c>
      <c r="K81">
        <v>105966</v>
      </c>
      <c r="L81" t="s">
        <v>43</v>
      </c>
      <c r="M81">
        <v>0</v>
      </c>
      <c r="N81">
        <v>11695.09</v>
      </c>
    </row>
    <row r="82" spans="1:14" ht="14.25" customHeight="1" x14ac:dyDescent="0.3">
      <c r="A82">
        <v>1081</v>
      </c>
      <c r="B82" t="s">
        <v>87</v>
      </c>
      <c r="C82" t="s">
        <v>44</v>
      </c>
      <c r="D82" t="s">
        <v>58</v>
      </c>
      <c r="E82" t="s">
        <v>54</v>
      </c>
      <c r="F82" t="s">
        <v>45</v>
      </c>
      <c r="G82" t="s">
        <v>46</v>
      </c>
      <c r="H82" t="s">
        <v>42</v>
      </c>
      <c r="I82">
        <v>5</v>
      </c>
      <c r="J82">
        <v>31293</v>
      </c>
      <c r="K82">
        <v>156465</v>
      </c>
      <c r="L82" t="s">
        <v>61</v>
      </c>
      <c r="M82">
        <v>0</v>
      </c>
      <c r="N82">
        <v>19054.63</v>
      </c>
    </row>
    <row r="83" spans="1:14" ht="14.25" customHeight="1" x14ac:dyDescent="0.3">
      <c r="A83">
        <v>1082</v>
      </c>
      <c r="B83" t="s">
        <v>87</v>
      </c>
      <c r="C83" t="s">
        <v>44</v>
      </c>
      <c r="D83" t="s">
        <v>58</v>
      </c>
      <c r="E83" t="s">
        <v>54</v>
      </c>
      <c r="F83" t="s">
        <v>35</v>
      </c>
      <c r="G83" t="s">
        <v>36</v>
      </c>
      <c r="H83" t="s">
        <v>42</v>
      </c>
      <c r="I83">
        <v>5</v>
      </c>
      <c r="J83">
        <v>22465</v>
      </c>
      <c r="K83">
        <v>95476.25</v>
      </c>
      <c r="L83" t="s">
        <v>43</v>
      </c>
      <c r="M83">
        <v>15</v>
      </c>
      <c r="N83">
        <v>14260.76</v>
      </c>
    </row>
    <row r="84" spans="1:14" ht="14.25" customHeight="1" x14ac:dyDescent="0.3">
      <c r="A84">
        <v>1083</v>
      </c>
      <c r="B84" t="s">
        <v>88</v>
      </c>
      <c r="C84" t="s">
        <v>44</v>
      </c>
      <c r="D84" t="s">
        <v>33</v>
      </c>
      <c r="E84" t="s">
        <v>34</v>
      </c>
      <c r="F84" t="s">
        <v>35</v>
      </c>
      <c r="G84" t="s">
        <v>65</v>
      </c>
      <c r="H84" t="s">
        <v>55</v>
      </c>
      <c r="I84">
        <v>5</v>
      </c>
      <c r="J84">
        <v>45228</v>
      </c>
      <c r="K84">
        <v>214833</v>
      </c>
      <c r="L84" t="s">
        <v>38</v>
      </c>
      <c r="M84">
        <v>5</v>
      </c>
      <c r="N84">
        <v>25639.919999999998</v>
      </c>
    </row>
    <row r="85" spans="1:14" ht="14.25" customHeight="1" x14ac:dyDescent="0.3">
      <c r="A85">
        <v>1084</v>
      </c>
      <c r="B85" t="s">
        <v>88</v>
      </c>
      <c r="C85" t="s">
        <v>50</v>
      </c>
      <c r="D85" t="s">
        <v>58</v>
      </c>
      <c r="E85" t="s">
        <v>54</v>
      </c>
      <c r="F85" t="s">
        <v>45</v>
      </c>
      <c r="G85" t="s">
        <v>57</v>
      </c>
      <c r="H85" t="s">
        <v>55</v>
      </c>
      <c r="I85">
        <v>2</v>
      </c>
      <c r="J85">
        <v>41951</v>
      </c>
      <c r="K85">
        <v>79706.899999999994</v>
      </c>
      <c r="L85" t="s">
        <v>48</v>
      </c>
      <c r="M85">
        <v>5</v>
      </c>
      <c r="N85">
        <v>21630.66</v>
      </c>
    </row>
    <row r="86" spans="1:14" ht="14.25" customHeight="1" x14ac:dyDescent="0.3">
      <c r="A86">
        <v>1085</v>
      </c>
      <c r="B86" t="s">
        <v>88</v>
      </c>
      <c r="C86" t="s">
        <v>39</v>
      </c>
      <c r="D86" t="s">
        <v>40</v>
      </c>
      <c r="E86" t="s">
        <v>41</v>
      </c>
      <c r="F86" t="s">
        <v>45</v>
      </c>
      <c r="G86" t="s">
        <v>69</v>
      </c>
      <c r="H86" t="s">
        <v>37</v>
      </c>
      <c r="I86">
        <v>2</v>
      </c>
      <c r="J86">
        <v>39188</v>
      </c>
      <c r="K86">
        <v>74457.2</v>
      </c>
      <c r="L86" t="s">
        <v>48</v>
      </c>
      <c r="M86">
        <v>5</v>
      </c>
      <c r="N86">
        <v>20493.79</v>
      </c>
    </row>
    <row r="87" spans="1:14" ht="14.25" customHeight="1" x14ac:dyDescent="0.3">
      <c r="A87">
        <v>1086</v>
      </c>
      <c r="B87" t="s">
        <v>88</v>
      </c>
      <c r="C87" t="s">
        <v>44</v>
      </c>
      <c r="D87" t="s">
        <v>66</v>
      </c>
      <c r="E87" t="s">
        <v>34</v>
      </c>
      <c r="F87" t="s">
        <v>35</v>
      </c>
      <c r="G87" t="s">
        <v>36</v>
      </c>
      <c r="H87" t="s">
        <v>55</v>
      </c>
      <c r="I87">
        <v>2</v>
      </c>
      <c r="J87">
        <v>49585</v>
      </c>
      <c r="K87">
        <v>84294.5</v>
      </c>
      <c r="L87" t="s">
        <v>61</v>
      </c>
      <c r="M87">
        <v>15</v>
      </c>
      <c r="N87">
        <v>20283.25</v>
      </c>
    </row>
    <row r="88" spans="1:14" ht="14.25" customHeight="1" x14ac:dyDescent="0.3">
      <c r="A88">
        <v>1087</v>
      </c>
      <c r="B88" t="s">
        <v>88</v>
      </c>
      <c r="C88" t="s">
        <v>39</v>
      </c>
      <c r="D88" t="s">
        <v>53</v>
      </c>
      <c r="E88" t="s">
        <v>54</v>
      </c>
      <c r="F88" t="s">
        <v>35</v>
      </c>
      <c r="G88" t="s">
        <v>67</v>
      </c>
      <c r="H88" t="s">
        <v>47</v>
      </c>
      <c r="I88">
        <v>5</v>
      </c>
      <c r="J88">
        <v>45575</v>
      </c>
      <c r="K88">
        <v>193693.75</v>
      </c>
      <c r="L88" t="s">
        <v>48</v>
      </c>
      <c r="M88">
        <v>15</v>
      </c>
      <c r="N88">
        <v>42653.54</v>
      </c>
    </row>
    <row r="89" spans="1:14" ht="14.25" customHeight="1" x14ac:dyDescent="0.3">
      <c r="A89">
        <v>1088</v>
      </c>
      <c r="B89" t="s">
        <v>89</v>
      </c>
      <c r="C89" t="s">
        <v>60</v>
      </c>
      <c r="D89" t="s">
        <v>33</v>
      </c>
      <c r="E89" t="s">
        <v>34</v>
      </c>
      <c r="F89" t="s">
        <v>35</v>
      </c>
      <c r="G89" t="s">
        <v>36</v>
      </c>
      <c r="H89" t="s">
        <v>47</v>
      </c>
      <c r="I89">
        <v>2</v>
      </c>
      <c r="J89">
        <v>20912</v>
      </c>
      <c r="K89">
        <v>35550.400000000001</v>
      </c>
      <c r="L89" t="s">
        <v>61</v>
      </c>
      <c r="M89">
        <v>15</v>
      </c>
      <c r="N89">
        <v>8322.5300000000007</v>
      </c>
    </row>
    <row r="90" spans="1:14" ht="14.25" customHeight="1" x14ac:dyDescent="0.3">
      <c r="A90">
        <v>1089</v>
      </c>
      <c r="B90" t="s">
        <v>89</v>
      </c>
      <c r="C90" t="s">
        <v>44</v>
      </c>
      <c r="D90" t="s">
        <v>58</v>
      </c>
      <c r="E90" t="s">
        <v>54</v>
      </c>
      <c r="F90" t="s">
        <v>35</v>
      </c>
      <c r="G90" t="s">
        <v>65</v>
      </c>
      <c r="H90" t="s">
        <v>47</v>
      </c>
      <c r="I90">
        <v>1</v>
      </c>
      <c r="J90">
        <v>5049</v>
      </c>
      <c r="K90">
        <v>4291.6499999999996</v>
      </c>
      <c r="L90" t="s">
        <v>48</v>
      </c>
      <c r="M90">
        <v>15</v>
      </c>
      <c r="N90">
        <v>1066.1600000000001</v>
      </c>
    </row>
    <row r="91" spans="1:14" ht="14.25" customHeight="1" x14ac:dyDescent="0.3">
      <c r="A91">
        <v>1090</v>
      </c>
      <c r="B91" t="s">
        <v>90</v>
      </c>
      <c r="C91" t="s">
        <v>60</v>
      </c>
      <c r="D91" t="s">
        <v>66</v>
      </c>
      <c r="E91" t="s">
        <v>34</v>
      </c>
      <c r="F91" t="s">
        <v>45</v>
      </c>
      <c r="G91" t="s">
        <v>46</v>
      </c>
      <c r="H91" t="s">
        <v>42</v>
      </c>
      <c r="I91">
        <v>4</v>
      </c>
      <c r="J91">
        <v>44316</v>
      </c>
      <c r="K91">
        <v>177264</v>
      </c>
      <c r="L91" t="s">
        <v>61</v>
      </c>
      <c r="M91">
        <v>0</v>
      </c>
      <c r="N91">
        <v>20667.28</v>
      </c>
    </row>
    <row r="92" spans="1:14" ht="14.25" customHeight="1" x14ac:dyDescent="0.3">
      <c r="A92">
        <v>1091</v>
      </c>
      <c r="B92" t="s">
        <v>90</v>
      </c>
      <c r="C92" t="s">
        <v>39</v>
      </c>
      <c r="D92" t="s">
        <v>53</v>
      </c>
      <c r="E92" t="s">
        <v>54</v>
      </c>
      <c r="F92" t="s">
        <v>51</v>
      </c>
      <c r="G92" t="s">
        <v>52</v>
      </c>
      <c r="H92" t="s">
        <v>55</v>
      </c>
      <c r="I92">
        <v>4</v>
      </c>
      <c r="J92">
        <v>2803</v>
      </c>
      <c r="K92">
        <v>10090.799999999999</v>
      </c>
      <c r="L92" t="s">
        <v>61</v>
      </c>
      <c r="M92">
        <v>10</v>
      </c>
      <c r="N92">
        <v>2619.54</v>
      </c>
    </row>
    <row r="93" spans="1:14" ht="14.25" customHeight="1" x14ac:dyDescent="0.3">
      <c r="A93">
        <v>1092</v>
      </c>
      <c r="B93" t="s">
        <v>91</v>
      </c>
      <c r="C93" t="s">
        <v>44</v>
      </c>
      <c r="D93" t="s">
        <v>53</v>
      </c>
      <c r="E93" t="s">
        <v>54</v>
      </c>
      <c r="F93" t="s">
        <v>35</v>
      </c>
      <c r="G93" t="s">
        <v>65</v>
      </c>
      <c r="H93" t="s">
        <v>55</v>
      </c>
      <c r="I93">
        <v>4</v>
      </c>
      <c r="J93">
        <v>35885</v>
      </c>
      <c r="K93">
        <v>129186</v>
      </c>
      <c r="L93" t="s">
        <v>38</v>
      </c>
      <c r="M93">
        <v>10</v>
      </c>
      <c r="N93">
        <v>28401.15</v>
      </c>
    </row>
    <row r="94" spans="1:14" ht="14.25" customHeight="1" x14ac:dyDescent="0.3">
      <c r="A94">
        <v>1093</v>
      </c>
      <c r="B94" t="s">
        <v>91</v>
      </c>
      <c r="C94" t="s">
        <v>44</v>
      </c>
      <c r="D94" t="s">
        <v>33</v>
      </c>
      <c r="E94" t="s">
        <v>34</v>
      </c>
      <c r="F94" t="s">
        <v>45</v>
      </c>
      <c r="G94" t="s">
        <v>46</v>
      </c>
      <c r="H94" t="s">
        <v>37</v>
      </c>
      <c r="I94">
        <v>4</v>
      </c>
      <c r="J94">
        <v>36129</v>
      </c>
      <c r="K94">
        <v>144516</v>
      </c>
      <c r="L94" t="s">
        <v>38</v>
      </c>
      <c r="M94">
        <v>0</v>
      </c>
      <c r="N94">
        <v>26816.05</v>
      </c>
    </row>
    <row r="95" spans="1:14" ht="14.25" customHeight="1" x14ac:dyDescent="0.3">
      <c r="A95">
        <v>1094</v>
      </c>
      <c r="B95" t="s">
        <v>91</v>
      </c>
      <c r="C95" t="s">
        <v>60</v>
      </c>
      <c r="D95" t="s">
        <v>58</v>
      </c>
      <c r="E95" t="s">
        <v>54</v>
      </c>
      <c r="F95" t="s">
        <v>51</v>
      </c>
      <c r="G95" t="s">
        <v>52</v>
      </c>
      <c r="H95" t="s">
        <v>47</v>
      </c>
      <c r="I95">
        <v>5</v>
      </c>
      <c r="J95">
        <v>49666</v>
      </c>
      <c r="K95">
        <v>235913.5</v>
      </c>
      <c r="L95" t="s">
        <v>61</v>
      </c>
      <c r="M95">
        <v>5</v>
      </c>
      <c r="N95">
        <v>38290.74</v>
      </c>
    </row>
    <row r="96" spans="1:14" ht="14.25" customHeight="1" x14ac:dyDescent="0.3">
      <c r="A96">
        <v>1095</v>
      </c>
      <c r="B96" t="s">
        <v>91</v>
      </c>
      <c r="C96" t="s">
        <v>50</v>
      </c>
      <c r="D96" t="s">
        <v>33</v>
      </c>
      <c r="E96" t="s">
        <v>34</v>
      </c>
      <c r="F96" t="s">
        <v>45</v>
      </c>
      <c r="G96" t="s">
        <v>57</v>
      </c>
      <c r="H96" t="s">
        <v>37</v>
      </c>
      <c r="I96">
        <v>3</v>
      </c>
      <c r="J96">
        <v>36302</v>
      </c>
      <c r="K96">
        <v>98015.4</v>
      </c>
      <c r="L96" t="s">
        <v>61</v>
      </c>
      <c r="M96">
        <v>10</v>
      </c>
      <c r="N96">
        <v>26777.87</v>
      </c>
    </row>
    <row r="97" spans="1:14" ht="14.25" customHeight="1" x14ac:dyDescent="0.3">
      <c r="A97">
        <v>1096</v>
      </c>
      <c r="B97" t="s">
        <v>92</v>
      </c>
      <c r="C97" t="s">
        <v>50</v>
      </c>
      <c r="D97" t="s">
        <v>66</v>
      </c>
      <c r="E97" t="s">
        <v>34</v>
      </c>
      <c r="F97" t="s">
        <v>45</v>
      </c>
      <c r="G97" t="s">
        <v>57</v>
      </c>
      <c r="H97" t="s">
        <v>42</v>
      </c>
      <c r="I97">
        <v>1</v>
      </c>
      <c r="J97">
        <v>10198</v>
      </c>
      <c r="K97">
        <v>9178.2000000000007</v>
      </c>
      <c r="L97" t="s">
        <v>61</v>
      </c>
      <c r="M97">
        <v>10</v>
      </c>
      <c r="N97">
        <v>2116.79</v>
      </c>
    </row>
    <row r="98" spans="1:14" ht="14.25" customHeight="1" x14ac:dyDescent="0.3">
      <c r="A98">
        <v>1097</v>
      </c>
      <c r="B98" t="s">
        <v>92</v>
      </c>
      <c r="C98" t="s">
        <v>32</v>
      </c>
      <c r="D98" t="s">
        <v>53</v>
      </c>
      <c r="E98" t="s">
        <v>54</v>
      </c>
      <c r="F98" t="s">
        <v>51</v>
      </c>
      <c r="G98" t="s">
        <v>52</v>
      </c>
      <c r="H98" t="s">
        <v>47</v>
      </c>
      <c r="I98">
        <v>2</v>
      </c>
      <c r="J98">
        <v>6860</v>
      </c>
      <c r="K98">
        <v>12348</v>
      </c>
      <c r="L98" t="s">
        <v>48</v>
      </c>
      <c r="M98">
        <v>10</v>
      </c>
      <c r="N98">
        <v>1532.05</v>
      </c>
    </row>
    <row r="99" spans="1:14" ht="14.25" customHeight="1" x14ac:dyDescent="0.3">
      <c r="A99">
        <v>1098</v>
      </c>
      <c r="B99" t="s">
        <v>92</v>
      </c>
      <c r="C99" t="s">
        <v>60</v>
      </c>
      <c r="D99" t="s">
        <v>53</v>
      </c>
      <c r="E99" t="s">
        <v>54</v>
      </c>
      <c r="F99" t="s">
        <v>45</v>
      </c>
      <c r="G99" t="s">
        <v>46</v>
      </c>
      <c r="H99" t="s">
        <v>55</v>
      </c>
      <c r="I99">
        <v>1</v>
      </c>
      <c r="J99">
        <v>41353</v>
      </c>
      <c r="K99">
        <v>35150.050000000003</v>
      </c>
      <c r="L99" t="s">
        <v>43</v>
      </c>
      <c r="M99">
        <v>15</v>
      </c>
      <c r="N99">
        <v>8365.83</v>
      </c>
    </row>
    <row r="100" spans="1:14" ht="14.25" customHeight="1" x14ac:dyDescent="0.3">
      <c r="A100">
        <v>1099</v>
      </c>
      <c r="B100" t="s">
        <v>92</v>
      </c>
      <c r="C100" t="s">
        <v>60</v>
      </c>
      <c r="D100" t="s">
        <v>58</v>
      </c>
      <c r="E100" t="s">
        <v>54</v>
      </c>
      <c r="F100" t="s">
        <v>35</v>
      </c>
      <c r="G100" t="s">
        <v>36</v>
      </c>
      <c r="H100" t="s">
        <v>37</v>
      </c>
      <c r="I100">
        <v>1</v>
      </c>
      <c r="J100">
        <v>34861</v>
      </c>
      <c r="K100">
        <v>33117.949999999997</v>
      </c>
      <c r="L100" t="s">
        <v>38</v>
      </c>
      <c r="M100">
        <v>5</v>
      </c>
      <c r="N100">
        <v>3861.66</v>
      </c>
    </row>
    <row r="101" spans="1:14" ht="14.25" customHeight="1" x14ac:dyDescent="0.3">
      <c r="A101">
        <v>1100</v>
      </c>
      <c r="B101" t="s">
        <v>92</v>
      </c>
      <c r="C101" t="s">
        <v>60</v>
      </c>
      <c r="D101" t="s">
        <v>33</v>
      </c>
      <c r="E101" t="s">
        <v>34</v>
      </c>
      <c r="F101" t="s">
        <v>45</v>
      </c>
      <c r="G101" t="s">
        <v>69</v>
      </c>
      <c r="H101" t="s">
        <v>42</v>
      </c>
      <c r="I101">
        <v>2</v>
      </c>
      <c r="J101">
        <v>48226</v>
      </c>
      <c r="K101">
        <v>91629.4</v>
      </c>
      <c r="L101" t="s">
        <v>43</v>
      </c>
      <c r="M101">
        <v>5</v>
      </c>
      <c r="N101">
        <v>11608.26</v>
      </c>
    </row>
    <row r="102" spans="1:14" ht="14.25" customHeight="1" x14ac:dyDescent="0.3">
      <c r="A102">
        <v>1101</v>
      </c>
      <c r="B102" t="s">
        <v>93</v>
      </c>
      <c r="C102" t="s">
        <v>39</v>
      </c>
      <c r="D102" t="s">
        <v>53</v>
      </c>
      <c r="E102" t="s">
        <v>54</v>
      </c>
      <c r="F102" t="s">
        <v>35</v>
      </c>
      <c r="G102" t="s">
        <v>67</v>
      </c>
      <c r="H102" t="s">
        <v>55</v>
      </c>
      <c r="I102">
        <v>1</v>
      </c>
      <c r="J102">
        <v>44026</v>
      </c>
      <c r="K102">
        <v>37422.1</v>
      </c>
      <c r="L102" t="s">
        <v>38</v>
      </c>
      <c r="M102">
        <v>15</v>
      </c>
      <c r="N102">
        <v>10465.48</v>
      </c>
    </row>
    <row r="103" spans="1:14" ht="14.25" customHeight="1" x14ac:dyDescent="0.3">
      <c r="A103">
        <v>1102</v>
      </c>
      <c r="B103" t="s">
        <v>93</v>
      </c>
      <c r="C103" t="s">
        <v>39</v>
      </c>
      <c r="D103" t="s">
        <v>33</v>
      </c>
      <c r="E103" t="s">
        <v>34</v>
      </c>
      <c r="F103" t="s">
        <v>51</v>
      </c>
      <c r="G103" t="s">
        <v>52</v>
      </c>
      <c r="H103" t="s">
        <v>47</v>
      </c>
      <c r="I103">
        <v>2</v>
      </c>
      <c r="J103">
        <v>49019</v>
      </c>
      <c r="K103">
        <v>83332.3</v>
      </c>
      <c r="L103" t="s">
        <v>48</v>
      </c>
      <c r="M103">
        <v>15</v>
      </c>
      <c r="N103">
        <v>14340.04</v>
      </c>
    </row>
    <row r="104" spans="1:14" ht="14.25" customHeight="1" x14ac:dyDescent="0.3">
      <c r="A104">
        <v>1103</v>
      </c>
      <c r="B104" t="s">
        <v>93</v>
      </c>
      <c r="C104" t="s">
        <v>44</v>
      </c>
      <c r="D104" t="s">
        <v>53</v>
      </c>
      <c r="E104" t="s">
        <v>54</v>
      </c>
      <c r="F104" t="s">
        <v>51</v>
      </c>
      <c r="G104" t="s">
        <v>62</v>
      </c>
      <c r="H104" t="s">
        <v>37</v>
      </c>
      <c r="I104">
        <v>3</v>
      </c>
      <c r="J104">
        <v>22948</v>
      </c>
      <c r="K104">
        <v>68844</v>
      </c>
      <c r="L104" t="s">
        <v>38</v>
      </c>
      <c r="M104">
        <v>0</v>
      </c>
      <c r="N104">
        <v>9985.61</v>
      </c>
    </row>
    <row r="105" spans="1:14" ht="14.25" customHeight="1" x14ac:dyDescent="0.3">
      <c r="A105">
        <v>1104</v>
      </c>
      <c r="B105" t="s">
        <v>94</v>
      </c>
      <c r="C105" t="s">
        <v>39</v>
      </c>
      <c r="D105" t="s">
        <v>66</v>
      </c>
      <c r="E105" t="s">
        <v>34</v>
      </c>
      <c r="F105" t="s">
        <v>35</v>
      </c>
      <c r="G105" t="s">
        <v>65</v>
      </c>
      <c r="H105" t="s">
        <v>42</v>
      </c>
      <c r="I105">
        <v>3</v>
      </c>
      <c r="J105">
        <v>43165</v>
      </c>
      <c r="K105">
        <v>129495</v>
      </c>
      <c r="L105" t="s">
        <v>61</v>
      </c>
      <c r="M105">
        <v>0</v>
      </c>
      <c r="N105">
        <v>34440.49</v>
      </c>
    </row>
    <row r="106" spans="1:14" ht="14.25" customHeight="1" x14ac:dyDescent="0.3">
      <c r="A106">
        <v>1105</v>
      </c>
      <c r="B106" t="s">
        <v>94</v>
      </c>
      <c r="C106" t="s">
        <v>39</v>
      </c>
      <c r="D106" t="s">
        <v>40</v>
      </c>
      <c r="E106" t="s">
        <v>41</v>
      </c>
      <c r="F106" t="s">
        <v>45</v>
      </c>
      <c r="G106" t="s">
        <v>46</v>
      </c>
      <c r="H106" t="s">
        <v>55</v>
      </c>
      <c r="I106">
        <v>4</v>
      </c>
      <c r="J106">
        <v>44001</v>
      </c>
      <c r="K106">
        <v>167203.79999999999</v>
      </c>
      <c r="L106" t="s">
        <v>43</v>
      </c>
      <c r="M106">
        <v>5</v>
      </c>
      <c r="N106">
        <v>45201.82</v>
      </c>
    </row>
    <row r="107" spans="1:14" ht="14.25" customHeight="1" x14ac:dyDescent="0.3">
      <c r="A107">
        <v>1106</v>
      </c>
      <c r="B107" t="s">
        <v>94</v>
      </c>
      <c r="C107" t="s">
        <v>60</v>
      </c>
      <c r="D107" t="s">
        <v>58</v>
      </c>
      <c r="E107" t="s">
        <v>54</v>
      </c>
      <c r="F107" t="s">
        <v>35</v>
      </c>
      <c r="G107" t="s">
        <v>36</v>
      </c>
      <c r="H107" t="s">
        <v>37</v>
      </c>
      <c r="I107">
        <v>1</v>
      </c>
      <c r="J107">
        <v>2619</v>
      </c>
      <c r="K107">
        <v>2226.15</v>
      </c>
      <c r="L107" t="s">
        <v>61</v>
      </c>
      <c r="M107">
        <v>15</v>
      </c>
      <c r="N107">
        <v>278.85000000000002</v>
      </c>
    </row>
    <row r="108" spans="1:14" ht="14.25" customHeight="1" x14ac:dyDescent="0.3">
      <c r="A108">
        <v>1107</v>
      </c>
      <c r="B108" t="s">
        <v>94</v>
      </c>
      <c r="C108" t="s">
        <v>32</v>
      </c>
      <c r="D108" t="s">
        <v>58</v>
      </c>
      <c r="E108" t="s">
        <v>54</v>
      </c>
      <c r="F108" t="s">
        <v>51</v>
      </c>
      <c r="G108" t="s">
        <v>63</v>
      </c>
      <c r="H108" t="s">
        <v>42</v>
      </c>
      <c r="I108">
        <v>5</v>
      </c>
      <c r="J108">
        <v>24602</v>
      </c>
      <c r="K108">
        <v>123010</v>
      </c>
      <c r="L108" t="s">
        <v>38</v>
      </c>
      <c r="M108">
        <v>0</v>
      </c>
      <c r="N108">
        <v>18890.25</v>
      </c>
    </row>
    <row r="109" spans="1:14" ht="14.25" customHeight="1" x14ac:dyDescent="0.3">
      <c r="A109">
        <v>1108</v>
      </c>
      <c r="B109" t="s">
        <v>94</v>
      </c>
      <c r="C109" t="s">
        <v>60</v>
      </c>
      <c r="D109" t="s">
        <v>58</v>
      </c>
      <c r="E109" t="s">
        <v>54</v>
      </c>
      <c r="F109" t="s">
        <v>35</v>
      </c>
      <c r="G109" t="s">
        <v>36</v>
      </c>
      <c r="H109" t="s">
        <v>42</v>
      </c>
      <c r="I109">
        <v>2</v>
      </c>
      <c r="J109">
        <v>9108</v>
      </c>
      <c r="K109">
        <v>17305.2</v>
      </c>
      <c r="L109" t="s">
        <v>61</v>
      </c>
      <c r="M109">
        <v>5</v>
      </c>
      <c r="N109">
        <v>4683.96</v>
      </c>
    </row>
    <row r="110" spans="1:14" ht="14.25" customHeight="1" x14ac:dyDescent="0.3">
      <c r="A110">
        <v>1109</v>
      </c>
      <c r="B110" t="s">
        <v>95</v>
      </c>
      <c r="C110" t="s">
        <v>39</v>
      </c>
      <c r="D110" t="s">
        <v>66</v>
      </c>
      <c r="E110" t="s">
        <v>34</v>
      </c>
      <c r="F110" t="s">
        <v>45</v>
      </c>
      <c r="G110" t="s">
        <v>57</v>
      </c>
      <c r="H110" t="s">
        <v>47</v>
      </c>
      <c r="I110">
        <v>1</v>
      </c>
      <c r="J110">
        <v>40256</v>
      </c>
      <c r="K110">
        <v>34217.599999999999</v>
      </c>
      <c r="L110" t="s">
        <v>48</v>
      </c>
      <c r="M110">
        <v>15</v>
      </c>
      <c r="N110">
        <v>6140.64</v>
      </c>
    </row>
    <row r="111" spans="1:14" ht="14.25" customHeight="1" x14ac:dyDescent="0.3">
      <c r="A111">
        <v>1110</v>
      </c>
      <c r="B111" t="s">
        <v>95</v>
      </c>
      <c r="C111" t="s">
        <v>32</v>
      </c>
      <c r="D111" t="s">
        <v>53</v>
      </c>
      <c r="E111" t="s">
        <v>54</v>
      </c>
      <c r="F111" t="s">
        <v>45</v>
      </c>
      <c r="G111" t="s">
        <v>69</v>
      </c>
      <c r="H111" t="s">
        <v>37</v>
      </c>
      <c r="I111">
        <v>5</v>
      </c>
      <c r="J111">
        <v>4172</v>
      </c>
      <c r="K111">
        <v>19817</v>
      </c>
      <c r="L111" t="s">
        <v>61</v>
      </c>
      <c r="M111">
        <v>5</v>
      </c>
      <c r="N111">
        <v>4228.43</v>
      </c>
    </row>
    <row r="112" spans="1:14" ht="14.25" customHeight="1" x14ac:dyDescent="0.3">
      <c r="A112">
        <v>1111</v>
      </c>
      <c r="B112" t="s">
        <v>95</v>
      </c>
      <c r="C112" t="s">
        <v>60</v>
      </c>
      <c r="D112" t="s">
        <v>40</v>
      </c>
      <c r="E112" t="s">
        <v>41</v>
      </c>
      <c r="F112" t="s">
        <v>51</v>
      </c>
      <c r="G112" t="s">
        <v>52</v>
      </c>
      <c r="H112" t="s">
        <v>55</v>
      </c>
      <c r="I112">
        <v>1</v>
      </c>
      <c r="J112">
        <v>18160</v>
      </c>
      <c r="K112">
        <v>18160</v>
      </c>
      <c r="L112" t="s">
        <v>61</v>
      </c>
      <c r="M112">
        <v>0</v>
      </c>
      <c r="N112">
        <v>5080</v>
      </c>
    </row>
    <row r="113" spans="1:14" ht="14.25" customHeight="1" x14ac:dyDescent="0.3">
      <c r="A113">
        <v>1112</v>
      </c>
      <c r="B113" t="s">
        <v>95</v>
      </c>
      <c r="C113" t="s">
        <v>60</v>
      </c>
      <c r="D113" t="s">
        <v>53</v>
      </c>
      <c r="E113" t="s">
        <v>54</v>
      </c>
      <c r="F113" t="s">
        <v>51</v>
      </c>
      <c r="G113" t="s">
        <v>63</v>
      </c>
      <c r="H113" t="s">
        <v>47</v>
      </c>
      <c r="I113">
        <v>3</v>
      </c>
      <c r="J113">
        <v>12407</v>
      </c>
      <c r="K113">
        <v>33498.9</v>
      </c>
      <c r="L113" t="s">
        <v>38</v>
      </c>
      <c r="M113">
        <v>10</v>
      </c>
      <c r="N113">
        <v>5183.22</v>
      </c>
    </row>
    <row r="114" spans="1:14" ht="14.25" customHeight="1" x14ac:dyDescent="0.3">
      <c r="A114">
        <v>1113</v>
      </c>
      <c r="B114" t="s">
        <v>96</v>
      </c>
      <c r="C114" t="s">
        <v>60</v>
      </c>
      <c r="D114" t="s">
        <v>40</v>
      </c>
      <c r="E114" t="s">
        <v>41</v>
      </c>
      <c r="F114" t="s">
        <v>45</v>
      </c>
      <c r="G114" t="s">
        <v>46</v>
      </c>
      <c r="H114" t="s">
        <v>55</v>
      </c>
      <c r="I114">
        <v>5</v>
      </c>
      <c r="J114">
        <v>34858</v>
      </c>
      <c r="K114">
        <v>148146.5</v>
      </c>
      <c r="L114" t="s">
        <v>38</v>
      </c>
      <c r="M114">
        <v>15</v>
      </c>
      <c r="N114">
        <v>41424.839999999997</v>
      </c>
    </row>
    <row r="115" spans="1:14" ht="14.25" customHeight="1" x14ac:dyDescent="0.3">
      <c r="A115">
        <v>1114</v>
      </c>
      <c r="B115" t="s">
        <v>96</v>
      </c>
      <c r="C115" t="s">
        <v>60</v>
      </c>
      <c r="D115" t="s">
        <v>40</v>
      </c>
      <c r="E115" t="s">
        <v>41</v>
      </c>
      <c r="F115" t="s">
        <v>45</v>
      </c>
      <c r="G115" t="s">
        <v>46</v>
      </c>
      <c r="H115" t="s">
        <v>42</v>
      </c>
      <c r="I115">
        <v>1</v>
      </c>
      <c r="J115">
        <v>26511</v>
      </c>
      <c r="K115">
        <v>22534.35</v>
      </c>
      <c r="L115" t="s">
        <v>43</v>
      </c>
      <c r="M115">
        <v>15</v>
      </c>
      <c r="N115">
        <v>3410.69</v>
      </c>
    </row>
    <row r="116" spans="1:14" ht="14.25" customHeight="1" x14ac:dyDescent="0.3">
      <c r="A116">
        <v>1115</v>
      </c>
      <c r="B116" t="s">
        <v>96</v>
      </c>
      <c r="C116" t="s">
        <v>60</v>
      </c>
      <c r="D116" t="s">
        <v>40</v>
      </c>
      <c r="E116" t="s">
        <v>41</v>
      </c>
      <c r="F116" t="s">
        <v>45</v>
      </c>
      <c r="G116" t="s">
        <v>69</v>
      </c>
      <c r="H116" t="s">
        <v>42</v>
      </c>
      <c r="I116">
        <v>2</v>
      </c>
      <c r="J116">
        <v>20545</v>
      </c>
      <c r="K116">
        <v>34926.5</v>
      </c>
      <c r="L116" t="s">
        <v>48</v>
      </c>
      <c r="M116">
        <v>15</v>
      </c>
      <c r="N116">
        <v>6368.53</v>
      </c>
    </row>
    <row r="117" spans="1:14" ht="14.25" customHeight="1" x14ac:dyDescent="0.3">
      <c r="A117">
        <v>1116</v>
      </c>
      <c r="B117" t="s">
        <v>96</v>
      </c>
      <c r="C117" t="s">
        <v>32</v>
      </c>
      <c r="D117" t="s">
        <v>66</v>
      </c>
      <c r="E117" t="s">
        <v>34</v>
      </c>
      <c r="F117" t="s">
        <v>35</v>
      </c>
      <c r="G117" t="s">
        <v>36</v>
      </c>
      <c r="H117" t="s">
        <v>42</v>
      </c>
      <c r="I117">
        <v>1</v>
      </c>
      <c r="J117">
        <v>12036</v>
      </c>
      <c r="K117">
        <v>11434.2</v>
      </c>
      <c r="L117" t="s">
        <v>48</v>
      </c>
      <c r="M117">
        <v>5</v>
      </c>
      <c r="N117">
        <v>2771.42</v>
      </c>
    </row>
    <row r="118" spans="1:14" ht="14.25" customHeight="1" x14ac:dyDescent="0.3">
      <c r="A118">
        <v>1117</v>
      </c>
      <c r="B118" t="s">
        <v>97</v>
      </c>
      <c r="C118" t="s">
        <v>44</v>
      </c>
      <c r="D118" t="s">
        <v>53</v>
      </c>
      <c r="E118" t="s">
        <v>54</v>
      </c>
      <c r="F118" t="s">
        <v>51</v>
      </c>
      <c r="G118" t="s">
        <v>62</v>
      </c>
      <c r="H118" t="s">
        <v>55</v>
      </c>
      <c r="I118">
        <v>5</v>
      </c>
      <c r="J118">
        <v>3008</v>
      </c>
      <c r="K118">
        <v>12784</v>
      </c>
      <c r="L118" t="s">
        <v>61</v>
      </c>
      <c r="M118">
        <v>15</v>
      </c>
      <c r="N118">
        <v>2048.12</v>
      </c>
    </row>
    <row r="119" spans="1:14" ht="14.25" customHeight="1" x14ac:dyDescent="0.3">
      <c r="A119">
        <v>1118</v>
      </c>
      <c r="B119" t="s">
        <v>97</v>
      </c>
      <c r="C119" t="s">
        <v>32</v>
      </c>
      <c r="D119" t="s">
        <v>53</v>
      </c>
      <c r="E119" t="s">
        <v>54</v>
      </c>
      <c r="F119" t="s">
        <v>45</v>
      </c>
      <c r="G119" t="s">
        <v>69</v>
      </c>
      <c r="H119" t="s">
        <v>37</v>
      </c>
      <c r="I119">
        <v>1</v>
      </c>
      <c r="J119">
        <v>26490</v>
      </c>
      <c r="K119">
        <v>23841</v>
      </c>
      <c r="L119" t="s">
        <v>61</v>
      </c>
      <c r="M119">
        <v>10</v>
      </c>
      <c r="N119">
        <v>4063.84</v>
      </c>
    </row>
    <row r="120" spans="1:14" ht="14.25" customHeight="1" x14ac:dyDescent="0.3">
      <c r="A120">
        <v>1119</v>
      </c>
      <c r="B120" t="s">
        <v>97</v>
      </c>
      <c r="C120" t="s">
        <v>50</v>
      </c>
      <c r="D120" t="s">
        <v>33</v>
      </c>
      <c r="E120" t="s">
        <v>34</v>
      </c>
      <c r="F120" t="s">
        <v>51</v>
      </c>
      <c r="G120" t="s">
        <v>52</v>
      </c>
      <c r="H120" t="s">
        <v>37</v>
      </c>
      <c r="I120">
        <v>3</v>
      </c>
      <c r="J120">
        <v>11973</v>
      </c>
      <c r="K120">
        <v>34123.050000000003</v>
      </c>
      <c r="L120" t="s">
        <v>43</v>
      </c>
      <c r="M120">
        <v>5</v>
      </c>
      <c r="N120">
        <v>5277.43</v>
      </c>
    </row>
    <row r="121" spans="1:14" ht="14.25" customHeight="1" x14ac:dyDescent="0.3">
      <c r="A121">
        <v>1120</v>
      </c>
      <c r="B121" t="s">
        <v>97</v>
      </c>
      <c r="C121" t="s">
        <v>32</v>
      </c>
      <c r="D121" t="s">
        <v>66</v>
      </c>
      <c r="E121" t="s">
        <v>34</v>
      </c>
      <c r="F121" t="s">
        <v>51</v>
      </c>
      <c r="G121" t="s">
        <v>63</v>
      </c>
      <c r="H121" t="s">
        <v>42</v>
      </c>
      <c r="I121">
        <v>2</v>
      </c>
      <c r="J121">
        <v>36651</v>
      </c>
      <c r="K121">
        <v>69636.899999999994</v>
      </c>
      <c r="L121" t="s">
        <v>43</v>
      </c>
      <c r="M121">
        <v>5</v>
      </c>
      <c r="N121">
        <v>15941.5</v>
      </c>
    </row>
    <row r="122" spans="1:14" ht="14.25" customHeight="1" x14ac:dyDescent="0.3">
      <c r="A122">
        <v>1121</v>
      </c>
      <c r="B122" t="s">
        <v>97</v>
      </c>
      <c r="C122" t="s">
        <v>32</v>
      </c>
      <c r="D122" t="s">
        <v>58</v>
      </c>
      <c r="E122" t="s">
        <v>54</v>
      </c>
      <c r="F122" t="s">
        <v>35</v>
      </c>
      <c r="G122" t="s">
        <v>65</v>
      </c>
      <c r="H122" t="s">
        <v>47</v>
      </c>
      <c r="I122">
        <v>1</v>
      </c>
      <c r="J122">
        <v>3379</v>
      </c>
      <c r="K122">
        <v>3210.05</v>
      </c>
      <c r="L122" t="s">
        <v>61</v>
      </c>
      <c r="M122">
        <v>5</v>
      </c>
      <c r="N122">
        <v>325.55</v>
      </c>
    </row>
    <row r="123" spans="1:14" ht="14.25" customHeight="1" x14ac:dyDescent="0.3">
      <c r="A123">
        <v>1122</v>
      </c>
      <c r="B123" t="s">
        <v>98</v>
      </c>
      <c r="C123" t="s">
        <v>60</v>
      </c>
      <c r="D123" t="s">
        <v>66</v>
      </c>
      <c r="E123" t="s">
        <v>34</v>
      </c>
      <c r="F123" t="s">
        <v>35</v>
      </c>
      <c r="G123" t="s">
        <v>67</v>
      </c>
      <c r="H123" t="s">
        <v>42</v>
      </c>
      <c r="I123">
        <v>2</v>
      </c>
      <c r="J123">
        <v>46057</v>
      </c>
      <c r="K123">
        <v>78296.899999999994</v>
      </c>
      <c r="L123" t="s">
        <v>43</v>
      </c>
      <c r="M123">
        <v>15</v>
      </c>
      <c r="N123">
        <v>14380.27</v>
      </c>
    </row>
    <row r="124" spans="1:14" ht="14.25" customHeight="1" x14ac:dyDescent="0.3">
      <c r="A124">
        <v>1123</v>
      </c>
      <c r="B124" t="s">
        <v>98</v>
      </c>
      <c r="C124" t="s">
        <v>39</v>
      </c>
      <c r="D124" t="s">
        <v>53</v>
      </c>
      <c r="E124" t="s">
        <v>54</v>
      </c>
      <c r="F124" t="s">
        <v>45</v>
      </c>
      <c r="G124" t="s">
        <v>46</v>
      </c>
      <c r="H124" t="s">
        <v>42</v>
      </c>
      <c r="I124">
        <v>1</v>
      </c>
      <c r="J124">
        <v>33848</v>
      </c>
      <c r="K124">
        <v>28770.799999999999</v>
      </c>
      <c r="L124" t="s">
        <v>43</v>
      </c>
      <c r="M124">
        <v>15</v>
      </c>
      <c r="N124">
        <v>7921.53</v>
      </c>
    </row>
    <row r="125" spans="1:14" ht="14.25" customHeight="1" x14ac:dyDescent="0.3">
      <c r="A125">
        <v>1124</v>
      </c>
      <c r="B125" t="s">
        <v>98</v>
      </c>
      <c r="C125" t="s">
        <v>32</v>
      </c>
      <c r="D125" t="s">
        <v>53</v>
      </c>
      <c r="E125" t="s">
        <v>54</v>
      </c>
      <c r="F125" t="s">
        <v>45</v>
      </c>
      <c r="G125" t="s">
        <v>69</v>
      </c>
      <c r="H125" t="s">
        <v>42</v>
      </c>
      <c r="I125">
        <v>2</v>
      </c>
      <c r="J125">
        <v>16254</v>
      </c>
      <c r="K125">
        <v>32508</v>
      </c>
      <c r="L125" t="s">
        <v>48</v>
      </c>
      <c r="M125">
        <v>0</v>
      </c>
      <c r="N125">
        <v>5387.48</v>
      </c>
    </row>
    <row r="126" spans="1:14" ht="14.25" customHeight="1" x14ac:dyDescent="0.3">
      <c r="A126">
        <v>1125</v>
      </c>
      <c r="B126" t="s">
        <v>98</v>
      </c>
      <c r="C126" t="s">
        <v>39</v>
      </c>
      <c r="D126" t="s">
        <v>33</v>
      </c>
      <c r="E126" t="s">
        <v>34</v>
      </c>
      <c r="F126" t="s">
        <v>35</v>
      </c>
      <c r="G126" t="s">
        <v>67</v>
      </c>
      <c r="H126" t="s">
        <v>55</v>
      </c>
      <c r="I126">
        <v>3</v>
      </c>
      <c r="J126">
        <v>35739</v>
      </c>
      <c r="K126">
        <v>107217</v>
      </c>
      <c r="L126" t="s">
        <v>61</v>
      </c>
      <c r="M126">
        <v>0</v>
      </c>
      <c r="N126">
        <v>13764.22</v>
      </c>
    </row>
    <row r="127" spans="1:14" ht="14.25" customHeight="1" x14ac:dyDescent="0.3">
      <c r="A127">
        <v>1126</v>
      </c>
      <c r="B127" t="s">
        <v>98</v>
      </c>
      <c r="C127" t="s">
        <v>32</v>
      </c>
      <c r="D127" t="s">
        <v>40</v>
      </c>
      <c r="E127" t="s">
        <v>41</v>
      </c>
      <c r="F127" t="s">
        <v>51</v>
      </c>
      <c r="G127" t="s">
        <v>63</v>
      </c>
      <c r="H127" t="s">
        <v>47</v>
      </c>
      <c r="I127">
        <v>2</v>
      </c>
      <c r="J127">
        <v>13876</v>
      </c>
      <c r="K127">
        <v>27752</v>
      </c>
      <c r="L127" t="s">
        <v>61</v>
      </c>
      <c r="M127">
        <v>0</v>
      </c>
      <c r="N127">
        <v>6332.09</v>
      </c>
    </row>
    <row r="128" spans="1:14" ht="14.25" customHeight="1" x14ac:dyDescent="0.3">
      <c r="A128">
        <v>1127</v>
      </c>
      <c r="B128" t="s">
        <v>99</v>
      </c>
      <c r="C128" t="s">
        <v>39</v>
      </c>
      <c r="D128" t="s">
        <v>40</v>
      </c>
      <c r="E128" t="s">
        <v>41</v>
      </c>
      <c r="F128" t="s">
        <v>51</v>
      </c>
      <c r="G128" t="s">
        <v>62</v>
      </c>
      <c r="H128" t="s">
        <v>55</v>
      </c>
      <c r="I128">
        <v>3</v>
      </c>
      <c r="J128">
        <v>20120</v>
      </c>
      <c r="K128">
        <v>54324</v>
      </c>
      <c r="L128" t="s">
        <v>48</v>
      </c>
      <c r="M128">
        <v>10</v>
      </c>
      <c r="N128">
        <v>15353.64</v>
      </c>
    </row>
    <row r="129" spans="1:14" ht="14.25" customHeight="1" x14ac:dyDescent="0.3">
      <c r="A129">
        <v>1128</v>
      </c>
      <c r="B129" t="s">
        <v>99</v>
      </c>
      <c r="C129" t="s">
        <v>44</v>
      </c>
      <c r="D129" t="s">
        <v>53</v>
      </c>
      <c r="E129" t="s">
        <v>54</v>
      </c>
      <c r="F129" t="s">
        <v>51</v>
      </c>
      <c r="G129" t="s">
        <v>62</v>
      </c>
      <c r="H129" t="s">
        <v>47</v>
      </c>
      <c r="I129">
        <v>3</v>
      </c>
      <c r="J129">
        <v>25420</v>
      </c>
      <c r="K129">
        <v>68634</v>
      </c>
      <c r="L129" t="s">
        <v>61</v>
      </c>
      <c r="M129">
        <v>10</v>
      </c>
      <c r="N129">
        <v>10167.1</v>
      </c>
    </row>
    <row r="130" spans="1:14" ht="14.25" customHeight="1" x14ac:dyDescent="0.3">
      <c r="A130">
        <v>1129</v>
      </c>
      <c r="B130" t="s">
        <v>100</v>
      </c>
      <c r="C130" t="s">
        <v>44</v>
      </c>
      <c r="D130" t="s">
        <v>40</v>
      </c>
      <c r="E130" t="s">
        <v>41</v>
      </c>
      <c r="F130" t="s">
        <v>35</v>
      </c>
      <c r="G130" t="s">
        <v>36</v>
      </c>
      <c r="H130" t="s">
        <v>55</v>
      </c>
      <c r="I130">
        <v>1</v>
      </c>
      <c r="J130">
        <v>39014</v>
      </c>
      <c r="K130">
        <v>37063.300000000003</v>
      </c>
      <c r="L130" t="s">
        <v>43</v>
      </c>
      <c r="M130">
        <v>5</v>
      </c>
      <c r="N130">
        <v>6471.59</v>
      </c>
    </row>
    <row r="131" spans="1:14" ht="14.25" customHeight="1" x14ac:dyDescent="0.3">
      <c r="A131">
        <v>1130</v>
      </c>
      <c r="B131" t="s">
        <v>100</v>
      </c>
      <c r="C131" t="s">
        <v>44</v>
      </c>
      <c r="D131" t="s">
        <v>58</v>
      </c>
      <c r="E131" t="s">
        <v>54</v>
      </c>
      <c r="F131" t="s">
        <v>35</v>
      </c>
      <c r="G131" t="s">
        <v>65</v>
      </c>
      <c r="H131" t="s">
        <v>37</v>
      </c>
      <c r="I131">
        <v>3</v>
      </c>
      <c r="J131">
        <v>35814</v>
      </c>
      <c r="K131">
        <v>91325.7</v>
      </c>
      <c r="L131" t="s">
        <v>43</v>
      </c>
      <c r="M131">
        <v>15</v>
      </c>
      <c r="N131">
        <v>24971.52</v>
      </c>
    </row>
    <row r="132" spans="1:14" ht="14.25" customHeight="1" x14ac:dyDescent="0.3">
      <c r="A132">
        <v>1131</v>
      </c>
      <c r="B132" t="s">
        <v>100</v>
      </c>
      <c r="C132" t="s">
        <v>60</v>
      </c>
      <c r="D132" t="s">
        <v>58</v>
      </c>
      <c r="E132" t="s">
        <v>54</v>
      </c>
      <c r="F132" t="s">
        <v>45</v>
      </c>
      <c r="G132" t="s">
        <v>69</v>
      </c>
      <c r="H132" t="s">
        <v>37</v>
      </c>
      <c r="I132">
        <v>1</v>
      </c>
      <c r="J132">
        <v>14453</v>
      </c>
      <c r="K132">
        <v>12285.05</v>
      </c>
      <c r="L132" t="s">
        <v>48</v>
      </c>
      <c r="M132">
        <v>15</v>
      </c>
      <c r="N132">
        <v>2129.42</v>
      </c>
    </row>
    <row r="133" spans="1:14" ht="14.25" customHeight="1" x14ac:dyDescent="0.3">
      <c r="A133">
        <v>1132</v>
      </c>
      <c r="B133" t="s">
        <v>100</v>
      </c>
      <c r="C133" t="s">
        <v>44</v>
      </c>
      <c r="D133" t="s">
        <v>33</v>
      </c>
      <c r="E133" t="s">
        <v>34</v>
      </c>
      <c r="F133" t="s">
        <v>45</v>
      </c>
      <c r="G133" t="s">
        <v>46</v>
      </c>
      <c r="H133" t="s">
        <v>42</v>
      </c>
      <c r="I133">
        <v>4</v>
      </c>
      <c r="J133">
        <v>16217</v>
      </c>
      <c r="K133">
        <v>55137.8</v>
      </c>
      <c r="L133" t="s">
        <v>48</v>
      </c>
      <c r="M133">
        <v>15</v>
      </c>
      <c r="N133">
        <v>14835.25</v>
      </c>
    </row>
    <row r="134" spans="1:14" ht="14.25" customHeight="1" x14ac:dyDescent="0.3">
      <c r="A134">
        <v>1133</v>
      </c>
      <c r="B134" t="s">
        <v>101</v>
      </c>
      <c r="C134" t="s">
        <v>39</v>
      </c>
      <c r="D134" t="s">
        <v>53</v>
      </c>
      <c r="E134" t="s">
        <v>54</v>
      </c>
      <c r="F134" t="s">
        <v>45</v>
      </c>
      <c r="G134" t="s">
        <v>69</v>
      </c>
      <c r="H134" t="s">
        <v>37</v>
      </c>
      <c r="I134">
        <v>2</v>
      </c>
      <c r="J134">
        <v>14123</v>
      </c>
      <c r="K134">
        <v>25421.4</v>
      </c>
      <c r="L134" t="s">
        <v>61</v>
      </c>
      <c r="M134">
        <v>10</v>
      </c>
      <c r="N134">
        <v>7479.03</v>
      </c>
    </row>
    <row r="135" spans="1:14" ht="14.25" customHeight="1" x14ac:dyDescent="0.3">
      <c r="A135">
        <v>1134</v>
      </c>
      <c r="B135" t="s">
        <v>101</v>
      </c>
      <c r="C135" t="s">
        <v>39</v>
      </c>
      <c r="D135" t="s">
        <v>66</v>
      </c>
      <c r="E135" t="s">
        <v>34</v>
      </c>
      <c r="F135" t="s">
        <v>45</v>
      </c>
      <c r="G135" t="s">
        <v>69</v>
      </c>
      <c r="H135" t="s">
        <v>47</v>
      </c>
      <c r="I135">
        <v>4</v>
      </c>
      <c r="J135">
        <v>48257</v>
      </c>
      <c r="K135">
        <v>164073.79999999999</v>
      </c>
      <c r="L135" t="s">
        <v>48</v>
      </c>
      <c r="M135">
        <v>15</v>
      </c>
      <c r="N135">
        <v>21827.53</v>
      </c>
    </row>
    <row r="136" spans="1:14" ht="14.25" customHeight="1" x14ac:dyDescent="0.3">
      <c r="A136">
        <v>1135</v>
      </c>
      <c r="B136" t="s">
        <v>101</v>
      </c>
      <c r="C136" t="s">
        <v>60</v>
      </c>
      <c r="D136" t="s">
        <v>33</v>
      </c>
      <c r="E136" t="s">
        <v>34</v>
      </c>
      <c r="F136" t="s">
        <v>45</v>
      </c>
      <c r="G136" t="s">
        <v>57</v>
      </c>
      <c r="H136" t="s">
        <v>55</v>
      </c>
      <c r="I136">
        <v>2</v>
      </c>
      <c r="J136">
        <v>20783</v>
      </c>
      <c r="K136">
        <v>37409.4</v>
      </c>
      <c r="L136" t="s">
        <v>43</v>
      </c>
      <c r="M136">
        <v>10</v>
      </c>
      <c r="N136">
        <v>7422.77</v>
      </c>
    </row>
    <row r="137" spans="1:14" ht="14.25" customHeight="1" x14ac:dyDescent="0.3">
      <c r="A137">
        <v>1136</v>
      </c>
      <c r="B137" t="s">
        <v>101</v>
      </c>
      <c r="C137" t="s">
        <v>60</v>
      </c>
      <c r="D137" t="s">
        <v>40</v>
      </c>
      <c r="E137" t="s">
        <v>41</v>
      </c>
      <c r="F137" t="s">
        <v>35</v>
      </c>
      <c r="G137" t="s">
        <v>65</v>
      </c>
      <c r="H137" t="s">
        <v>42</v>
      </c>
      <c r="I137">
        <v>4</v>
      </c>
      <c r="J137">
        <v>31080</v>
      </c>
      <c r="K137">
        <v>111888</v>
      </c>
      <c r="L137" t="s">
        <v>38</v>
      </c>
      <c r="M137">
        <v>10</v>
      </c>
      <c r="N137">
        <v>16184.9</v>
      </c>
    </row>
    <row r="138" spans="1:14" ht="14.25" customHeight="1" x14ac:dyDescent="0.3">
      <c r="A138">
        <v>1137</v>
      </c>
      <c r="B138" t="s">
        <v>102</v>
      </c>
      <c r="C138" t="s">
        <v>44</v>
      </c>
      <c r="D138" t="s">
        <v>53</v>
      </c>
      <c r="E138" t="s">
        <v>54</v>
      </c>
      <c r="F138" t="s">
        <v>51</v>
      </c>
      <c r="G138" t="s">
        <v>52</v>
      </c>
      <c r="H138" t="s">
        <v>55</v>
      </c>
      <c r="I138">
        <v>1</v>
      </c>
      <c r="J138">
        <v>48283</v>
      </c>
      <c r="K138">
        <v>41040.550000000003</v>
      </c>
      <c r="L138" t="s">
        <v>43</v>
      </c>
      <c r="M138">
        <v>15</v>
      </c>
      <c r="N138">
        <v>9900.48</v>
      </c>
    </row>
    <row r="139" spans="1:14" ht="14.25" customHeight="1" x14ac:dyDescent="0.3">
      <c r="A139">
        <v>1138</v>
      </c>
      <c r="B139" t="s">
        <v>102</v>
      </c>
      <c r="C139" t="s">
        <v>32</v>
      </c>
      <c r="D139" t="s">
        <v>40</v>
      </c>
      <c r="E139" t="s">
        <v>41</v>
      </c>
      <c r="F139" t="s">
        <v>35</v>
      </c>
      <c r="G139" t="s">
        <v>65</v>
      </c>
      <c r="H139" t="s">
        <v>55</v>
      </c>
      <c r="I139">
        <v>3</v>
      </c>
      <c r="J139">
        <v>9215</v>
      </c>
      <c r="K139">
        <v>24880.5</v>
      </c>
      <c r="L139" t="s">
        <v>38</v>
      </c>
      <c r="M139">
        <v>10</v>
      </c>
      <c r="N139">
        <v>4932.97</v>
      </c>
    </row>
    <row r="140" spans="1:14" ht="14.25" customHeight="1" x14ac:dyDescent="0.3">
      <c r="A140">
        <v>1139</v>
      </c>
      <c r="B140" t="s">
        <v>103</v>
      </c>
      <c r="C140" t="s">
        <v>44</v>
      </c>
      <c r="D140" t="s">
        <v>53</v>
      </c>
      <c r="E140" t="s">
        <v>54</v>
      </c>
      <c r="F140" t="s">
        <v>35</v>
      </c>
      <c r="G140" t="s">
        <v>36</v>
      </c>
      <c r="H140" t="s">
        <v>47</v>
      </c>
      <c r="I140">
        <v>1</v>
      </c>
      <c r="J140">
        <v>29279</v>
      </c>
      <c r="K140">
        <v>27815.05</v>
      </c>
      <c r="L140" t="s">
        <v>43</v>
      </c>
      <c r="M140">
        <v>5</v>
      </c>
      <c r="N140">
        <v>3982.97</v>
      </c>
    </row>
    <row r="141" spans="1:14" ht="14.25" customHeight="1" x14ac:dyDescent="0.3">
      <c r="A141">
        <v>1140</v>
      </c>
      <c r="B141" t="s">
        <v>103</v>
      </c>
      <c r="C141" t="s">
        <v>50</v>
      </c>
      <c r="D141" t="s">
        <v>33</v>
      </c>
      <c r="E141" t="s">
        <v>34</v>
      </c>
      <c r="F141" t="s">
        <v>45</v>
      </c>
      <c r="G141" t="s">
        <v>46</v>
      </c>
      <c r="H141" t="s">
        <v>47</v>
      </c>
      <c r="I141">
        <v>2</v>
      </c>
      <c r="J141">
        <v>7050</v>
      </c>
      <c r="K141">
        <v>14100</v>
      </c>
      <c r="L141" t="s">
        <v>38</v>
      </c>
      <c r="M141">
        <v>0</v>
      </c>
      <c r="N141">
        <v>4082.48</v>
      </c>
    </row>
    <row r="142" spans="1:14" ht="14.25" customHeight="1" x14ac:dyDescent="0.3">
      <c r="A142">
        <v>1141</v>
      </c>
      <c r="B142" t="s">
        <v>103</v>
      </c>
      <c r="C142" t="s">
        <v>60</v>
      </c>
      <c r="D142" t="s">
        <v>58</v>
      </c>
      <c r="E142" t="s">
        <v>54</v>
      </c>
      <c r="F142" t="s">
        <v>35</v>
      </c>
      <c r="G142" t="s">
        <v>67</v>
      </c>
      <c r="H142" t="s">
        <v>37</v>
      </c>
      <c r="I142">
        <v>4</v>
      </c>
      <c r="J142">
        <v>9063</v>
      </c>
      <c r="K142">
        <v>34439.4</v>
      </c>
      <c r="L142" t="s">
        <v>43</v>
      </c>
      <c r="M142">
        <v>5</v>
      </c>
      <c r="N142">
        <v>5545.36</v>
      </c>
    </row>
    <row r="143" spans="1:14" ht="14.25" customHeight="1" x14ac:dyDescent="0.3">
      <c r="A143">
        <v>1142</v>
      </c>
      <c r="B143" t="s">
        <v>103</v>
      </c>
      <c r="C143" t="s">
        <v>44</v>
      </c>
      <c r="D143" t="s">
        <v>40</v>
      </c>
      <c r="E143" t="s">
        <v>41</v>
      </c>
      <c r="F143" t="s">
        <v>35</v>
      </c>
      <c r="G143" t="s">
        <v>67</v>
      </c>
      <c r="H143" t="s">
        <v>55</v>
      </c>
      <c r="I143">
        <v>4</v>
      </c>
      <c r="J143">
        <v>33280</v>
      </c>
      <c r="K143">
        <v>119808</v>
      </c>
      <c r="L143" t="s">
        <v>43</v>
      </c>
      <c r="M143">
        <v>10</v>
      </c>
      <c r="N143">
        <v>32910.49</v>
      </c>
    </row>
    <row r="144" spans="1:14" ht="14.25" customHeight="1" x14ac:dyDescent="0.3">
      <c r="A144">
        <v>1143</v>
      </c>
      <c r="B144" t="s">
        <v>103</v>
      </c>
      <c r="C144" t="s">
        <v>50</v>
      </c>
      <c r="D144" t="s">
        <v>58</v>
      </c>
      <c r="E144" t="s">
        <v>54</v>
      </c>
      <c r="F144" t="s">
        <v>35</v>
      </c>
      <c r="G144" t="s">
        <v>65</v>
      </c>
      <c r="H144" t="s">
        <v>55</v>
      </c>
      <c r="I144">
        <v>1</v>
      </c>
      <c r="J144">
        <v>19907</v>
      </c>
      <c r="K144">
        <v>17916.3</v>
      </c>
      <c r="L144" t="s">
        <v>61</v>
      </c>
      <c r="M144">
        <v>10</v>
      </c>
      <c r="N144">
        <v>4838.12</v>
      </c>
    </row>
    <row r="145" spans="1:14" ht="14.25" customHeight="1" x14ac:dyDescent="0.3">
      <c r="A145">
        <v>1144</v>
      </c>
      <c r="B145" t="s">
        <v>104</v>
      </c>
      <c r="C145" t="s">
        <v>50</v>
      </c>
      <c r="D145" t="s">
        <v>66</v>
      </c>
      <c r="E145" t="s">
        <v>34</v>
      </c>
      <c r="F145" t="s">
        <v>35</v>
      </c>
      <c r="G145" t="s">
        <v>36</v>
      </c>
      <c r="H145" t="s">
        <v>47</v>
      </c>
      <c r="I145">
        <v>4</v>
      </c>
      <c r="J145">
        <v>29246</v>
      </c>
      <c r="K145">
        <v>116984</v>
      </c>
      <c r="L145" t="s">
        <v>61</v>
      </c>
      <c r="M145">
        <v>0</v>
      </c>
      <c r="N145">
        <v>24786.42</v>
      </c>
    </row>
    <row r="146" spans="1:14" ht="14.25" customHeight="1" x14ac:dyDescent="0.3">
      <c r="A146">
        <v>1145</v>
      </c>
      <c r="B146" t="s">
        <v>104</v>
      </c>
      <c r="C146" t="s">
        <v>44</v>
      </c>
      <c r="D146" t="s">
        <v>40</v>
      </c>
      <c r="E146" t="s">
        <v>41</v>
      </c>
      <c r="F146" t="s">
        <v>45</v>
      </c>
      <c r="G146" t="s">
        <v>57</v>
      </c>
      <c r="H146" t="s">
        <v>42</v>
      </c>
      <c r="I146">
        <v>2</v>
      </c>
      <c r="J146">
        <v>6842</v>
      </c>
      <c r="K146">
        <v>12315.6</v>
      </c>
      <c r="L146" t="s">
        <v>43</v>
      </c>
      <c r="M146">
        <v>10</v>
      </c>
      <c r="N146">
        <v>1800.24</v>
      </c>
    </row>
    <row r="147" spans="1:14" ht="14.25" customHeight="1" x14ac:dyDescent="0.3">
      <c r="A147">
        <v>1146</v>
      </c>
      <c r="B147" t="s">
        <v>104</v>
      </c>
      <c r="C147" t="s">
        <v>50</v>
      </c>
      <c r="D147" t="s">
        <v>58</v>
      </c>
      <c r="E147" t="s">
        <v>54</v>
      </c>
      <c r="F147" t="s">
        <v>45</v>
      </c>
      <c r="G147" t="s">
        <v>46</v>
      </c>
      <c r="H147" t="s">
        <v>42</v>
      </c>
      <c r="I147">
        <v>2</v>
      </c>
      <c r="J147">
        <v>4303</v>
      </c>
      <c r="K147">
        <v>8606</v>
      </c>
      <c r="L147" t="s">
        <v>61</v>
      </c>
      <c r="M147">
        <v>0</v>
      </c>
      <c r="N147">
        <v>1040.0999999999999</v>
      </c>
    </row>
    <row r="148" spans="1:14" ht="14.25" customHeight="1" x14ac:dyDescent="0.3">
      <c r="A148">
        <v>1147</v>
      </c>
      <c r="B148" t="s">
        <v>104</v>
      </c>
      <c r="C148" t="s">
        <v>60</v>
      </c>
      <c r="D148" t="s">
        <v>66</v>
      </c>
      <c r="E148" t="s">
        <v>34</v>
      </c>
      <c r="F148" t="s">
        <v>35</v>
      </c>
      <c r="G148" t="s">
        <v>36</v>
      </c>
      <c r="H148" t="s">
        <v>42</v>
      </c>
      <c r="I148">
        <v>5</v>
      </c>
      <c r="J148">
        <v>20306</v>
      </c>
      <c r="K148">
        <v>91377</v>
      </c>
      <c r="L148" t="s">
        <v>61</v>
      </c>
      <c r="M148">
        <v>10</v>
      </c>
      <c r="N148">
        <v>14470.29</v>
      </c>
    </row>
    <row r="149" spans="1:14" ht="14.25" customHeight="1" x14ac:dyDescent="0.3">
      <c r="A149">
        <v>1148</v>
      </c>
      <c r="B149" t="s">
        <v>104</v>
      </c>
      <c r="C149" t="s">
        <v>44</v>
      </c>
      <c r="D149" t="s">
        <v>33</v>
      </c>
      <c r="E149" t="s">
        <v>34</v>
      </c>
      <c r="F149" t="s">
        <v>51</v>
      </c>
      <c r="G149" t="s">
        <v>63</v>
      </c>
      <c r="H149" t="s">
        <v>37</v>
      </c>
      <c r="I149">
        <v>4</v>
      </c>
      <c r="J149">
        <v>48936</v>
      </c>
      <c r="K149">
        <v>166382.39999999999</v>
      </c>
      <c r="L149" t="s">
        <v>38</v>
      </c>
      <c r="M149">
        <v>15</v>
      </c>
      <c r="N149">
        <v>27284.080000000002</v>
      </c>
    </row>
    <row r="150" spans="1:14" ht="14.25" customHeight="1" x14ac:dyDescent="0.3">
      <c r="A150">
        <v>1149</v>
      </c>
      <c r="B150" t="s">
        <v>105</v>
      </c>
      <c r="C150" t="s">
        <v>60</v>
      </c>
      <c r="D150" t="s">
        <v>66</v>
      </c>
      <c r="E150" t="s">
        <v>34</v>
      </c>
      <c r="F150" t="s">
        <v>35</v>
      </c>
      <c r="G150" t="s">
        <v>36</v>
      </c>
      <c r="H150" t="s">
        <v>42</v>
      </c>
      <c r="I150">
        <v>5</v>
      </c>
      <c r="J150">
        <v>26052</v>
      </c>
      <c r="K150">
        <v>130260</v>
      </c>
      <c r="L150" t="s">
        <v>43</v>
      </c>
      <c r="M150">
        <v>0</v>
      </c>
      <c r="N150">
        <v>24112.81</v>
      </c>
    </row>
    <row r="151" spans="1:14" ht="14.25" customHeight="1" x14ac:dyDescent="0.3">
      <c r="A151">
        <v>1150</v>
      </c>
      <c r="B151" t="s">
        <v>105</v>
      </c>
      <c r="C151" t="s">
        <v>60</v>
      </c>
      <c r="D151" t="s">
        <v>66</v>
      </c>
      <c r="E151" t="s">
        <v>34</v>
      </c>
      <c r="F151" t="s">
        <v>35</v>
      </c>
      <c r="G151" t="s">
        <v>67</v>
      </c>
      <c r="H151" t="s">
        <v>37</v>
      </c>
      <c r="I151">
        <v>5</v>
      </c>
      <c r="J151">
        <v>37539</v>
      </c>
      <c r="K151">
        <v>168925.5</v>
      </c>
      <c r="L151" t="s">
        <v>61</v>
      </c>
      <c r="M151">
        <v>10</v>
      </c>
      <c r="N151">
        <v>34621.35</v>
      </c>
    </row>
    <row r="152" spans="1:14" ht="14.25" customHeight="1" x14ac:dyDescent="0.3">
      <c r="A152">
        <v>1151</v>
      </c>
      <c r="B152" t="s">
        <v>105</v>
      </c>
      <c r="C152" t="s">
        <v>39</v>
      </c>
      <c r="D152" t="s">
        <v>33</v>
      </c>
      <c r="E152" t="s">
        <v>34</v>
      </c>
      <c r="F152" t="s">
        <v>35</v>
      </c>
      <c r="G152" t="s">
        <v>65</v>
      </c>
      <c r="H152" t="s">
        <v>47</v>
      </c>
      <c r="I152">
        <v>3</v>
      </c>
      <c r="J152">
        <v>8387</v>
      </c>
      <c r="K152">
        <v>23902.95</v>
      </c>
      <c r="L152" t="s">
        <v>48</v>
      </c>
      <c r="M152">
        <v>5</v>
      </c>
      <c r="N152">
        <v>5938.24</v>
      </c>
    </row>
    <row r="153" spans="1:14" ht="14.25" customHeight="1" x14ac:dyDescent="0.3">
      <c r="A153">
        <v>1152</v>
      </c>
      <c r="B153" t="s">
        <v>105</v>
      </c>
      <c r="C153" t="s">
        <v>32</v>
      </c>
      <c r="D153" t="s">
        <v>66</v>
      </c>
      <c r="E153" t="s">
        <v>34</v>
      </c>
      <c r="F153" t="s">
        <v>45</v>
      </c>
      <c r="G153" t="s">
        <v>46</v>
      </c>
      <c r="H153" t="s">
        <v>37</v>
      </c>
      <c r="I153">
        <v>5</v>
      </c>
      <c r="J153">
        <v>12140</v>
      </c>
      <c r="K153">
        <v>57665</v>
      </c>
      <c r="L153" t="s">
        <v>48</v>
      </c>
      <c r="M153">
        <v>5</v>
      </c>
      <c r="N153">
        <v>13565.87</v>
      </c>
    </row>
    <row r="154" spans="1:14" ht="14.25" customHeight="1" x14ac:dyDescent="0.3">
      <c r="A154">
        <v>1153</v>
      </c>
      <c r="B154" t="s">
        <v>106</v>
      </c>
      <c r="C154" t="s">
        <v>39</v>
      </c>
      <c r="D154" t="s">
        <v>53</v>
      </c>
      <c r="E154" t="s">
        <v>54</v>
      </c>
      <c r="F154" t="s">
        <v>35</v>
      </c>
      <c r="G154" t="s">
        <v>67</v>
      </c>
      <c r="H154" t="s">
        <v>42</v>
      </c>
      <c r="I154">
        <v>1</v>
      </c>
      <c r="J154">
        <v>43437</v>
      </c>
      <c r="K154">
        <v>41265.15</v>
      </c>
      <c r="L154" t="s">
        <v>61</v>
      </c>
      <c r="M154">
        <v>5</v>
      </c>
      <c r="N154">
        <v>9859.8799999999992</v>
      </c>
    </row>
    <row r="155" spans="1:14" ht="14.25" customHeight="1" x14ac:dyDescent="0.3">
      <c r="A155">
        <v>1154</v>
      </c>
      <c r="B155" t="s">
        <v>106</v>
      </c>
      <c r="C155" t="s">
        <v>60</v>
      </c>
      <c r="D155" t="s">
        <v>58</v>
      </c>
      <c r="E155" t="s">
        <v>54</v>
      </c>
      <c r="F155" t="s">
        <v>35</v>
      </c>
      <c r="G155" t="s">
        <v>65</v>
      </c>
      <c r="H155" t="s">
        <v>47</v>
      </c>
      <c r="I155">
        <v>1</v>
      </c>
      <c r="J155">
        <v>3774</v>
      </c>
      <c r="K155">
        <v>3585.3</v>
      </c>
      <c r="L155" t="s">
        <v>38</v>
      </c>
      <c r="M155">
        <v>5</v>
      </c>
      <c r="N155">
        <v>496.96</v>
      </c>
    </row>
    <row r="156" spans="1:14" ht="14.25" customHeight="1" x14ac:dyDescent="0.3">
      <c r="A156">
        <v>1155</v>
      </c>
      <c r="B156" t="s">
        <v>106</v>
      </c>
      <c r="C156" t="s">
        <v>50</v>
      </c>
      <c r="D156" t="s">
        <v>66</v>
      </c>
      <c r="E156" t="s">
        <v>34</v>
      </c>
      <c r="F156" t="s">
        <v>35</v>
      </c>
      <c r="G156" t="s">
        <v>36</v>
      </c>
      <c r="H156" t="s">
        <v>42</v>
      </c>
      <c r="I156">
        <v>2</v>
      </c>
      <c r="J156">
        <v>7907</v>
      </c>
      <c r="K156">
        <v>14232.6</v>
      </c>
      <c r="L156" t="s">
        <v>38</v>
      </c>
      <c r="M156">
        <v>10</v>
      </c>
      <c r="N156">
        <v>3276.61</v>
      </c>
    </row>
    <row r="157" spans="1:14" ht="14.25" customHeight="1" x14ac:dyDescent="0.3">
      <c r="A157">
        <v>1156</v>
      </c>
      <c r="B157" t="s">
        <v>107</v>
      </c>
      <c r="C157" t="s">
        <v>32</v>
      </c>
      <c r="D157" t="s">
        <v>40</v>
      </c>
      <c r="E157" t="s">
        <v>41</v>
      </c>
      <c r="F157" t="s">
        <v>35</v>
      </c>
      <c r="G157" t="s">
        <v>67</v>
      </c>
      <c r="H157" t="s">
        <v>47</v>
      </c>
      <c r="I157">
        <v>5</v>
      </c>
      <c r="J157">
        <v>17971</v>
      </c>
      <c r="K157">
        <v>89855</v>
      </c>
      <c r="L157" t="s">
        <v>61</v>
      </c>
      <c r="M157">
        <v>0</v>
      </c>
      <c r="N157">
        <v>17379.34</v>
      </c>
    </row>
    <row r="158" spans="1:14" ht="14.25" customHeight="1" x14ac:dyDescent="0.3">
      <c r="A158">
        <v>1157</v>
      </c>
      <c r="B158" t="s">
        <v>107</v>
      </c>
      <c r="C158" t="s">
        <v>44</v>
      </c>
      <c r="D158" t="s">
        <v>40</v>
      </c>
      <c r="E158" t="s">
        <v>41</v>
      </c>
      <c r="F158" t="s">
        <v>51</v>
      </c>
      <c r="G158" t="s">
        <v>52</v>
      </c>
      <c r="H158" t="s">
        <v>55</v>
      </c>
      <c r="I158">
        <v>5</v>
      </c>
      <c r="J158">
        <v>37411</v>
      </c>
      <c r="K158">
        <v>158996.75</v>
      </c>
      <c r="L158" t="s">
        <v>48</v>
      </c>
      <c r="M158">
        <v>15</v>
      </c>
      <c r="N158">
        <v>37533.25</v>
      </c>
    </row>
    <row r="159" spans="1:14" ht="14.25" customHeight="1" x14ac:dyDescent="0.3">
      <c r="A159">
        <v>1158</v>
      </c>
      <c r="B159" t="s">
        <v>107</v>
      </c>
      <c r="C159" t="s">
        <v>50</v>
      </c>
      <c r="D159" t="s">
        <v>40</v>
      </c>
      <c r="E159" t="s">
        <v>41</v>
      </c>
      <c r="F159" t="s">
        <v>51</v>
      </c>
      <c r="G159" t="s">
        <v>52</v>
      </c>
      <c r="H159" t="s">
        <v>47</v>
      </c>
      <c r="I159">
        <v>4</v>
      </c>
      <c r="J159">
        <v>20341</v>
      </c>
      <c r="K159">
        <v>73227.600000000006</v>
      </c>
      <c r="L159" t="s">
        <v>38</v>
      </c>
      <c r="M159">
        <v>10</v>
      </c>
      <c r="N159">
        <v>12672.11</v>
      </c>
    </row>
    <row r="160" spans="1:14" ht="14.25" customHeight="1" x14ac:dyDescent="0.3">
      <c r="A160">
        <v>1159</v>
      </c>
      <c r="B160" t="s">
        <v>107</v>
      </c>
      <c r="C160" t="s">
        <v>39</v>
      </c>
      <c r="D160" t="s">
        <v>40</v>
      </c>
      <c r="E160" t="s">
        <v>41</v>
      </c>
      <c r="F160" t="s">
        <v>35</v>
      </c>
      <c r="G160" t="s">
        <v>67</v>
      </c>
      <c r="H160" t="s">
        <v>37</v>
      </c>
      <c r="I160">
        <v>4</v>
      </c>
      <c r="J160">
        <v>34136</v>
      </c>
      <c r="K160">
        <v>136544</v>
      </c>
      <c r="L160" t="s">
        <v>43</v>
      </c>
      <c r="M160">
        <v>0</v>
      </c>
      <c r="N160">
        <v>23431.95</v>
      </c>
    </row>
    <row r="161" spans="1:14" ht="14.25" customHeight="1" x14ac:dyDescent="0.3">
      <c r="A161">
        <v>1160</v>
      </c>
      <c r="B161" t="s">
        <v>108</v>
      </c>
      <c r="C161" t="s">
        <v>32</v>
      </c>
      <c r="D161" t="s">
        <v>66</v>
      </c>
      <c r="E161" t="s">
        <v>34</v>
      </c>
      <c r="F161" t="s">
        <v>45</v>
      </c>
      <c r="G161" t="s">
        <v>46</v>
      </c>
      <c r="H161" t="s">
        <v>42</v>
      </c>
      <c r="I161">
        <v>5</v>
      </c>
      <c r="J161">
        <v>44275</v>
      </c>
      <c r="K161">
        <v>199237.5</v>
      </c>
      <c r="L161" t="s">
        <v>61</v>
      </c>
      <c r="M161">
        <v>10</v>
      </c>
      <c r="N161">
        <v>52381.04</v>
      </c>
    </row>
    <row r="162" spans="1:14" ht="14.25" customHeight="1" x14ac:dyDescent="0.3">
      <c r="A162">
        <v>1161</v>
      </c>
      <c r="B162" t="s">
        <v>108</v>
      </c>
      <c r="C162" t="s">
        <v>44</v>
      </c>
      <c r="D162" t="s">
        <v>33</v>
      </c>
      <c r="E162" t="s">
        <v>34</v>
      </c>
      <c r="F162" t="s">
        <v>51</v>
      </c>
      <c r="G162" t="s">
        <v>52</v>
      </c>
      <c r="H162" t="s">
        <v>42</v>
      </c>
      <c r="I162">
        <v>2</v>
      </c>
      <c r="J162">
        <v>40116</v>
      </c>
      <c r="K162">
        <v>76220.399999999994</v>
      </c>
      <c r="L162" t="s">
        <v>48</v>
      </c>
      <c r="M162">
        <v>5</v>
      </c>
      <c r="N162">
        <v>21117.78</v>
      </c>
    </row>
    <row r="163" spans="1:14" ht="14.25" customHeight="1" x14ac:dyDescent="0.3">
      <c r="A163">
        <v>1162</v>
      </c>
      <c r="B163" t="s">
        <v>109</v>
      </c>
      <c r="C163" t="s">
        <v>60</v>
      </c>
      <c r="D163" t="s">
        <v>58</v>
      </c>
      <c r="E163" t="s">
        <v>54</v>
      </c>
      <c r="F163" t="s">
        <v>35</v>
      </c>
      <c r="G163" t="s">
        <v>36</v>
      </c>
      <c r="H163" t="s">
        <v>55</v>
      </c>
      <c r="I163">
        <v>1</v>
      </c>
      <c r="J163">
        <v>34207</v>
      </c>
      <c r="K163">
        <v>30786.3</v>
      </c>
      <c r="L163" t="s">
        <v>38</v>
      </c>
      <c r="M163">
        <v>10</v>
      </c>
      <c r="N163">
        <v>8882</v>
      </c>
    </row>
    <row r="164" spans="1:14" ht="14.25" customHeight="1" x14ac:dyDescent="0.3">
      <c r="A164">
        <v>1163</v>
      </c>
      <c r="B164" t="s">
        <v>109</v>
      </c>
      <c r="C164" t="s">
        <v>60</v>
      </c>
      <c r="D164" t="s">
        <v>58</v>
      </c>
      <c r="E164" t="s">
        <v>54</v>
      </c>
      <c r="F164" t="s">
        <v>35</v>
      </c>
      <c r="G164" t="s">
        <v>65</v>
      </c>
      <c r="H164" t="s">
        <v>37</v>
      </c>
      <c r="I164">
        <v>3</v>
      </c>
      <c r="J164">
        <v>2703</v>
      </c>
      <c r="K164">
        <v>7703.55</v>
      </c>
      <c r="L164" t="s">
        <v>38</v>
      </c>
      <c r="M164">
        <v>5</v>
      </c>
      <c r="N164">
        <v>2282.88</v>
      </c>
    </row>
    <row r="165" spans="1:14" ht="14.25" customHeight="1" x14ac:dyDescent="0.3">
      <c r="A165">
        <v>1164</v>
      </c>
      <c r="B165" t="s">
        <v>110</v>
      </c>
      <c r="C165" t="s">
        <v>39</v>
      </c>
      <c r="D165" t="s">
        <v>53</v>
      </c>
      <c r="E165" t="s">
        <v>54</v>
      </c>
      <c r="F165" t="s">
        <v>51</v>
      </c>
      <c r="G165" t="s">
        <v>63</v>
      </c>
      <c r="H165" t="s">
        <v>47</v>
      </c>
      <c r="I165">
        <v>3</v>
      </c>
      <c r="J165">
        <v>23978</v>
      </c>
      <c r="K165">
        <v>61143.9</v>
      </c>
      <c r="L165" t="s">
        <v>61</v>
      </c>
      <c r="M165">
        <v>15</v>
      </c>
      <c r="N165">
        <v>15926.5</v>
      </c>
    </row>
    <row r="166" spans="1:14" ht="14.25" customHeight="1" x14ac:dyDescent="0.3">
      <c r="A166">
        <v>1165</v>
      </c>
      <c r="B166" t="s">
        <v>110</v>
      </c>
      <c r="C166" t="s">
        <v>44</v>
      </c>
      <c r="D166" t="s">
        <v>66</v>
      </c>
      <c r="E166" t="s">
        <v>34</v>
      </c>
      <c r="F166" t="s">
        <v>35</v>
      </c>
      <c r="G166" t="s">
        <v>67</v>
      </c>
      <c r="H166" t="s">
        <v>55</v>
      </c>
      <c r="I166">
        <v>2</v>
      </c>
      <c r="J166">
        <v>29688</v>
      </c>
      <c r="K166">
        <v>50469.599999999999</v>
      </c>
      <c r="L166" t="s">
        <v>43</v>
      </c>
      <c r="M166">
        <v>15</v>
      </c>
      <c r="N166">
        <v>6305.45</v>
      </c>
    </row>
    <row r="167" spans="1:14" ht="14.25" customHeight="1" x14ac:dyDescent="0.3">
      <c r="A167">
        <v>1166</v>
      </c>
      <c r="B167" t="s">
        <v>110</v>
      </c>
      <c r="C167" t="s">
        <v>32</v>
      </c>
      <c r="D167" t="s">
        <v>40</v>
      </c>
      <c r="E167" t="s">
        <v>41</v>
      </c>
      <c r="F167" t="s">
        <v>51</v>
      </c>
      <c r="G167" t="s">
        <v>62</v>
      </c>
      <c r="H167" t="s">
        <v>47</v>
      </c>
      <c r="I167">
        <v>3</v>
      </c>
      <c r="J167">
        <v>48214</v>
      </c>
      <c r="K167">
        <v>122945.7</v>
      </c>
      <c r="L167" t="s">
        <v>48</v>
      </c>
      <c r="M167">
        <v>15</v>
      </c>
      <c r="N167">
        <v>27153.72</v>
      </c>
    </row>
    <row r="168" spans="1:14" ht="14.25" customHeight="1" x14ac:dyDescent="0.3">
      <c r="A168">
        <v>1167</v>
      </c>
      <c r="B168" t="s">
        <v>110</v>
      </c>
      <c r="C168" t="s">
        <v>50</v>
      </c>
      <c r="D168" t="s">
        <v>53</v>
      </c>
      <c r="E168" t="s">
        <v>54</v>
      </c>
      <c r="F168" t="s">
        <v>45</v>
      </c>
      <c r="G168" t="s">
        <v>46</v>
      </c>
      <c r="H168" t="s">
        <v>55</v>
      </c>
      <c r="I168">
        <v>2</v>
      </c>
      <c r="J168">
        <v>9310</v>
      </c>
      <c r="K168">
        <v>16758</v>
      </c>
      <c r="L168" t="s">
        <v>61</v>
      </c>
      <c r="M168">
        <v>10</v>
      </c>
      <c r="N168">
        <v>4751.79</v>
      </c>
    </row>
    <row r="169" spans="1:14" ht="14.25" customHeight="1" x14ac:dyDescent="0.3">
      <c r="A169">
        <v>1168</v>
      </c>
      <c r="B169" t="s">
        <v>110</v>
      </c>
      <c r="C169" t="s">
        <v>44</v>
      </c>
      <c r="D169" t="s">
        <v>33</v>
      </c>
      <c r="E169" t="s">
        <v>34</v>
      </c>
      <c r="F169" t="s">
        <v>51</v>
      </c>
      <c r="G169" t="s">
        <v>63</v>
      </c>
      <c r="H169" t="s">
        <v>47</v>
      </c>
      <c r="I169">
        <v>1</v>
      </c>
      <c r="J169">
        <v>1039</v>
      </c>
      <c r="K169">
        <v>1039</v>
      </c>
      <c r="L169" t="s">
        <v>38</v>
      </c>
      <c r="M169">
        <v>0</v>
      </c>
      <c r="N169">
        <v>226.43</v>
      </c>
    </row>
    <row r="170" spans="1:14" ht="14.25" customHeight="1" x14ac:dyDescent="0.3">
      <c r="A170">
        <v>1169</v>
      </c>
      <c r="B170" t="s">
        <v>111</v>
      </c>
      <c r="C170" t="s">
        <v>60</v>
      </c>
      <c r="D170" t="s">
        <v>40</v>
      </c>
      <c r="E170" t="s">
        <v>41</v>
      </c>
      <c r="F170" t="s">
        <v>35</v>
      </c>
      <c r="G170" t="s">
        <v>36</v>
      </c>
      <c r="H170" t="s">
        <v>55</v>
      </c>
      <c r="I170">
        <v>5</v>
      </c>
      <c r="J170">
        <v>8704</v>
      </c>
      <c r="K170">
        <v>41344</v>
      </c>
      <c r="L170" t="s">
        <v>38</v>
      </c>
      <c r="M170">
        <v>5</v>
      </c>
      <c r="N170">
        <v>9441.65</v>
      </c>
    </row>
    <row r="171" spans="1:14" ht="14.25" customHeight="1" x14ac:dyDescent="0.3">
      <c r="A171">
        <v>1170</v>
      </c>
      <c r="B171" t="s">
        <v>111</v>
      </c>
      <c r="C171" t="s">
        <v>60</v>
      </c>
      <c r="D171" t="s">
        <v>58</v>
      </c>
      <c r="E171" t="s">
        <v>54</v>
      </c>
      <c r="F171" t="s">
        <v>51</v>
      </c>
      <c r="G171" t="s">
        <v>62</v>
      </c>
      <c r="H171" t="s">
        <v>42</v>
      </c>
      <c r="I171">
        <v>5</v>
      </c>
      <c r="J171">
        <v>48981</v>
      </c>
      <c r="K171">
        <v>220414.5</v>
      </c>
      <c r="L171" t="s">
        <v>48</v>
      </c>
      <c r="M171">
        <v>10</v>
      </c>
      <c r="N171">
        <v>65213.25</v>
      </c>
    </row>
    <row r="172" spans="1:14" ht="14.25" customHeight="1" x14ac:dyDescent="0.3">
      <c r="A172">
        <v>1171</v>
      </c>
      <c r="B172" t="s">
        <v>111</v>
      </c>
      <c r="C172" t="s">
        <v>50</v>
      </c>
      <c r="D172" t="s">
        <v>40</v>
      </c>
      <c r="E172" t="s">
        <v>41</v>
      </c>
      <c r="F172" t="s">
        <v>51</v>
      </c>
      <c r="G172" t="s">
        <v>62</v>
      </c>
      <c r="H172" t="s">
        <v>47</v>
      </c>
      <c r="I172">
        <v>5</v>
      </c>
      <c r="J172">
        <v>35413</v>
      </c>
      <c r="K172">
        <v>168211.75</v>
      </c>
      <c r="L172" t="s">
        <v>48</v>
      </c>
      <c r="M172">
        <v>5</v>
      </c>
      <c r="N172">
        <v>41340.9</v>
      </c>
    </row>
    <row r="173" spans="1:14" ht="14.25" customHeight="1" x14ac:dyDescent="0.3">
      <c r="A173">
        <v>1172</v>
      </c>
      <c r="B173" t="s">
        <v>111</v>
      </c>
      <c r="C173" t="s">
        <v>60</v>
      </c>
      <c r="D173" t="s">
        <v>66</v>
      </c>
      <c r="E173" t="s">
        <v>34</v>
      </c>
      <c r="F173" t="s">
        <v>35</v>
      </c>
      <c r="G173" t="s">
        <v>65</v>
      </c>
      <c r="H173" t="s">
        <v>37</v>
      </c>
      <c r="I173">
        <v>2</v>
      </c>
      <c r="J173">
        <v>1920</v>
      </c>
      <c r="K173">
        <v>3264</v>
      </c>
      <c r="L173" t="s">
        <v>38</v>
      </c>
      <c r="M173">
        <v>15</v>
      </c>
      <c r="N173">
        <v>830.38</v>
      </c>
    </row>
    <row r="174" spans="1:14" ht="14.25" customHeight="1" x14ac:dyDescent="0.3">
      <c r="A174">
        <v>1173</v>
      </c>
      <c r="B174" t="s">
        <v>111</v>
      </c>
      <c r="C174" t="s">
        <v>50</v>
      </c>
      <c r="D174" t="s">
        <v>40</v>
      </c>
      <c r="E174" t="s">
        <v>41</v>
      </c>
      <c r="F174" t="s">
        <v>45</v>
      </c>
      <c r="G174" t="s">
        <v>69</v>
      </c>
      <c r="H174" t="s">
        <v>55</v>
      </c>
      <c r="I174">
        <v>3</v>
      </c>
      <c r="J174">
        <v>49503</v>
      </c>
      <c r="K174">
        <v>141083.54999999999</v>
      </c>
      <c r="L174" t="s">
        <v>48</v>
      </c>
      <c r="M174">
        <v>5</v>
      </c>
      <c r="N174">
        <v>31474.09</v>
      </c>
    </row>
    <row r="175" spans="1:14" ht="14.25" customHeight="1" x14ac:dyDescent="0.3">
      <c r="A175">
        <v>1174</v>
      </c>
      <c r="B175" t="s">
        <v>112</v>
      </c>
      <c r="C175" t="s">
        <v>32</v>
      </c>
      <c r="D175" t="s">
        <v>33</v>
      </c>
      <c r="E175" t="s">
        <v>34</v>
      </c>
      <c r="F175" t="s">
        <v>35</v>
      </c>
      <c r="G175" t="s">
        <v>65</v>
      </c>
      <c r="H175" t="s">
        <v>47</v>
      </c>
      <c r="I175">
        <v>5</v>
      </c>
      <c r="J175">
        <v>42067</v>
      </c>
      <c r="K175">
        <v>210335</v>
      </c>
      <c r="L175" t="s">
        <v>38</v>
      </c>
      <c r="M175">
        <v>0</v>
      </c>
      <c r="N175">
        <v>37201.68</v>
      </c>
    </row>
    <row r="176" spans="1:14" ht="14.25" customHeight="1" x14ac:dyDescent="0.3">
      <c r="A176">
        <v>1175</v>
      </c>
      <c r="B176" t="s">
        <v>112</v>
      </c>
      <c r="C176" t="s">
        <v>60</v>
      </c>
      <c r="D176" t="s">
        <v>53</v>
      </c>
      <c r="E176" t="s">
        <v>54</v>
      </c>
      <c r="F176" t="s">
        <v>51</v>
      </c>
      <c r="G176" t="s">
        <v>62</v>
      </c>
      <c r="H176" t="s">
        <v>37</v>
      </c>
      <c r="I176">
        <v>3</v>
      </c>
      <c r="J176">
        <v>32522</v>
      </c>
      <c r="K176">
        <v>92687.7</v>
      </c>
      <c r="L176" t="s">
        <v>38</v>
      </c>
      <c r="M176">
        <v>5</v>
      </c>
      <c r="N176">
        <v>16339.32</v>
      </c>
    </row>
    <row r="177" spans="1:14" ht="14.25" customHeight="1" x14ac:dyDescent="0.3">
      <c r="A177">
        <v>1176</v>
      </c>
      <c r="B177" t="s">
        <v>112</v>
      </c>
      <c r="C177" t="s">
        <v>39</v>
      </c>
      <c r="D177" t="s">
        <v>40</v>
      </c>
      <c r="E177" t="s">
        <v>41</v>
      </c>
      <c r="F177" t="s">
        <v>45</v>
      </c>
      <c r="G177" t="s">
        <v>57</v>
      </c>
      <c r="H177" t="s">
        <v>55</v>
      </c>
      <c r="I177">
        <v>2</v>
      </c>
      <c r="J177">
        <v>26311</v>
      </c>
      <c r="K177">
        <v>49990.9</v>
      </c>
      <c r="L177" t="s">
        <v>61</v>
      </c>
      <c r="M177">
        <v>5</v>
      </c>
      <c r="N177">
        <v>6948.93</v>
      </c>
    </row>
    <row r="178" spans="1:14" ht="14.25" customHeight="1" x14ac:dyDescent="0.3">
      <c r="A178">
        <v>1177</v>
      </c>
      <c r="B178" t="s">
        <v>112</v>
      </c>
      <c r="C178" t="s">
        <v>44</v>
      </c>
      <c r="D178" t="s">
        <v>58</v>
      </c>
      <c r="E178" t="s">
        <v>54</v>
      </c>
      <c r="F178" t="s">
        <v>51</v>
      </c>
      <c r="G178" t="s">
        <v>52</v>
      </c>
      <c r="H178" t="s">
        <v>55</v>
      </c>
      <c r="I178">
        <v>1</v>
      </c>
      <c r="J178">
        <v>42803</v>
      </c>
      <c r="K178">
        <v>36382.550000000003</v>
      </c>
      <c r="L178" t="s">
        <v>48</v>
      </c>
      <c r="M178">
        <v>15</v>
      </c>
      <c r="N178">
        <v>9797.82</v>
      </c>
    </row>
    <row r="179" spans="1:14" ht="14.25" customHeight="1" x14ac:dyDescent="0.3">
      <c r="A179">
        <v>1178</v>
      </c>
      <c r="B179" t="s">
        <v>113</v>
      </c>
      <c r="C179" t="s">
        <v>44</v>
      </c>
      <c r="D179" t="s">
        <v>33</v>
      </c>
      <c r="E179" t="s">
        <v>34</v>
      </c>
      <c r="F179" t="s">
        <v>35</v>
      </c>
      <c r="G179" t="s">
        <v>65</v>
      </c>
      <c r="H179" t="s">
        <v>55</v>
      </c>
      <c r="I179">
        <v>5</v>
      </c>
      <c r="J179">
        <v>16361</v>
      </c>
      <c r="K179">
        <v>77714.75</v>
      </c>
      <c r="L179" t="s">
        <v>61</v>
      </c>
      <c r="M179">
        <v>5</v>
      </c>
      <c r="N179">
        <v>13574.16</v>
      </c>
    </row>
    <row r="180" spans="1:14" ht="14.25" customHeight="1" x14ac:dyDescent="0.3">
      <c r="A180">
        <v>1179</v>
      </c>
      <c r="B180" t="s">
        <v>113</v>
      </c>
      <c r="C180" t="s">
        <v>44</v>
      </c>
      <c r="D180" t="s">
        <v>33</v>
      </c>
      <c r="E180" t="s">
        <v>34</v>
      </c>
      <c r="F180" t="s">
        <v>35</v>
      </c>
      <c r="G180" t="s">
        <v>65</v>
      </c>
      <c r="H180" t="s">
        <v>55</v>
      </c>
      <c r="I180">
        <v>3</v>
      </c>
      <c r="J180">
        <v>43093</v>
      </c>
      <c r="K180">
        <v>109887.15</v>
      </c>
      <c r="L180" t="s">
        <v>43</v>
      </c>
      <c r="M180">
        <v>15</v>
      </c>
      <c r="N180">
        <v>26194.53</v>
      </c>
    </row>
    <row r="181" spans="1:14" ht="14.25" customHeight="1" x14ac:dyDescent="0.3">
      <c r="A181">
        <v>1180</v>
      </c>
      <c r="B181" t="s">
        <v>113</v>
      </c>
      <c r="C181" t="s">
        <v>44</v>
      </c>
      <c r="D181" t="s">
        <v>66</v>
      </c>
      <c r="E181" t="s">
        <v>34</v>
      </c>
      <c r="F181" t="s">
        <v>51</v>
      </c>
      <c r="G181" t="s">
        <v>63</v>
      </c>
      <c r="H181" t="s">
        <v>47</v>
      </c>
      <c r="I181">
        <v>3</v>
      </c>
      <c r="J181">
        <v>25807</v>
      </c>
      <c r="K181">
        <v>65807.850000000006</v>
      </c>
      <c r="L181" t="s">
        <v>61</v>
      </c>
      <c r="M181">
        <v>15</v>
      </c>
      <c r="N181">
        <v>11774.31</v>
      </c>
    </row>
    <row r="182" spans="1:14" ht="14.25" customHeight="1" x14ac:dyDescent="0.3">
      <c r="A182">
        <v>1181</v>
      </c>
      <c r="B182" t="s">
        <v>113</v>
      </c>
      <c r="C182" t="s">
        <v>32</v>
      </c>
      <c r="D182" t="s">
        <v>66</v>
      </c>
      <c r="E182" t="s">
        <v>34</v>
      </c>
      <c r="F182" t="s">
        <v>51</v>
      </c>
      <c r="G182" t="s">
        <v>52</v>
      </c>
      <c r="H182" t="s">
        <v>47</v>
      </c>
      <c r="I182">
        <v>1</v>
      </c>
      <c r="J182">
        <v>45137</v>
      </c>
      <c r="K182">
        <v>40623.300000000003</v>
      </c>
      <c r="L182" t="s">
        <v>61</v>
      </c>
      <c r="M182">
        <v>10</v>
      </c>
      <c r="N182">
        <v>8566.7800000000007</v>
      </c>
    </row>
    <row r="183" spans="1:14" ht="14.25" customHeight="1" x14ac:dyDescent="0.3">
      <c r="A183">
        <v>1182</v>
      </c>
      <c r="B183" t="s">
        <v>114</v>
      </c>
      <c r="C183" t="s">
        <v>32</v>
      </c>
      <c r="D183" t="s">
        <v>53</v>
      </c>
      <c r="E183" t="s">
        <v>54</v>
      </c>
      <c r="F183" t="s">
        <v>45</v>
      </c>
      <c r="G183" t="s">
        <v>46</v>
      </c>
      <c r="H183" t="s">
        <v>37</v>
      </c>
      <c r="I183">
        <v>2</v>
      </c>
      <c r="J183">
        <v>29393</v>
      </c>
      <c r="K183">
        <v>52907.4</v>
      </c>
      <c r="L183" t="s">
        <v>43</v>
      </c>
      <c r="M183">
        <v>10</v>
      </c>
      <c r="N183">
        <v>14741.01</v>
      </c>
    </row>
    <row r="184" spans="1:14" ht="14.25" customHeight="1" x14ac:dyDescent="0.3">
      <c r="A184">
        <v>1183</v>
      </c>
      <c r="B184" t="s">
        <v>114</v>
      </c>
      <c r="C184" t="s">
        <v>39</v>
      </c>
      <c r="D184" t="s">
        <v>40</v>
      </c>
      <c r="E184" t="s">
        <v>41</v>
      </c>
      <c r="F184" t="s">
        <v>35</v>
      </c>
      <c r="G184" t="s">
        <v>36</v>
      </c>
      <c r="H184" t="s">
        <v>42</v>
      </c>
      <c r="I184">
        <v>4</v>
      </c>
      <c r="J184">
        <v>42666</v>
      </c>
      <c r="K184">
        <v>170664</v>
      </c>
      <c r="L184" t="s">
        <v>38</v>
      </c>
      <c r="M184">
        <v>0</v>
      </c>
      <c r="N184">
        <v>36678.129999999997</v>
      </c>
    </row>
    <row r="185" spans="1:14" ht="14.25" customHeight="1" x14ac:dyDescent="0.3">
      <c r="A185">
        <v>1184</v>
      </c>
      <c r="B185" t="s">
        <v>114</v>
      </c>
      <c r="C185" t="s">
        <v>44</v>
      </c>
      <c r="D185" t="s">
        <v>53</v>
      </c>
      <c r="E185" t="s">
        <v>54</v>
      </c>
      <c r="F185" t="s">
        <v>51</v>
      </c>
      <c r="G185" t="s">
        <v>62</v>
      </c>
      <c r="H185" t="s">
        <v>47</v>
      </c>
      <c r="I185">
        <v>1</v>
      </c>
      <c r="J185">
        <v>5716</v>
      </c>
      <c r="K185">
        <v>5430.2</v>
      </c>
      <c r="L185" t="s">
        <v>38</v>
      </c>
      <c r="M185">
        <v>5</v>
      </c>
      <c r="N185">
        <v>1240.6400000000001</v>
      </c>
    </row>
    <row r="186" spans="1:14" ht="14.25" customHeight="1" x14ac:dyDescent="0.3">
      <c r="A186">
        <v>1185</v>
      </c>
      <c r="B186" t="s">
        <v>115</v>
      </c>
      <c r="C186" t="s">
        <v>39</v>
      </c>
      <c r="D186" t="s">
        <v>53</v>
      </c>
      <c r="E186" t="s">
        <v>54</v>
      </c>
      <c r="F186" t="s">
        <v>45</v>
      </c>
      <c r="G186" t="s">
        <v>69</v>
      </c>
      <c r="H186" t="s">
        <v>47</v>
      </c>
      <c r="I186">
        <v>3</v>
      </c>
      <c r="J186">
        <v>26543</v>
      </c>
      <c r="K186">
        <v>67684.649999999994</v>
      </c>
      <c r="L186" t="s">
        <v>61</v>
      </c>
      <c r="M186">
        <v>15</v>
      </c>
      <c r="N186">
        <v>10257.02</v>
      </c>
    </row>
    <row r="187" spans="1:14" ht="14.25" customHeight="1" x14ac:dyDescent="0.3">
      <c r="A187">
        <v>1186</v>
      </c>
      <c r="B187" t="s">
        <v>115</v>
      </c>
      <c r="C187" t="s">
        <v>44</v>
      </c>
      <c r="D187" t="s">
        <v>58</v>
      </c>
      <c r="E187" t="s">
        <v>54</v>
      </c>
      <c r="F187" t="s">
        <v>35</v>
      </c>
      <c r="G187" t="s">
        <v>65</v>
      </c>
      <c r="H187" t="s">
        <v>37</v>
      </c>
      <c r="I187">
        <v>2</v>
      </c>
      <c r="J187">
        <v>3993</v>
      </c>
      <c r="K187">
        <v>7986</v>
      </c>
      <c r="L187" t="s">
        <v>38</v>
      </c>
      <c r="M187">
        <v>0</v>
      </c>
      <c r="N187">
        <v>2392.29</v>
      </c>
    </row>
    <row r="188" spans="1:14" ht="14.25" customHeight="1" x14ac:dyDescent="0.3">
      <c r="A188">
        <v>1187</v>
      </c>
      <c r="B188" t="s">
        <v>116</v>
      </c>
      <c r="C188" t="s">
        <v>44</v>
      </c>
      <c r="D188" t="s">
        <v>33</v>
      </c>
      <c r="E188" t="s">
        <v>34</v>
      </c>
      <c r="F188" t="s">
        <v>35</v>
      </c>
      <c r="G188" t="s">
        <v>67</v>
      </c>
      <c r="H188" t="s">
        <v>47</v>
      </c>
      <c r="I188">
        <v>2</v>
      </c>
      <c r="J188">
        <v>45859</v>
      </c>
      <c r="K188">
        <v>82546.2</v>
      </c>
      <c r="L188" t="s">
        <v>43</v>
      </c>
      <c r="M188">
        <v>10</v>
      </c>
      <c r="N188">
        <v>8790.2000000000007</v>
      </c>
    </row>
    <row r="189" spans="1:14" ht="14.25" customHeight="1" x14ac:dyDescent="0.3">
      <c r="A189">
        <v>1188</v>
      </c>
      <c r="B189" t="s">
        <v>116</v>
      </c>
      <c r="C189" t="s">
        <v>32</v>
      </c>
      <c r="D189" t="s">
        <v>58</v>
      </c>
      <c r="E189" t="s">
        <v>54</v>
      </c>
      <c r="F189" t="s">
        <v>45</v>
      </c>
      <c r="G189" t="s">
        <v>46</v>
      </c>
      <c r="H189" t="s">
        <v>47</v>
      </c>
      <c r="I189">
        <v>1</v>
      </c>
      <c r="J189">
        <v>15311</v>
      </c>
      <c r="K189">
        <v>13014.35</v>
      </c>
      <c r="L189" t="s">
        <v>38</v>
      </c>
      <c r="M189">
        <v>15</v>
      </c>
      <c r="N189">
        <v>3863.6</v>
      </c>
    </row>
    <row r="190" spans="1:14" ht="14.25" customHeight="1" x14ac:dyDescent="0.3">
      <c r="A190">
        <v>1189</v>
      </c>
      <c r="B190" t="s">
        <v>117</v>
      </c>
      <c r="C190" t="s">
        <v>60</v>
      </c>
      <c r="D190" t="s">
        <v>40</v>
      </c>
      <c r="E190" t="s">
        <v>41</v>
      </c>
      <c r="F190" t="s">
        <v>35</v>
      </c>
      <c r="G190" t="s">
        <v>67</v>
      </c>
      <c r="H190" t="s">
        <v>37</v>
      </c>
      <c r="I190">
        <v>1</v>
      </c>
      <c r="J190">
        <v>5281</v>
      </c>
      <c r="K190">
        <v>5016.95</v>
      </c>
      <c r="L190" t="s">
        <v>48</v>
      </c>
      <c r="M190">
        <v>5</v>
      </c>
      <c r="N190">
        <v>1432.92</v>
      </c>
    </row>
    <row r="191" spans="1:14" ht="14.25" customHeight="1" x14ac:dyDescent="0.3">
      <c r="A191">
        <v>1190</v>
      </c>
      <c r="B191" t="s">
        <v>117</v>
      </c>
      <c r="C191" t="s">
        <v>44</v>
      </c>
      <c r="D191" t="s">
        <v>58</v>
      </c>
      <c r="E191" t="s">
        <v>54</v>
      </c>
      <c r="F191" t="s">
        <v>45</v>
      </c>
      <c r="G191" t="s">
        <v>57</v>
      </c>
      <c r="H191" t="s">
        <v>37</v>
      </c>
      <c r="I191">
        <v>4</v>
      </c>
      <c r="J191">
        <v>21380</v>
      </c>
      <c r="K191">
        <v>76968</v>
      </c>
      <c r="L191" t="s">
        <v>61</v>
      </c>
      <c r="M191">
        <v>10</v>
      </c>
      <c r="N191">
        <v>18302.11</v>
      </c>
    </row>
    <row r="192" spans="1:14" ht="14.25" customHeight="1" x14ac:dyDescent="0.3">
      <c r="A192">
        <v>1191</v>
      </c>
      <c r="B192" t="s">
        <v>117</v>
      </c>
      <c r="C192" t="s">
        <v>50</v>
      </c>
      <c r="D192" t="s">
        <v>33</v>
      </c>
      <c r="E192" t="s">
        <v>34</v>
      </c>
      <c r="F192" t="s">
        <v>45</v>
      </c>
      <c r="G192" t="s">
        <v>46</v>
      </c>
      <c r="H192" t="s">
        <v>47</v>
      </c>
      <c r="I192">
        <v>2</v>
      </c>
      <c r="J192">
        <v>14676</v>
      </c>
      <c r="K192">
        <v>29352</v>
      </c>
      <c r="L192" t="s">
        <v>48</v>
      </c>
      <c r="M192">
        <v>0</v>
      </c>
      <c r="N192">
        <v>3208.18</v>
      </c>
    </row>
    <row r="193" spans="1:14" ht="14.25" customHeight="1" x14ac:dyDescent="0.3">
      <c r="A193">
        <v>1192</v>
      </c>
      <c r="B193" t="s">
        <v>117</v>
      </c>
      <c r="C193" t="s">
        <v>32</v>
      </c>
      <c r="D193" t="s">
        <v>33</v>
      </c>
      <c r="E193" t="s">
        <v>34</v>
      </c>
      <c r="F193" t="s">
        <v>51</v>
      </c>
      <c r="G193" t="s">
        <v>63</v>
      </c>
      <c r="H193" t="s">
        <v>47</v>
      </c>
      <c r="I193">
        <v>4</v>
      </c>
      <c r="J193">
        <v>24553</v>
      </c>
      <c r="K193">
        <v>93301.4</v>
      </c>
      <c r="L193" t="s">
        <v>48</v>
      </c>
      <c r="M193">
        <v>5</v>
      </c>
      <c r="N193">
        <v>11669.03</v>
      </c>
    </row>
    <row r="194" spans="1:14" ht="14.25" customHeight="1" x14ac:dyDescent="0.3">
      <c r="A194">
        <v>1193</v>
      </c>
      <c r="B194" t="s">
        <v>117</v>
      </c>
      <c r="C194" t="s">
        <v>50</v>
      </c>
      <c r="D194" t="s">
        <v>58</v>
      </c>
      <c r="E194" t="s">
        <v>54</v>
      </c>
      <c r="F194" t="s">
        <v>35</v>
      </c>
      <c r="G194" t="s">
        <v>67</v>
      </c>
      <c r="H194" t="s">
        <v>37</v>
      </c>
      <c r="I194">
        <v>1</v>
      </c>
      <c r="J194">
        <v>10848</v>
      </c>
      <c r="K194">
        <v>9763.2000000000007</v>
      </c>
      <c r="L194" t="s">
        <v>48</v>
      </c>
      <c r="M194">
        <v>10</v>
      </c>
      <c r="N194">
        <v>1638.03</v>
      </c>
    </row>
    <row r="195" spans="1:14" ht="14.25" customHeight="1" x14ac:dyDescent="0.3">
      <c r="A195">
        <v>1194</v>
      </c>
      <c r="B195" t="s">
        <v>118</v>
      </c>
      <c r="C195" t="s">
        <v>60</v>
      </c>
      <c r="D195" t="s">
        <v>40</v>
      </c>
      <c r="E195" t="s">
        <v>41</v>
      </c>
      <c r="F195" t="s">
        <v>51</v>
      </c>
      <c r="G195" t="s">
        <v>62</v>
      </c>
      <c r="H195" t="s">
        <v>47</v>
      </c>
      <c r="I195">
        <v>1</v>
      </c>
      <c r="J195">
        <v>12286</v>
      </c>
      <c r="K195">
        <v>11671.7</v>
      </c>
      <c r="L195" t="s">
        <v>43</v>
      </c>
      <c r="M195">
        <v>5</v>
      </c>
      <c r="N195">
        <v>2053.81</v>
      </c>
    </row>
    <row r="196" spans="1:14" ht="14.25" customHeight="1" x14ac:dyDescent="0.3">
      <c r="A196">
        <v>1195</v>
      </c>
      <c r="B196" t="s">
        <v>118</v>
      </c>
      <c r="C196" t="s">
        <v>32</v>
      </c>
      <c r="D196" t="s">
        <v>58</v>
      </c>
      <c r="E196" t="s">
        <v>54</v>
      </c>
      <c r="F196" t="s">
        <v>35</v>
      </c>
      <c r="G196" t="s">
        <v>36</v>
      </c>
      <c r="H196" t="s">
        <v>37</v>
      </c>
      <c r="I196">
        <v>3</v>
      </c>
      <c r="J196">
        <v>35194</v>
      </c>
      <c r="K196">
        <v>100302.9</v>
      </c>
      <c r="L196" t="s">
        <v>48</v>
      </c>
      <c r="M196">
        <v>5</v>
      </c>
      <c r="N196">
        <v>27257.68</v>
      </c>
    </row>
    <row r="197" spans="1:14" ht="14.25" customHeight="1" x14ac:dyDescent="0.3">
      <c r="A197">
        <v>1196</v>
      </c>
      <c r="B197" t="s">
        <v>118</v>
      </c>
      <c r="C197" t="s">
        <v>50</v>
      </c>
      <c r="D197" t="s">
        <v>58</v>
      </c>
      <c r="E197" t="s">
        <v>54</v>
      </c>
      <c r="F197" t="s">
        <v>45</v>
      </c>
      <c r="G197" t="s">
        <v>46</v>
      </c>
      <c r="H197" t="s">
        <v>42</v>
      </c>
      <c r="I197">
        <v>5</v>
      </c>
      <c r="J197">
        <v>15477</v>
      </c>
      <c r="K197">
        <v>65777.25</v>
      </c>
      <c r="L197" t="s">
        <v>38</v>
      </c>
      <c r="M197">
        <v>15</v>
      </c>
      <c r="N197">
        <v>8369.14</v>
      </c>
    </row>
    <row r="198" spans="1:14" ht="14.25" customHeight="1" x14ac:dyDescent="0.3">
      <c r="A198">
        <v>1197</v>
      </c>
      <c r="B198" t="s">
        <v>118</v>
      </c>
      <c r="C198" t="s">
        <v>50</v>
      </c>
      <c r="D198" t="s">
        <v>40</v>
      </c>
      <c r="E198" t="s">
        <v>41</v>
      </c>
      <c r="F198" t="s">
        <v>51</v>
      </c>
      <c r="G198" t="s">
        <v>62</v>
      </c>
      <c r="H198" t="s">
        <v>47</v>
      </c>
      <c r="I198">
        <v>1</v>
      </c>
      <c r="J198">
        <v>7690</v>
      </c>
      <c r="K198">
        <v>7305.5</v>
      </c>
      <c r="L198" t="s">
        <v>43</v>
      </c>
      <c r="M198">
        <v>5</v>
      </c>
      <c r="N198">
        <v>816.3</v>
      </c>
    </row>
    <row r="199" spans="1:14" ht="14.25" customHeight="1" x14ac:dyDescent="0.3">
      <c r="A199">
        <v>1198</v>
      </c>
      <c r="B199" t="s">
        <v>119</v>
      </c>
      <c r="C199" t="s">
        <v>60</v>
      </c>
      <c r="D199" t="s">
        <v>66</v>
      </c>
      <c r="E199" t="s">
        <v>34</v>
      </c>
      <c r="F199" t="s">
        <v>45</v>
      </c>
      <c r="G199" t="s">
        <v>57</v>
      </c>
      <c r="H199" t="s">
        <v>37</v>
      </c>
      <c r="I199">
        <v>1</v>
      </c>
      <c r="J199">
        <v>21178</v>
      </c>
      <c r="K199">
        <v>19060.2</v>
      </c>
      <c r="L199" t="s">
        <v>43</v>
      </c>
      <c r="M199">
        <v>10</v>
      </c>
      <c r="N199">
        <v>1953.28</v>
      </c>
    </row>
    <row r="200" spans="1:14" ht="14.25" customHeight="1" x14ac:dyDescent="0.3">
      <c r="A200">
        <v>1199</v>
      </c>
      <c r="B200" t="s">
        <v>119</v>
      </c>
      <c r="C200" t="s">
        <v>44</v>
      </c>
      <c r="D200" t="s">
        <v>58</v>
      </c>
      <c r="E200" t="s">
        <v>54</v>
      </c>
      <c r="F200" t="s">
        <v>45</v>
      </c>
      <c r="G200" t="s">
        <v>57</v>
      </c>
      <c r="H200" t="s">
        <v>47</v>
      </c>
      <c r="I200">
        <v>5</v>
      </c>
      <c r="J200">
        <v>47099</v>
      </c>
      <c r="K200">
        <v>211945.5</v>
      </c>
      <c r="L200" t="s">
        <v>43</v>
      </c>
      <c r="M200">
        <v>10</v>
      </c>
      <c r="N200">
        <v>41828.36</v>
      </c>
    </row>
    <row r="201" spans="1:14" ht="14.25" customHeight="1" x14ac:dyDescent="0.3">
      <c r="A201">
        <v>1200</v>
      </c>
      <c r="B201" t="s">
        <v>119</v>
      </c>
      <c r="C201" t="s">
        <v>44</v>
      </c>
      <c r="D201" t="s">
        <v>66</v>
      </c>
      <c r="E201" t="s">
        <v>34</v>
      </c>
      <c r="F201" t="s">
        <v>35</v>
      </c>
      <c r="G201" t="s">
        <v>67</v>
      </c>
      <c r="H201" t="s">
        <v>55</v>
      </c>
      <c r="I201">
        <v>3</v>
      </c>
      <c r="J201">
        <v>11784</v>
      </c>
      <c r="K201">
        <v>31816.799999999999</v>
      </c>
      <c r="L201" t="s">
        <v>61</v>
      </c>
      <c r="M201">
        <v>10</v>
      </c>
      <c r="N201">
        <v>4588.1499999999996</v>
      </c>
    </row>
    <row r="202" spans="1:14" ht="14.25" customHeight="1" x14ac:dyDescent="0.3">
      <c r="A202">
        <v>1201</v>
      </c>
      <c r="B202" t="s">
        <v>120</v>
      </c>
      <c r="C202" t="s">
        <v>44</v>
      </c>
      <c r="D202" t="s">
        <v>33</v>
      </c>
      <c r="E202" t="s">
        <v>34</v>
      </c>
      <c r="F202" t="s">
        <v>51</v>
      </c>
      <c r="G202" t="s">
        <v>63</v>
      </c>
      <c r="H202" t="s">
        <v>42</v>
      </c>
      <c r="I202">
        <v>5</v>
      </c>
      <c r="J202">
        <v>6390</v>
      </c>
      <c r="K202">
        <v>30352.5</v>
      </c>
      <c r="L202" t="s">
        <v>38</v>
      </c>
      <c r="M202">
        <v>5</v>
      </c>
      <c r="N202">
        <v>4941.12</v>
      </c>
    </row>
    <row r="203" spans="1:14" ht="14.25" customHeight="1" x14ac:dyDescent="0.3">
      <c r="A203">
        <v>1202</v>
      </c>
      <c r="B203" t="s">
        <v>120</v>
      </c>
      <c r="C203" t="s">
        <v>44</v>
      </c>
      <c r="D203" t="s">
        <v>40</v>
      </c>
      <c r="E203" t="s">
        <v>41</v>
      </c>
      <c r="F203" t="s">
        <v>51</v>
      </c>
      <c r="G203" t="s">
        <v>62</v>
      </c>
      <c r="H203" t="s">
        <v>37</v>
      </c>
      <c r="I203">
        <v>4</v>
      </c>
      <c r="J203">
        <v>15157</v>
      </c>
      <c r="K203">
        <v>54565.2</v>
      </c>
      <c r="L203" t="s">
        <v>38</v>
      </c>
      <c r="M203">
        <v>10</v>
      </c>
      <c r="N203">
        <v>8723.3799999999992</v>
      </c>
    </row>
    <row r="204" spans="1:14" ht="14.25" customHeight="1" x14ac:dyDescent="0.3">
      <c r="A204">
        <v>1203</v>
      </c>
      <c r="B204" t="s">
        <v>120</v>
      </c>
      <c r="C204" t="s">
        <v>44</v>
      </c>
      <c r="D204" t="s">
        <v>58</v>
      </c>
      <c r="E204" t="s">
        <v>54</v>
      </c>
      <c r="F204" t="s">
        <v>35</v>
      </c>
      <c r="G204" t="s">
        <v>67</v>
      </c>
      <c r="H204" t="s">
        <v>42</v>
      </c>
      <c r="I204">
        <v>1</v>
      </c>
      <c r="J204">
        <v>29702</v>
      </c>
      <c r="K204">
        <v>28216.9</v>
      </c>
      <c r="L204" t="s">
        <v>43</v>
      </c>
      <c r="M204">
        <v>5</v>
      </c>
      <c r="N204">
        <v>6446.89</v>
      </c>
    </row>
    <row r="205" spans="1:14" ht="14.25" customHeight="1" x14ac:dyDescent="0.3">
      <c r="A205">
        <v>1204</v>
      </c>
      <c r="B205" t="s">
        <v>121</v>
      </c>
      <c r="C205" t="s">
        <v>32</v>
      </c>
      <c r="D205" t="s">
        <v>58</v>
      </c>
      <c r="E205" t="s">
        <v>54</v>
      </c>
      <c r="F205" t="s">
        <v>35</v>
      </c>
      <c r="G205" t="s">
        <v>65</v>
      </c>
      <c r="H205" t="s">
        <v>55</v>
      </c>
      <c r="I205">
        <v>1</v>
      </c>
      <c r="J205">
        <v>29940</v>
      </c>
      <c r="K205">
        <v>29940</v>
      </c>
      <c r="L205" t="s">
        <v>61</v>
      </c>
      <c r="M205">
        <v>0</v>
      </c>
      <c r="N205">
        <v>5452.47</v>
      </c>
    </row>
    <row r="206" spans="1:14" ht="14.25" customHeight="1" x14ac:dyDescent="0.3">
      <c r="A206">
        <v>1205</v>
      </c>
      <c r="B206" t="s">
        <v>121</v>
      </c>
      <c r="C206" t="s">
        <v>60</v>
      </c>
      <c r="D206" t="s">
        <v>58</v>
      </c>
      <c r="E206" t="s">
        <v>54</v>
      </c>
      <c r="F206" t="s">
        <v>51</v>
      </c>
      <c r="G206" t="s">
        <v>63</v>
      </c>
      <c r="H206" t="s">
        <v>47</v>
      </c>
      <c r="I206">
        <v>4</v>
      </c>
      <c r="J206">
        <v>628</v>
      </c>
      <c r="K206">
        <v>2512</v>
      </c>
      <c r="L206" t="s">
        <v>48</v>
      </c>
      <c r="M206">
        <v>0</v>
      </c>
      <c r="N206">
        <v>451.68</v>
      </c>
    </row>
    <row r="207" spans="1:14" ht="14.25" customHeight="1" x14ac:dyDescent="0.3">
      <c r="A207">
        <v>1206</v>
      </c>
      <c r="B207" t="s">
        <v>121</v>
      </c>
      <c r="C207" t="s">
        <v>39</v>
      </c>
      <c r="D207" t="s">
        <v>58</v>
      </c>
      <c r="E207" t="s">
        <v>54</v>
      </c>
      <c r="F207" t="s">
        <v>45</v>
      </c>
      <c r="G207" t="s">
        <v>57</v>
      </c>
      <c r="H207" t="s">
        <v>37</v>
      </c>
      <c r="I207">
        <v>4</v>
      </c>
      <c r="J207">
        <v>22663</v>
      </c>
      <c r="K207">
        <v>86119.4</v>
      </c>
      <c r="L207" t="s">
        <v>43</v>
      </c>
      <c r="M207">
        <v>5</v>
      </c>
      <c r="N207">
        <v>18465.54</v>
      </c>
    </row>
    <row r="208" spans="1:14" ht="14.25" customHeight="1" x14ac:dyDescent="0.3">
      <c r="A208">
        <v>1207</v>
      </c>
      <c r="B208" t="s">
        <v>122</v>
      </c>
      <c r="C208" t="s">
        <v>39</v>
      </c>
      <c r="D208" t="s">
        <v>58</v>
      </c>
      <c r="E208" t="s">
        <v>54</v>
      </c>
      <c r="F208" t="s">
        <v>35</v>
      </c>
      <c r="G208" t="s">
        <v>36</v>
      </c>
      <c r="H208" t="s">
        <v>37</v>
      </c>
      <c r="I208">
        <v>1</v>
      </c>
      <c r="J208">
        <v>1955</v>
      </c>
      <c r="K208">
        <v>1661.75</v>
      </c>
      <c r="L208" t="s">
        <v>61</v>
      </c>
      <c r="M208">
        <v>15</v>
      </c>
      <c r="N208">
        <v>411.43</v>
      </c>
    </row>
    <row r="209" spans="1:14" ht="14.25" customHeight="1" x14ac:dyDescent="0.3">
      <c r="A209">
        <v>1208</v>
      </c>
      <c r="B209" t="s">
        <v>122</v>
      </c>
      <c r="C209" t="s">
        <v>39</v>
      </c>
      <c r="D209" t="s">
        <v>40</v>
      </c>
      <c r="E209" t="s">
        <v>41</v>
      </c>
      <c r="F209" t="s">
        <v>45</v>
      </c>
      <c r="G209" t="s">
        <v>46</v>
      </c>
      <c r="H209" t="s">
        <v>42</v>
      </c>
      <c r="I209">
        <v>3</v>
      </c>
      <c r="J209">
        <v>39184</v>
      </c>
      <c r="K209">
        <v>105796.8</v>
      </c>
      <c r="L209" t="s">
        <v>43</v>
      </c>
      <c r="M209">
        <v>10</v>
      </c>
      <c r="N209">
        <v>16113.31</v>
      </c>
    </row>
    <row r="210" spans="1:14" ht="14.25" customHeight="1" x14ac:dyDescent="0.3">
      <c r="A210">
        <v>1209</v>
      </c>
      <c r="B210" t="s">
        <v>122</v>
      </c>
      <c r="C210" t="s">
        <v>50</v>
      </c>
      <c r="D210" t="s">
        <v>33</v>
      </c>
      <c r="E210" t="s">
        <v>34</v>
      </c>
      <c r="F210" t="s">
        <v>45</v>
      </c>
      <c r="G210" t="s">
        <v>57</v>
      </c>
      <c r="H210" t="s">
        <v>42</v>
      </c>
      <c r="I210">
        <v>1</v>
      </c>
      <c r="J210">
        <v>47689</v>
      </c>
      <c r="K210">
        <v>45304.55</v>
      </c>
      <c r="L210" t="s">
        <v>43</v>
      </c>
      <c r="M210">
        <v>5</v>
      </c>
      <c r="N210">
        <v>5035.8599999999997</v>
      </c>
    </row>
    <row r="211" spans="1:14" ht="14.25" customHeight="1" x14ac:dyDescent="0.3">
      <c r="A211">
        <v>1210</v>
      </c>
      <c r="B211" t="s">
        <v>122</v>
      </c>
      <c r="C211" t="s">
        <v>39</v>
      </c>
      <c r="D211" t="s">
        <v>58</v>
      </c>
      <c r="E211" t="s">
        <v>54</v>
      </c>
      <c r="F211" t="s">
        <v>45</v>
      </c>
      <c r="G211" t="s">
        <v>57</v>
      </c>
      <c r="H211" t="s">
        <v>47</v>
      </c>
      <c r="I211">
        <v>4</v>
      </c>
      <c r="J211">
        <v>11104</v>
      </c>
      <c r="K211">
        <v>42195.199999999997</v>
      </c>
      <c r="L211" t="s">
        <v>48</v>
      </c>
      <c r="M211">
        <v>5</v>
      </c>
      <c r="N211">
        <v>10858.3</v>
      </c>
    </row>
    <row r="212" spans="1:14" ht="14.25" customHeight="1" x14ac:dyDescent="0.3">
      <c r="A212">
        <v>1211</v>
      </c>
      <c r="B212" t="s">
        <v>123</v>
      </c>
      <c r="C212" t="s">
        <v>39</v>
      </c>
      <c r="D212" t="s">
        <v>40</v>
      </c>
      <c r="E212" t="s">
        <v>41</v>
      </c>
      <c r="F212" t="s">
        <v>35</v>
      </c>
      <c r="G212" t="s">
        <v>65</v>
      </c>
      <c r="H212" t="s">
        <v>37</v>
      </c>
      <c r="I212">
        <v>2</v>
      </c>
      <c r="J212">
        <v>1745</v>
      </c>
      <c r="K212">
        <v>2966.5</v>
      </c>
      <c r="L212" t="s">
        <v>38</v>
      </c>
      <c r="M212">
        <v>15</v>
      </c>
      <c r="N212">
        <v>880.85</v>
      </c>
    </row>
    <row r="213" spans="1:14" ht="14.25" customHeight="1" x14ac:dyDescent="0.3">
      <c r="A213">
        <v>1212</v>
      </c>
      <c r="B213" t="s">
        <v>123</v>
      </c>
      <c r="C213" t="s">
        <v>44</v>
      </c>
      <c r="D213" t="s">
        <v>53</v>
      </c>
      <c r="E213" t="s">
        <v>54</v>
      </c>
      <c r="F213" t="s">
        <v>35</v>
      </c>
      <c r="G213" t="s">
        <v>36</v>
      </c>
      <c r="H213" t="s">
        <v>55</v>
      </c>
      <c r="I213">
        <v>5</v>
      </c>
      <c r="J213">
        <v>38203</v>
      </c>
      <c r="K213">
        <v>162362.75</v>
      </c>
      <c r="L213" t="s">
        <v>43</v>
      </c>
      <c r="M213">
        <v>15</v>
      </c>
      <c r="N213">
        <v>30826.01</v>
      </c>
    </row>
    <row r="214" spans="1:14" ht="14.25" customHeight="1" x14ac:dyDescent="0.3">
      <c r="A214">
        <v>1213</v>
      </c>
      <c r="B214" t="s">
        <v>124</v>
      </c>
      <c r="C214" t="s">
        <v>50</v>
      </c>
      <c r="D214" t="s">
        <v>40</v>
      </c>
      <c r="E214" t="s">
        <v>41</v>
      </c>
      <c r="F214" t="s">
        <v>35</v>
      </c>
      <c r="G214" t="s">
        <v>36</v>
      </c>
      <c r="H214" t="s">
        <v>55</v>
      </c>
      <c r="I214">
        <v>4</v>
      </c>
      <c r="J214">
        <v>6598</v>
      </c>
      <c r="K214">
        <v>23752.799999999999</v>
      </c>
      <c r="L214" t="s">
        <v>61</v>
      </c>
      <c r="M214">
        <v>10</v>
      </c>
      <c r="N214">
        <v>3272.49</v>
      </c>
    </row>
    <row r="215" spans="1:14" ht="14.25" customHeight="1" x14ac:dyDescent="0.3">
      <c r="A215">
        <v>1214</v>
      </c>
      <c r="B215" t="s">
        <v>124</v>
      </c>
      <c r="C215" t="s">
        <v>44</v>
      </c>
      <c r="D215" t="s">
        <v>66</v>
      </c>
      <c r="E215" t="s">
        <v>34</v>
      </c>
      <c r="F215" t="s">
        <v>51</v>
      </c>
      <c r="G215" t="s">
        <v>62</v>
      </c>
      <c r="H215" t="s">
        <v>47</v>
      </c>
      <c r="I215">
        <v>1</v>
      </c>
      <c r="J215">
        <v>45792</v>
      </c>
      <c r="K215">
        <v>43502.400000000001</v>
      </c>
      <c r="L215" t="s">
        <v>43</v>
      </c>
      <c r="M215">
        <v>5</v>
      </c>
      <c r="N215">
        <v>11899.85</v>
      </c>
    </row>
    <row r="216" spans="1:14" ht="14.25" customHeight="1" x14ac:dyDescent="0.3">
      <c r="A216">
        <v>1215</v>
      </c>
      <c r="B216" t="s">
        <v>124</v>
      </c>
      <c r="C216" t="s">
        <v>32</v>
      </c>
      <c r="D216" t="s">
        <v>40</v>
      </c>
      <c r="E216" t="s">
        <v>41</v>
      </c>
      <c r="F216" t="s">
        <v>35</v>
      </c>
      <c r="G216" t="s">
        <v>67</v>
      </c>
      <c r="H216" t="s">
        <v>47</v>
      </c>
      <c r="I216">
        <v>3</v>
      </c>
      <c r="J216">
        <v>48399</v>
      </c>
      <c r="K216">
        <v>137937.15</v>
      </c>
      <c r="L216" t="s">
        <v>43</v>
      </c>
      <c r="M216">
        <v>5</v>
      </c>
      <c r="N216">
        <v>20953.93</v>
      </c>
    </row>
    <row r="217" spans="1:14" ht="14.25" customHeight="1" x14ac:dyDescent="0.3">
      <c r="A217">
        <v>1216</v>
      </c>
      <c r="B217" t="s">
        <v>124</v>
      </c>
      <c r="C217" t="s">
        <v>60</v>
      </c>
      <c r="D217" t="s">
        <v>58</v>
      </c>
      <c r="E217" t="s">
        <v>54</v>
      </c>
      <c r="F217" t="s">
        <v>35</v>
      </c>
      <c r="G217" t="s">
        <v>36</v>
      </c>
      <c r="H217" t="s">
        <v>42</v>
      </c>
      <c r="I217">
        <v>5</v>
      </c>
      <c r="J217">
        <v>45699</v>
      </c>
      <c r="K217">
        <v>205645.5</v>
      </c>
      <c r="L217" t="s">
        <v>61</v>
      </c>
      <c r="M217">
        <v>10</v>
      </c>
      <c r="N217">
        <v>36527.57</v>
      </c>
    </row>
    <row r="218" spans="1:14" ht="14.25" customHeight="1" x14ac:dyDescent="0.3">
      <c r="A218">
        <v>1217</v>
      </c>
      <c r="B218" t="s">
        <v>124</v>
      </c>
      <c r="C218" t="s">
        <v>44</v>
      </c>
      <c r="D218" t="s">
        <v>40</v>
      </c>
      <c r="E218" t="s">
        <v>41</v>
      </c>
      <c r="F218" t="s">
        <v>45</v>
      </c>
      <c r="G218" t="s">
        <v>46</v>
      </c>
      <c r="H218" t="s">
        <v>55</v>
      </c>
      <c r="I218">
        <v>5</v>
      </c>
      <c r="J218">
        <v>28461</v>
      </c>
      <c r="K218">
        <v>120959.25</v>
      </c>
      <c r="L218" t="s">
        <v>43</v>
      </c>
      <c r="M218">
        <v>15</v>
      </c>
      <c r="N218">
        <v>35818.44</v>
      </c>
    </row>
    <row r="219" spans="1:14" ht="14.25" customHeight="1" x14ac:dyDescent="0.3">
      <c r="A219">
        <v>1218</v>
      </c>
      <c r="B219" t="s">
        <v>125</v>
      </c>
      <c r="C219" t="s">
        <v>32</v>
      </c>
      <c r="D219" t="s">
        <v>40</v>
      </c>
      <c r="E219" t="s">
        <v>41</v>
      </c>
      <c r="F219" t="s">
        <v>45</v>
      </c>
      <c r="G219" t="s">
        <v>57</v>
      </c>
      <c r="H219" t="s">
        <v>55</v>
      </c>
      <c r="I219">
        <v>3</v>
      </c>
      <c r="J219">
        <v>17663</v>
      </c>
      <c r="K219">
        <v>52989</v>
      </c>
      <c r="L219" t="s">
        <v>61</v>
      </c>
      <c r="M219">
        <v>0</v>
      </c>
      <c r="N219">
        <v>6222.88</v>
      </c>
    </row>
    <row r="220" spans="1:14" ht="14.25" customHeight="1" x14ac:dyDescent="0.3">
      <c r="A220">
        <v>1219</v>
      </c>
      <c r="B220" t="s">
        <v>125</v>
      </c>
      <c r="C220" t="s">
        <v>32</v>
      </c>
      <c r="D220" t="s">
        <v>66</v>
      </c>
      <c r="E220" t="s">
        <v>34</v>
      </c>
      <c r="F220" t="s">
        <v>45</v>
      </c>
      <c r="G220" t="s">
        <v>46</v>
      </c>
      <c r="H220" t="s">
        <v>42</v>
      </c>
      <c r="I220">
        <v>4</v>
      </c>
      <c r="J220">
        <v>6912</v>
      </c>
      <c r="K220">
        <v>23500.799999999999</v>
      </c>
      <c r="L220" t="s">
        <v>61</v>
      </c>
      <c r="M220">
        <v>15</v>
      </c>
      <c r="N220">
        <v>6159.08</v>
      </c>
    </row>
    <row r="221" spans="1:14" ht="14.25" customHeight="1" x14ac:dyDescent="0.3">
      <c r="A221">
        <v>1220</v>
      </c>
      <c r="B221" t="s">
        <v>125</v>
      </c>
      <c r="C221" t="s">
        <v>32</v>
      </c>
      <c r="D221" t="s">
        <v>40</v>
      </c>
      <c r="E221" t="s">
        <v>41</v>
      </c>
      <c r="F221" t="s">
        <v>35</v>
      </c>
      <c r="G221" t="s">
        <v>67</v>
      </c>
      <c r="H221" t="s">
        <v>37</v>
      </c>
      <c r="I221">
        <v>3</v>
      </c>
      <c r="J221">
        <v>49840</v>
      </c>
      <c r="K221">
        <v>134568</v>
      </c>
      <c r="L221" t="s">
        <v>43</v>
      </c>
      <c r="M221">
        <v>10</v>
      </c>
      <c r="N221">
        <v>29208.43</v>
      </c>
    </row>
    <row r="222" spans="1:14" ht="14.25" customHeight="1" x14ac:dyDescent="0.3">
      <c r="A222">
        <v>1221</v>
      </c>
      <c r="B222" t="s">
        <v>125</v>
      </c>
      <c r="C222" t="s">
        <v>44</v>
      </c>
      <c r="D222" t="s">
        <v>33</v>
      </c>
      <c r="E222" t="s">
        <v>34</v>
      </c>
      <c r="F222" t="s">
        <v>45</v>
      </c>
      <c r="G222" t="s">
        <v>69</v>
      </c>
      <c r="H222" t="s">
        <v>47</v>
      </c>
      <c r="I222">
        <v>2</v>
      </c>
      <c r="J222">
        <v>28095</v>
      </c>
      <c r="K222">
        <v>47761.5</v>
      </c>
      <c r="L222" t="s">
        <v>43</v>
      </c>
      <c r="M222">
        <v>15</v>
      </c>
      <c r="N222">
        <v>7160.51</v>
      </c>
    </row>
    <row r="223" spans="1:14" ht="14.25" customHeight="1" x14ac:dyDescent="0.3">
      <c r="A223">
        <v>1222</v>
      </c>
      <c r="B223" t="s">
        <v>126</v>
      </c>
      <c r="C223" t="s">
        <v>60</v>
      </c>
      <c r="D223" t="s">
        <v>66</v>
      </c>
      <c r="E223" t="s">
        <v>34</v>
      </c>
      <c r="F223" t="s">
        <v>35</v>
      </c>
      <c r="G223" t="s">
        <v>65</v>
      </c>
      <c r="H223" t="s">
        <v>42</v>
      </c>
      <c r="I223">
        <v>5</v>
      </c>
      <c r="J223">
        <v>33092</v>
      </c>
      <c r="K223">
        <v>148914</v>
      </c>
      <c r="L223" t="s">
        <v>38</v>
      </c>
      <c r="M223">
        <v>10</v>
      </c>
      <c r="N223">
        <v>18866.05</v>
      </c>
    </row>
    <row r="224" spans="1:14" ht="14.25" customHeight="1" x14ac:dyDescent="0.3">
      <c r="A224">
        <v>1223</v>
      </c>
      <c r="B224" t="s">
        <v>126</v>
      </c>
      <c r="C224" t="s">
        <v>32</v>
      </c>
      <c r="D224" t="s">
        <v>40</v>
      </c>
      <c r="E224" t="s">
        <v>41</v>
      </c>
      <c r="F224" t="s">
        <v>45</v>
      </c>
      <c r="G224" t="s">
        <v>46</v>
      </c>
      <c r="H224" t="s">
        <v>37</v>
      </c>
      <c r="I224">
        <v>1</v>
      </c>
      <c r="J224">
        <v>48226</v>
      </c>
      <c r="K224">
        <v>45814.7</v>
      </c>
      <c r="L224" t="s">
        <v>38</v>
      </c>
      <c r="M224">
        <v>5</v>
      </c>
      <c r="N224">
        <v>7133.23</v>
      </c>
    </row>
    <row r="225" spans="1:14" ht="14.25" customHeight="1" x14ac:dyDescent="0.3">
      <c r="A225">
        <v>1224</v>
      </c>
      <c r="B225" t="s">
        <v>126</v>
      </c>
      <c r="C225" t="s">
        <v>60</v>
      </c>
      <c r="D225" t="s">
        <v>40</v>
      </c>
      <c r="E225" t="s">
        <v>41</v>
      </c>
      <c r="F225" t="s">
        <v>51</v>
      </c>
      <c r="G225" t="s">
        <v>52</v>
      </c>
      <c r="H225" t="s">
        <v>47</v>
      </c>
      <c r="I225">
        <v>3</v>
      </c>
      <c r="J225">
        <v>27404</v>
      </c>
      <c r="K225">
        <v>73990.8</v>
      </c>
      <c r="L225" t="s">
        <v>43</v>
      </c>
      <c r="M225">
        <v>10</v>
      </c>
      <c r="N225">
        <v>20068.150000000001</v>
      </c>
    </row>
    <row r="226" spans="1:14" ht="14.25" customHeight="1" x14ac:dyDescent="0.3">
      <c r="A226">
        <v>1225</v>
      </c>
      <c r="B226" t="s">
        <v>127</v>
      </c>
      <c r="C226" t="s">
        <v>32</v>
      </c>
      <c r="D226" t="s">
        <v>66</v>
      </c>
      <c r="E226" t="s">
        <v>34</v>
      </c>
      <c r="F226" t="s">
        <v>45</v>
      </c>
      <c r="G226" t="s">
        <v>57</v>
      </c>
      <c r="H226" t="s">
        <v>55</v>
      </c>
      <c r="I226">
        <v>4</v>
      </c>
      <c r="J226">
        <v>38138</v>
      </c>
      <c r="K226">
        <v>144924.4</v>
      </c>
      <c r="L226" t="s">
        <v>61</v>
      </c>
      <c r="M226">
        <v>5</v>
      </c>
      <c r="N226">
        <v>27959.98</v>
      </c>
    </row>
    <row r="227" spans="1:14" ht="14.25" customHeight="1" x14ac:dyDescent="0.3">
      <c r="A227">
        <v>1226</v>
      </c>
      <c r="B227" t="s">
        <v>127</v>
      </c>
      <c r="C227" t="s">
        <v>44</v>
      </c>
      <c r="D227" t="s">
        <v>53</v>
      </c>
      <c r="E227" t="s">
        <v>54</v>
      </c>
      <c r="F227" t="s">
        <v>51</v>
      </c>
      <c r="G227" t="s">
        <v>63</v>
      </c>
      <c r="H227" t="s">
        <v>55</v>
      </c>
      <c r="I227">
        <v>5</v>
      </c>
      <c r="J227">
        <v>8598</v>
      </c>
      <c r="K227">
        <v>38691</v>
      </c>
      <c r="L227" t="s">
        <v>38</v>
      </c>
      <c r="M227">
        <v>10</v>
      </c>
      <c r="N227">
        <v>10818.02</v>
      </c>
    </row>
    <row r="228" spans="1:14" ht="14.25" customHeight="1" x14ac:dyDescent="0.3">
      <c r="A228">
        <v>1227</v>
      </c>
      <c r="B228" t="s">
        <v>127</v>
      </c>
      <c r="C228" t="s">
        <v>32</v>
      </c>
      <c r="D228" t="s">
        <v>33</v>
      </c>
      <c r="E228" t="s">
        <v>34</v>
      </c>
      <c r="F228" t="s">
        <v>51</v>
      </c>
      <c r="G228" t="s">
        <v>62</v>
      </c>
      <c r="H228" t="s">
        <v>47</v>
      </c>
      <c r="I228">
        <v>5</v>
      </c>
      <c r="J228">
        <v>40139</v>
      </c>
      <c r="K228">
        <v>170590.75</v>
      </c>
      <c r="L228" t="s">
        <v>48</v>
      </c>
      <c r="M228">
        <v>15</v>
      </c>
      <c r="N228">
        <v>19839.95</v>
      </c>
    </row>
    <row r="229" spans="1:14" ht="14.25" customHeight="1" x14ac:dyDescent="0.3">
      <c r="A229">
        <v>1228</v>
      </c>
      <c r="B229" t="s">
        <v>127</v>
      </c>
      <c r="C229" t="s">
        <v>60</v>
      </c>
      <c r="D229" t="s">
        <v>33</v>
      </c>
      <c r="E229" t="s">
        <v>34</v>
      </c>
      <c r="F229" t="s">
        <v>35</v>
      </c>
      <c r="G229" t="s">
        <v>65</v>
      </c>
      <c r="H229" t="s">
        <v>47</v>
      </c>
      <c r="I229">
        <v>1</v>
      </c>
      <c r="J229">
        <v>23529</v>
      </c>
      <c r="K229">
        <v>22352.55</v>
      </c>
      <c r="L229" t="s">
        <v>61</v>
      </c>
      <c r="M229">
        <v>5</v>
      </c>
      <c r="N229">
        <v>3348.42</v>
      </c>
    </row>
    <row r="230" spans="1:14" ht="14.25" customHeight="1" x14ac:dyDescent="0.3">
      <c r="A230">
        <v>1229</v>
      </c>
      <c r="B230" t="s">
        <v>127</v>
      </c>
      <c r="C230" t="s">
        <v>44</v>
      </c>
      <c r="D230" t="s">
        <v>58</v>
      </c>
      <c r="E230" t="s">
        <v>54</v>
      </c>
      <c r="F230" t="s">
        <v>45</v>
      </c>
      <c r="G230" t="s">
        <v>46</v>
      </c>
      <c r="H230" t="s">
        <v>55</v>
      </c>
      <c r="I230">
        <v>4</v>
      </c>
      <c r="J230">
        <v>4459</v>
      </c>
      <c r="K230">
        <v>16052.4</v>
      </c>
      <c r="L230" t="s">
        <v>48</v>
      </c>
      <c r="M230">
        <v>10</v>
      </c>
      <c r="N230">
        <v>3296.33</v>
      </c>
    </row>
    <row r="231" spans="1:14" ht="14.25" customHeight="1" x14ac:dyDescent="0.3">
      <c r="A231">
        <v>1230</v>
      </c>
      <c r="B231" t="s">
        <v>128</v>
      </c>
      <c r="C231" t="s">
        <v>50</v>
      </c>
      <c r="D231" t="s">
        <v>66</v>
      </c>
      <c r="E231" t="s">
        <v>34</v>
      </c>
      <c r="F231" t="s">
        <v>35</v>
      </c>
      <c r="G231" t="s">
        <v>36</v>
      </c>
      <c r="H231" t="s">
        <v>55</v>
      </c>
      <c r="I231">
        <v>1</v>
      </c>
      <c r="J231">
        <v>10525</v>
      </c>
      <c r="K231">
        <v>8946.25</v>
      </c>
      <c r="L231" t="s">
        <v>61</v>
      </c>
      <c r="M231">
        <v>15</v>
      </c>
      <c r="N231">
        <v>2307.61</v>
      </c>
    </row>
    <row r="232" spans="1:14" ht="14.25" customHeight="1" x14ac:dyDescent="0.3">
      <c r="A232">
        <v>1231</v>
      </c>
      <c r="B232" t="s">
        <v>128</v>
      </c>
      <c r="C232" t="s">
        <v>50</v>
      </c>
      <c r="D232" t="s">
        <v>66</v>
      </c>
      <c r="E232" t="s">
        <v>34</v>
      </c>
      <c r="F232" t="s">
        <v>45</v>
      </c>
      <c r="G232" t="s">
        <v>46</v>
      </c>
      <c r="H232" t="s">
        <v>47</v>
      </c>
      <c r="I232">
        <v>2</v>
      </c>
      <c r="J232">
        <v>35999</v>
      </c>
      <c r="K232">
        <v>64798.2</v>
      </c>
      <c r="L232" t="s">
        <v>48</v>
      </c>
      <c r="M232">
        <v>10</v>
      </c>
      <c r="N232">
        <v>14861.13</v>
      </c>
    </row>
    <row r="233" spans="1:14" ht="14.25" customHeight="1" x14ac:dyDescent="0.3">
      <c r="A233">
        <v>1232</v>
      </c>
      <c r="B233" t="s">
        <v>128</v>
      </c>
      <c r="C233" t="s">
        <v>44</v>
      </c>
      <c r="D233" t="s">
        <v>66</v>
      </c>
      <c r="E233" t="s">
        <v>34</v>
      </c>
      <c r="F233" t="s">
        <v>35</v>
      </c>
      <c r="G233" t="s">
        <v>65</v>
      </c>
      <c r="H233" t="s">
        <v>47</v>
      </c>
      <c r="I233">
        <v>1</v>
      </c>
      <c r="J233">
        <v>22698</v>
      </c>
      <c r="K233">
        <v>20428.2</v>
      </c>
      <c r="L233" t="s">
        <v>48</v>
      </c>
      <c r="M233">
        <v>10</v>
      </c>
      <c r="N233">
        <v>5878.36</v>
      </c>
    </row>
    <row r="234" spans="1:14" ht="14.25" customHeight="1" x14ac:dyDescent="0.3">
      <c r="A234">
        <v>1233</v>
      </c>
      <c r="B234" t="s">
        <v>129</v>
      </c>
      <c r="C234" t="s">
        <v>50</v>
      </c>
      <c r="D234" t="s">
        <v>33</v>
      </c>
      <c r="E234" t="s">
        <v>34</v>
      </c>
      <c r="F234" t="s">
        <v>51</v>
      </c>
      <c r="G234" t="s">
        <v>62</v>
      </c>
      <c r="H234" t="s">
        <v>47</v>
      </c>
      <c r="I234">
        <v>3</v>
      </c>
      <c r="J234">
        <v>6306</v>
      </c>
      <c r="K234">
        <v>18918</v>
      </c>
      <c r="L234" t="s">
        <v>48</v>
      </c>
      <c r="M234">
        <v>0</v>
      </c>
      <c r="N234">
        <v>3502.13</v>
      </c>
    </row>
    <row r="235" spans="1:14" ht="14.25" customHeight="1" x14ac:dyDescent="0.3">
      <c r="A235">
        <v>1234</v>
      </c>
      <c r="B235" t="s">
        <v>129</v>
      </c>
      <c r="C235" t="s">
        <v>44</v>
      </c>
      <c r="D235" t="s">
        <v>33</v>
      </c>
      <c r="E235" t="s">
        <v>34</v>
      </c>
      <c r="F235" t="s">
        <v>51</v>
      </c>
      <c r="G235" t="s">
        <v>63</v>
      </c>
      <c r="H235" t="s">
        <v>42</v>
      </c>
      <c r="I235">
        <v>1</v>
      </c>
      <c r="J235">
        <v>30939</v>
      </c>
      <c r="K235">
        <v>30939</v>
      </c>
      <c r="L235" t="s">
        <v>61</v>
      </c>
      <c r="M235">
        <v>0</v>
      </c>
      <c r="N235">
        <v>7361.12</v>
      </c>
    </row>
    <row r="236" spans="1:14" ht="14.25" customHeight="1" x14ac:dyDescent="0.3">
      <c r="A236">
        <v>1235</v>
      </c>
      <c r="B236" t="s">
        <v>129</v>
      </c>
      <c r="C236" t="s">
        <v>39</v>
      </c>
      <c r="D236" t="s">
        <v>40</v>
      </c>
      <c r="E236" t="s">
        <v>41</v>
      </c>
      <c r="F236" t="s">
        <v>35</v>
      </c>
      <c r="G236" t="s">
        <v>65</v>
      </c>
      <c r="H236" t="s">
        <v>42</v>
      </c>
      <c r="I236">
        <v>2</v>
      </c>
      <c r="J236">
        <v>878</v>
      </c>
      <c r="K236">
        <v>1580.4</v>
      </c>
      <c r="L236" t="s">
        <v>61</v>
      </c>
      <c r="M236">
        <v>10</v>
      </c>
      <c r="N236">
        <v>444.88</v>
      </c>
    </row>
    <row r="237" spans="1:14" ht="14.25" customHeight="1" x14ac:dyDescent="0.3">
      <c r="A237">
        <v>1236</v>
      </c>
      <c r="B237" t="s">
        <v>130</v>
      </c>
      <c r="C237" t="s">
        <v>44</v>
      </c>
      <c r="D237" t="s">
        <v>33</v>
      </c>
      <c r="E237" t="s">
        <v>34</v>
      </c>
      <c r="F237" t="s">
        <v>51</v>
      </c>
      <c r="G237" t="s">
        <v>62</v>
      </c>
      <c r="H237" t="s">
        <v>55</v>
      </c>
      <c r="I237">
        <v>4</v>
      </c>
      <c r="J237">
        <v>13505</v>
      </c>
      <c r="K237">
        <v>48618</v>
      </c>
      <c r="L237" t="s">
        <v>43</v>
      </c>
      <c r="M237">
        <v>10</v>
      </c>
      <c r="N237">
        <v>12882.58</v>
      </c>
    </row>
    <row r="238" spans="1:14" ht="14.25" customHeight="1" x14ac:dyDescent="0.3">
      <c r="A238">
        <v>1237</v>
      </c>
      <c r="B238" t="s">
        <v>130</v>
      </c>
      <c r="C238" t="s">
        <v>60</v>
      </c>
      <c r="D238" t="s">
        <v>40</v>
      </c>
      <c r="E238" t="s">
        <v>41</v>
      </c>
      <c r="F238" t="s">
        <v>45</v>
      </c>
      <c r="G238" t="s">
        <v>69</v>
      </c>
      <c r="H238" t="s">
        <v>55</v>
      </c>
      <c r="I238">
        <v>1</v>
      </c>
      <c r="J238">
        <v>7024</v>
      </c>
      <c r="K238">
        <v>6321.6</v>
      </c>
      <c r="L238" t="s">
        <v>43</v>
      </c>
      <c r="M238">
        <v>10</v>
      </c>
      <c r="N238">
        <v>1131.8699999999999</v>
      </c>
    </row>
    <row r="239" spans="1:14" ht="14.25" customHeight="1" x14ac:dyDescent="0.3">
      <c r="A239">
        <v>1238</v>
      </c>
      <c r="B239" t="s">
        <v>130</v>
      </c>
      <c r="C239" t="s">
        <v>39</v>
      </c>
      <c r="D239" t="s">
        <v>53</v>
      </c>
      <c r="E239" t="s">
        <v>54</v>
      </c>
      <c r="F239" t="s">
        <v>35</v>
      </c>
      <c r="G239" t="s">
        <v>65</v>
      </c>
      <c r="H239" t="s">
        <v>42</v>
      </c>
      <c r="I239">
        <v>4</v>
      </c>
      <c r="J239">
        <v>17550</v>
      </c>
      <c r="K239">
        <v>70200</v>
      </c>
      <c r="L239" t="s">
        <v>48</v>
      </c>
      <c r="M239">
        <v>0</v>
      </c>
      <c r="N239">
        <v>8532.5300000000007</v>
      </c>
    </row>
    <row r="240" spans="1:14" ht="14.25" customHeight="1" x14ac:dyDescent="0.3">
      <c r="A240">
        <v>1239</v>
      </c>
      <c r="B240" t="s">
        <v>131</v>
      </c>
      <c r="C240" t="s">
        <v>39</v>
      </c>
      <c r="D240" t="s">
        <v>40</v>
      </c>
      <c r="E240" t="s">
        <v>41</v>
      </c>
      <c r="F240" t="s">
        <v>45</v>
      </c>
      <c r="G240" t="s">
        <v>69</v>
      </c>
      <c r="H240" t="s">
        <v>55</v>
      </c>
      <c r="I240">
        <v>5</v>
      </c>
      <c r="J240">
        <v>7600</v>
      </c>
      <c r="K240">
        <v>32300</v>
      </c>
      <c r="L240" t="s">
        <v>61</v>
      </c>
      <c r="M240">
        <v>15</v>
      </c>
      <c r="N240">
        <v>3523.67</v>
      </c>
    </row>
    <row r="241" spans="1:14" ht="14.25" customHeight="1" x14ac:dyDescent="0.3">
      <c r="A241">
        <v>1240</v>
      </c>
      <c r="B241" t="s">
        <v>131</v>
      </c>
      <c r="C241" t="s">
        <v>50</v>
      </c>
      <c r="D241" t="s">
        <v>40</v>
      </c>
      <c r="E241" t="s">
        <v>41</v>
      </c>
      <c r="F241" t="s">
        <v>35</v>
      </c>
      <c r="G241" t="s">
        <v>36</v>
      </c>
      <c r="H241" t="s">
        <v>47</v>
      </c>
      <c r="I241">
        <v>2</v>
      </c>
      <c r="J241">
        <v>20751</v>
      </c>
      <c r="K241">
        <v>39426.9</v>
      </c>
      <c r="L241" t="s">
        <v>48</v>
      </c>
      <c r="M241">
        <v>5</v>
      </c>
      <c r="N241">
        <v>4883.53</v>
      </c>
    </row>
    <row r="242" spans="1:14" ht="14.25" customHeight="1" x14ac:dyDescent="0.3">
      <c r="A242">
        <v>1241</v>
      </c>
      <c r="B242" t="s">
        <v>131</v>
      </c>
      <c r="C242" t="s">
        <v>60</v>
      </c>
      <c r="D242" t="s">
        <v>66</v>
      </c>
      <c r="E242" t="s">
        <v>34</v>
      </c>
      <c r="F242" t="s">
        <v>51</v>
      </c>
      <c r="G242" t="s">
        <v>62</v>
      </c>
      <c r="H242" t="s">
        <v>47</v>
      </c>
      <c r="I242">
        <v>5</v>
      </c>
      <c r="J242">
        <v>5064</v>
      </c>
      <c r="K242">
        <v>22788</v>
      </c>
      <c r="L242" t="s">
        <v>38</v>
      </c>
      <c r="M242">
        <v>10</v>
      </c>
      <c r="N242">
        <v>6121.06</v>
      </c>
    </row>
    <row r="243" spans="1:14" ht="14.25" customHeight="1" x14ac:dyDescent="0.3">
      <c r="A243">
        <v>1242</v>
      </c>
      <c r="B243" t="s">
        <v>132</v>
      </c>
      <c r="C243" t="s">
        <v>50</v>
      </c>
      <c r="D243" t="s">
        <v>66</v>
      </c>
      <c r="E243" t="s">
        <v>34</v>
      </c>
      <c r="F243" t="s">
        <v>35</v>
      </c>
      <c r="G243" t="s">
        <v>67</v>
      </c>
      <c r="H243" t="s">
        <v>47</v>
      </c>
      <c r="I243">
        <v>3</v>
      </c>
      <c r="J243">
        <v>48497</v>
      </c>
      <c r="K243">
        <v>130941.9</v>
      </c>
      <c r="L243" t="s">
        <v>48</v>
      </c>
      <c r="M243">
        <v>10</v>
      </c>
      <c r="N243">
        <v>27272.38</v>
      </c>
    </row>
    <row r="244" spans="1:14" ht="14.25" customHeight="1" x14ac:dyDescent="0.3">
      <c r="A244">
        <v>1243</v>
      </c>
      <c r="B244" t="s">
        <v>132</v>
      </c>
      <c r="C244" t="s">
        <v>60</v>
      </c>
      <c r="D244" t="s">
        <v>66</v>
      </c>
      <c r="E244" t="s">
        <v>34</v>
      </c>
      <c r="F244" t="s">
        <v>45</v>
      </c>
      <c r="G244" t="s">
        <v>69</v>
      </c>
      <c r="H244" t="s">
        <v>47</v>
      </c>
      <c r="I244">
        <v>2</v>
      </c>
      <c r="J244">
        <v>34621</v>
      </c>
      <c r="K244">
        <v>58855.7</v>
      </c>
      <c r="L244" t="s">
        <v>43</v>
      </c>
      <c r="M244">
        <v>15</v>
      </c>
      <c r="N244">
        <v>15502.46</v>
      </c>
    </row>
    <row r="245" spans="1:14" ht="14.25" customHeight="1" x14ac:dyDescent="0.3">
      <c r="A245">
        <v>1244</v>
      </c>
      <c r="B245" t="s">
        <v>133</v>
      </c>
      <c r="C245" t="s">
        <v>39</v>
      </c>
      <c r="D245" t="s">
        <v>40</v>
      </c>
      <c r="E245" t="s">
        <v>41</v>
      </c>
      <c r="F245" t="s">
        <v>45</v>
      </c>
      <c r="G245" t="s">
        <v>69</v>
      </c>
      <c r="H245" t="s">
        <v>37</v>
      </c>
      <c r="I245">
        <v>1</v>
      </c>
      <c r="J245">
        <v>34110</v>
      </c>
      <c r="K245">
        <v>28993.5</v>
      </c>
      <c r="L245" t="s">
        <v>43</v>
      </c>
      <c r="M245">
        <v>15</v>
      </c>
      <c r="N245">
        <v>3399.64</v>
      </c>
    </row>
    <row r="246" spans="1:14" ht="14.25" customHeight="1" x14ac:dyDescent="0.3">
      <c r="A246">
        <v>1245</v>
      </c>
      <c r="B246" t="s">
        <v>133</v>
      </c>
      <c r="C246" t="s">
        <v>39</v>
      </c>
      <c r="D246" t="s">
        <v>33</v>
      </c>
      <c r="E246" t="s">
        <v>34</v>
      </c>
      <c r="F246" t="s">
        <v>35</v>
      </c>
      <c r="G246" t="s">
        <v>67</v>
      </c>
      <c r="H246" t="s">
        <v>47</v>
      </c>
      <c r="I246">
        <v>4</v>
      </c>
      <c r="J246">
        <v>27187</v>
      </c>
      <c r="K246">
        <v>108748</v>
      </c>
      <c r="L246" t="s">
        <v>61</v>
      </c>
      <c r="M246">
        <v>0</v>
      </c>
      <c r="N246">
        <v>16137.18</v>
      </c>
    </row>
    <row r="247" spans="1:14" ht="14.25" customHeight="1" x14ac:dyDescent="0.3">
      <c r="A247">
        <v>1246</v>
      </c>
      <c r="B247" t="s">
        <v>134</v>
      </c>
      <c r="C247" t="s">
        <v>39</v>
      </c>
      <c r="D247" t="s">
        <v>53</v>
      </c>
      <c r="E247" t="s">
        <v>54</v>
      </c>
      <c r="F247" t="s">
        <v>51</v>
      </c>
      <c r="G247" t="s">
        <v>63</v>
      </c>
      <c r="H247" t="s">
        <v>37</v>
      </c>
      <c r="I247">
        <v>1</v>
      </c>
      <c r="J247">
        <v>20667</v>
      </c>
      <c r="K247">
        <v>18600.3</v>
      </c>
      <c r="L247" t="s">
        <v>38</v>
      </c>
      <c r="M247">
        <v>10</v>
      </c>
      <c r="N247">
        <v>3747.15</v>
      </c>
    </row>
    <row r="248" spans="1:14" ht="14.25" customHeight="1" x14ac:dyDescent="0.3">
      <c r="A248">
        <v>1247</v>
      </c>
      <c r="B248" t="s">
        <v>134</v>
      </c>
      <c r="C248" t="s">
        <v>44</v>
      </c>
      <c r="D248" t="s">
        <v>58</v>
      </c>
      <c r="E248" t="s">
        <v>54</v>
      </c>
      <c r="F248" t="s">
        <v>35</v>
      </c>
      <c r="G248" t="s">
        <v>36</v>
      </c>
      <c r="H248" t="s">
        <v>37</v>
      </c>
      <c r="I248">
        <v>3</v>
      </c>
      <c r="J248">
        <v>37533</v>
      </c>
      <c r="K248">
        <v>112599</v>
      </c>
      <c r="L248" t="s">
        <v>43</v>
      </c>
      <c r="M248">
        <v>0</v>
      </c>
      <c r="N248">
        <v>22294.720000000001</v>
      </c>
    </row>
    <row r="249" spans="1:14" ht="14.25" customHeight="1" x14ac:dyDescent="0.3">
      <c r="A249">
        <v>1248</v>
      </c>
      <c r="B249" t="s">
        <v>134</v>
      </c>
      <c r="C249" t="s">
        <v>60</v>
      </c>
      <c r="D249" t="s">
        <v>33</v>
      </c>
      <c r="E249" t="s">
        <v>34</v>
      </c>
      <c r="F249" t="s">
        <v>45</v>
      </c>
      <c r="G249" t="s">
        <v>57</v>
      </c>
      <c r="H249" t="s">
        <v>47</v>
      </c>
      <c r="I249">
        <v>5</v>
      </c>
      <c r="J249">
        <v>24267</v>
      </c>
      <c r="K249">
        <v>115268.25</v>
      </c>
      <c r="L249" t="s">
        <v>61</v>
      </c>
      <c r="M249">
        <v>5</v>
      </c>
      <c r="N249">
        <v>33224.69</v>
      </c>
    </row>
    <row r="250" spans="1:14" ht="14.25" customHeight="1" x14ac:dyDescent="0.3">
      <c r="A250">
        <v>1249</v>
      </c>
      <c r="B250" t="s">
        <v>134</v>
      </c>
      <c r="C250" t="s">
        <v>32</v>
      </c>
      <c r="D250" t="s">
        <v>53</v>
      </c>
      <c r="E250" t="s">
        <v>54</v>
      </c>
      <c r="F250" t="s">
        <v>45</v>
      </c>
      <c r="G250" t="s">
        <v>57</v>
      </c>
      <c r="H250" t="s">
        <v>42</v>
      </c>
      <c r="I250">
        <v>5</v>
      </c>
      <c r="J250">
        <v>32069</v>
      </c>
      <c r="K250">
        <v>144310.5</v>
      </c>
      <c r="L250" t="s">
        <v>38</v>
      </c>
      <c r="M250">
        <v>10</v>
      </c>
      <c r="N250">
        <v>16045.47</v>
      </c>
    </row>
    <row r="251" spans="1:14" ht="14.25" customHeight="1" x14ac:dyDescent="0.3">
      <c r="A251">
        <v>1250</v>
      </c>
      <c r="B251" t="s">
        <v>135</v>
      </c>
      <c r="C251" t="s">
        <v>32</v>
      </c>
      <c r="D251" t="s">
        <v>40</v>
      </c>
      <c r="E251" t="s">
        <v>41</v>
      </c>
      <c r="F251" t="s">
        <v>51</v>
      </c>
      <c r="G251" t="s">
        <v>62</v>
      </c>
      <c r="H251" t="s">
        <v>55</v>
      </c>
      <c r="I251">
        <v>2</v>
      </c>
      <c r="J251">
        <v>35689</v>
      </c>
      <c r="K251">
        <v>71378</v>
      </c>
      <c r="L251" t="s">
        <v>43</v>
      </c>
      <c r="M251">
        <v>0</v>
      </c>
      <c r="N251">
        <v>9343.69</v>
      </c>
    </row>
    <row r="252" spans="1:14" ht="14.25" customHeight="1" x14ac:dyDescent="0.3">
      <c r="A252">
        <v>1251</v>
      </c>
      <c r="B252" t="s">
        <v>135</v>
      </c>
      <c r="C252" t="s">
        <v>60</v>
      </c>
      <c r="D252" t="s">
        <v>40</v>
      </c>
      <c r="E252" t="s">
        <v>41</v>
      </c>
      <c r="F252" t="s">
        <v>45</v>
      </c>
      <c r="G252" t="s">
        <v>57</v>
      </c>
      <c r="H252" t="s">
        <v>37</v>
      </c>
      <c r="I252">
        <v>2</v>
      </c>
      <c r="J252">
        <v>4090</v>
      </c>
      <c r="K252">
        <v>8180</v>
      </c>
      <c r="L252" t="s">
        <v>61</v>
      </c>
      <c r="M252">
        <v>0</v>
      </c>
      <c r="N252">
        <v>961.66</v>
      </c>
    </row>
    <row r="253" spans="1:14" ht="14.25" customHeight="1" x14ac:dyDescent="0.3">
      <c r="A253">
        <v>1252</v>
      </c>
      <c r="B253" t="s">
        <v>136</v>
      </c>
      <c r="C253" t="s">
        <v>44</v>
      </c>
      <c r="D253" t="s">
        <v>58</v>
      </c>
      <c r="E253" t="s">
        <v>54</v>
      </c>
      <c r="F253" t="s">
        <v>35</v>
      </c>
      <c r="G253" t="s">
        <v>65</v>
      </c>
      <c r="H253" t="s">
        <v>47</v>
      </c>
      <c r="I253">
        <v>4</v>
      </c>
      <c r="J253">
        <v>9014</v>
      </c>
      <c r="K253">
        <v>30647.599999999999</v>
      </c>
      <c r="L253" t="s">
        <v>61</v>
      </c>
      <c r="M253">
        <v>15</v>
      </c>
      <c r="N253">
        <v>7179.11</v>
      </c>
    </row>
    <row r="254" spans="1:14" ht="14.25" customHeight="1" x14ac:dyDescent="0.3">
      <c r="A254">
        <v>1253</v>
      </c>
      <c r="B254" t="s">
        <v>136</v>
      </c>
      <c r="C254" t="s">
        <v>50</v>
      </c>
      <c r="D254" t="s">
        <v>33</v>
      </c>
      <c r="E254" t="s">
        <v>34</v>
      </c>
      <c r="F254" t="s">
        <v>45</v>
      </c>
      <c r="G254" t="s">
        <v>69</v>
      </c>
      <c r="H254" t="s">
        <v>47</v>
      </c>
      <c r="I254">
        <v>5</v>
      </c>
      <c r="J254">
        <v>46400</v>
      </c>
      <c r="K254">
        <v>197200</v>
      </c>
      <c r="L254" t="s">
        <v>43</v>
      </c>
      <c r="M254">
        <v>15</v>
      </c>
      <c r="N254">
        <v>56964.42</v>
      </c>
    </row>
    <row r="255" spans="1:14" ht="14.25" customHeight="1" x14ac:dyDescent="0.3">
      <c r="A255">
        <v>1254</v>
      </c>
      <c r="B255" t="s">
        <v>136</v>
      </c>
      <c r="C255" t="s">
        <v>60</v>
      </c>
      <c r="D255" t="s">
        <v>58</v>
      </c>
      <c r="E255" t="s">
        <v>54</v>
      </c>
      <c r="F255" t="s">
        <v>45</v>
      </c>
      <c r="G255" t="s">
        <v>57</v>
      </c>
      <c r="H255" t="s">
        <v>37</v>
      </c>
      <c r="I255">
        <v>1</v>
      </c>
      <c r="J255">
        <v>4670</v>
      </c>
      <c r="K255">
        <v>3969.5</v>
      </c>
      <c r="L255" t="s">
        <v>38</v>
      </c>
      <c r="M255">
        <v>15</v>
      </c>
      <c r="N255">
        <v>631.98</v>
      </c>
    </row>
    <row r="256" spans="1:14" ht="14.25" customHeight="1" x14ac:dyDescent="0.3">
      <c r="A256">
        <v>1255</v>
      </c>
      <c r="B256" t="s">
        <v>136</v>
      </c>
      <c r="C256" t="s">
        <v>39</v>
      </c>
      <c r="D256" t="s">
        <v>33</v>
      </c>
      <c r="E256" t="s">
        <v>34</v>
      </c>
      <c r="F256" t="s">
        <v>45</v>
      </c>
      <c r="G256" t="s">
        <v>46</v>
      </c>
      <c r="H256" t="s">
        <v>42</v>
      </c>
      <c r="I256">
        <v>1</v>
      </c>
      <c r="J256">
        <v>33007</v>
      </c>
      <c r="K256">
        <v>29706.3</v>
      </c>
      <c r="L256" t="s">
        <v>61</v>
      </c>
      <c r="M256">
        <v>10</v>
      </c>
      <c r="N256">
        <v>5674.61</v>
      </c>
    </row>
    <row r="257" spans="1:14" ht="14.25" customHeight="1" x14ac:dyDescent="0.3">
      <c r="A257">
        <v>1256</v>
      </c>
      <c r="B257" t="s">
        <v>136</v>
      </c>
      <c r="C257" t="s">
        <v>44</v>
      </c>
      <c r="D257" t="s">
        <v>40</v>
      </c>
      <c r="E257" t="s">
        <v>41</v>
      </c>
      <c r="F257" t="s">
        <v>51</v>
      </c>
      <c r="G257" t="s">
        <v>63</v>
      </c>
      <c r="H257" t="s">
        <v>55</v>
      </c>
      <c r="I257">
        <v>3</v>
      </c>
      <c r="J257">
        <v>36746</v>
      </c>
      <c r="K257">
        <v>104726.1</v>
      </c>
      <c r="L257" t="s">
        <v>38</v>
      </c>
      <c r="M257">
        <v>5</v>
      </c>
      <c r="N257">
        <v>12127.88</v>
      </c>
    </row>
    <row r="258" spans="1:14" ht="14.25" customHeight="1" x14ac:dyDescent="0.3">
      <c r="A258">
        <v>1257</v>
      </c>
      <c r="B258" t="s">
        <v>137</v>
      </c>
      <c r="C258" t="s">
        <v>44</v>
      </c>
      <c r="D258" t="s">
        <v>58</v>
      </c>
      <c r="E258" t="s">
        <v>54</v>
      </c>
      <c r="F258" t="s">
        <v>35</v>
      </c>
      <c r="G258" t="s">
        <v>36</v>
      </c>
      <c r="H258" t="s">
        <v>55</v>
      </c>
      <c r="I258">
        <v>3</v>
      </c>
      <c r="J258">
        <v>48939</v>
      </c>
      <c r="K258">
        <v>124794.45</v>
      </c>
      <c r="L258" t="s">
        <v>48</v>
      </c>
      <c r="M258">
        <v>15</v>
      </c>
      <c r="N258">
        <v>23402.1</v>
      </c>
    </row>
    <row r="259" spans="1:14" ht="14.25" customHeight="1" x14ac:dyDescent="0.3">
      <c r="A259">
        <v>1258</v>
      </c>
      <c r="B259" t="s">
        <v>137</v>
      </c>
      <c r="C259" t="s">
        <v>60</v>
      </c>
      <c r="D259" t="s">
        <v>33</v>
      </c>
      <c r="E259" t="s">
        <v>34</v>
      </c>
      <c r="F259" t="s">
        <v>35</v>
      </c>
      <c r="G259" t="s">
        <v>67</v>
      </c>
      <c r="H259" t="s">
        <v>47</v>
      </c>
      <c r="I259">
        <v>4</v>
      </c>
      <c r="J259">
        <v>46948</v>
      </c>
      <c r="K259">
        <v>178402.4</v>
      </c>
      <c r="L259" t="s">
        <v>43</v>
      </c>
      <c r="M259">
        <v>5</v>
      </c>
      <c r="N259">
        <v>26153.81</v>
      </c>
    </row>
    <row r="260" spans="1:14" ht="14.25" customHeight="1" x14ac:dyDescent="0.3">
      <c r="A260">
        <v>1259</v>
      </c>
      <c r="B260" t="s">
        <v>138</v>
      </c>
      <c r="C260" t="s">
        <v>60</v>
      </c>
      <c r="D260" t="s">
        <v>66</v>
      </c>
      <c r="E260" t="s">
        <v>34</v>
      </c>
      <c r="F260" t="s">
        <v>51</v>
      </c>
      <c r="G260" t="s">
        <v>52</v>
      </c>
      <c r="H260" t="s">
        <v>42</v>
      </c>
      <c r="I260">
        <v>3</v>
      </c>
      <c r="J260">
        <v>8087</v>
      </c>
      <c r="K260">
        <v>20621.849999999999</v>
      </c>
      <c r="L260" t="s">
        <v>48</v>
      </c>
      <c r="M260">
        <v>15</v>
      </c>
      <c r="N260">
        <v>2126.9699999999998</v>
      </c>
    </row>
    <row r="261" spans="1:14" ht="14.25" customHeight="1" x14ac:dyDescent="0.3">
      <c r="A261">
        <v>1260</v>
      </c>
      <c r="B261" t="s">
        <v>138</v>
      </c>
      <c r="C261" t="s">
        <v>39</v>
      </c>
      <c r="D261" t="s">
        <v>53</v>
      </c>
      <c r="E261" t="s">
        <v>54</v>
      </c>
      <c r="F261" t="s">
        <v>51</v>
      </c>
      <c r="G261" t="s">
        <v>63</v>
      </c>
      <c r="H261" t="s">
        <v>47</v>
      </c>
      <c r="I261">
        <v>5</v>
      </c>
      <c r="J261">
        <v>13155</v>
      </c>
      <c r="K261">
        <v>62486.25</v>
      </c>
      <c r="L261" t="s">
        <v>43</v>
      </c>
      <c r="M261">
        <v>5</v>
      </c>
      <c r="N261">
        <v>10276.1</v>
      </c>
    </row>
    <row r="262" spans="1:14" ht="14.25" customHeight="1" x14ac:dyDescent="0.3">
      <c r="A262">
        <v>1261</v>
      </c>
      <c r="B262" t="s">
        <v>138</v>
      </c>
      <c r="C262" t="s">
        <v>39</v>
      </c>
      <c r="D262" t="s">
        <v>58</v>
      </c>
      <c r="E262" t="s">
        <v>54</v>
      </c>
      <c r="F262" t="s">
        <v>51</v>
      </c>
      <c r="G262" t="s">
        <v>62</v>
      </c>
      <c r="H262" t="s">
        <v>55</v>
      </c>
      <c r="I262">
        <v>1</v>
      </c>
      <c r="J262">
        <v>46806</v>
      </c>
      <c r="K262">
        <v>44465.7</v>
      </c>
      <c r="L262" t="s">
        <v>48</v>
      </c>
      <c r="M262">
        <v>5</v>
      </c>
      <c r="N262">
        <v>5026.99</v>
      </c>
    </row>
    <row r="263" spans="1:14" ht="14.25" customHeight="1" x14ac:dyDescent="0.3">
      <c r="A263">
        <v>1262</v>
      </c>
      <c r="B263" t="s">
        <v>138</v>
      </c>
      <c r="C263" t="s">
        <v>32</v>
      </c>
      <c r="D263" t="s">
        <v>58</v>
      </c>
      <c r="E263" t="s">
        <v>54</v>
      </c>
      <c r="F263" t="s">
        <v>45</v>
      </c>
      <c r="G263" t="s">
        <v>46</v>
      </c>
      <c r="H263" t="s">
        <v>42</v>
      </c>
      <c r="I263">
        <v>3</v>
      </c>
      <c r="J263">
        <v>30473</v>
      </c>
      <c r="K263">
        <v>86848.05</v>
      </c>
      <c r="L263" t="s">
        <v>61</v>
      </c>
      <c r="M263">
        <v>5</v>
      </c>
      <c r="N263">
        <v>15407.92</v>
      </c>
    </row>
    <row r="264" spans="1:14" ht="14.25" customHeight="1" x14ac:dyDescent="0.3">
      <c r="A264">
        <v>1263</v>
      </c>
      <c r="B264" t="s">
        <v>139</v>
      </c>
      <c r="C264" t="s">
        <v>44</v>
      </c>
      <c r="D264" t="s">
        <v>58</v>
      </c>
      <c r="E264" t="s">
        <v>54</v>
      </c>
      <c r="F264" t="s">
        <v>51</v>
      </c>
      <c r="G264" t="s">
        <v>52</v>
      </c>
      <c r="H264" t="s">
        <v>47</v>
      </c>
      <c r="I264">
        <v>2</v>
      </c>
      <c r="J264">
        <v>29231</v>
      </c>
      <c r="K264">
        <v>58462</v>
      </c>
      <c r="L264" t="s">
        <v>61</v>
      </c>
      <c r="M264">
        <v>0</v>
      </c>
      <c r="N264">
        <v>17516.490000000002</v>
      </c>
    </row>
    <row r="265" spans="1:14" ht="14.25" customHeight="1" x14ac:dyDescent="0.3">
      <c r="A265">
        <v>1264</v>
      </c>
      <c r="B265" t="s">
        <v>139</v>
      </c>
      <c r="C265" t="s">
        <v>60</v>
      </c>
      <c r="D265" t="s">
        <v>33</v>
      </c>
      <c r="E265" t="s">
        <v>34</v>
      </c>
      <c r="F265" t="s">
        <v>45</v>
      </c>
      <c r="G265" t="s">
        <v>69</v>
      </c>
      <c r="H265" t="s">
        <v>37</v>
      </c>
      <c r="I265">
        <v>4</v>
      </c>
      <c r="J265">
        <v>39544</v>
      </c>
      <c r="K265">
        <v>150267.20000000001</v>
      </c>
      <c r="L265" t="s">
        <v>38</v>
      </c>
      <c r="M265">
        <v>5</v>
      </c>
      <c r="N265">
        <v>29979.98</v>
      </c>
    </row>
    <row r="266" spans="1:14" ht="14.25" customHeight="1" x14ac:dyDescent="0.3">
      <c r="A266">
        <v>1265</v>
      </c>
      <c r="B266" t="s">
        <v>140</v>
      </c>
      <c r="C266" t="s">
        <v>39</v>
      </c>
      <c r="D266" t="s">
        <v>33</v>
      </c>
      <c r="E266" t="s">
        <v>34</v>
      </c>
      <c r="F266" t="s">
        <v>51</v>
      </c>
      <c r="G266" t="s">
        <v>52</v>
      </c>
      <c r="H266" t="s">
        <v>42</v>
      </c>
      <c r="I266">
        <v>1</v>
      </c>
      <c r="J266">
        <v>13751</v>
      </c>
      <c r="K266">
        <v>11688.35</v>
      </c>
      <c r="L266" t="s">
        <v>48</v>
      </c>
      <c r="M266">
        <v>15</v>
      </c>
      <c r="N266">
        <v>2278.87</v>
      </c>
    </row>
    <row r="267" spans="1:14" ht="14.25" customHeight="1" x14ac:dyDescent="0.3">
      <c r="A267">
        <v>1266</v>
      </c>
      <c r="B267" t="s">
        <v>140</v>
      </c>
      <c r="C267" t="s">
        <v>32</v>
      </c>
      <c r="D267" t="s">
        <v>33</v>
      </c>
      <c r="E267" t="s">
        <v>34</v>
      </c>
      <c r="F267" t="s">
        <v>35</v>
      </c>
      <c r="G267" t="s">
        <v>36</v>
      </c>
      <c r="H267" t="s">
        <v>42</v>
      </c>
      <c r="I267">
        <v>5</v>
      </c>
      <c r="J267">
        <v>36432</v>
      </c>
      <c r="K267">
        <v>163944</v>
      </c>
      <c r="L267" t="s">
        <v>38</v>
      </c>
      <c r="M267">
        <v>10</v>
      </c>
      <c r="N267">
        <v>27010.65</v>
      </c>
    </row>
    <row r="268" spans="1:14" ht="14.25" customHeight="1" x14ac:dyDescent="0.3">
      <c r="A268">
        <v>1267</v>
      </c>
      <c r="B268" t="s">
        <v>140</v>
      </c>
      <c r="C268" t="s">
        <v>50</v>
      </c>
      <c r="D268" t="s">
        <v>33</v>
      </c>
      <c r="E268" t="s">
        <v>34</v>
      </c>
      <c r="F268" t="s">
        <v>35</v>
      </c>
      <c r="G268" t="s">
        <v>36</v>
      </c>
      <c r="H268" t="s">
        <v>55</v>
      </c>
      <c r="I268">
        <v>1</v>
      </c>
      <c r="J268">
        <v>23457</v>
      </c>
      <c r="K268">
        <v>23457</v>
      </c>
      <c r="L268" t="s">
        <v>43</v>
      </c>
      <c r="M268">
        <v>0</v>
      </c>
      <c r="N268">
        <v>6522.54</v>
      </c>
    </row>
    <row r="269" spans="1:14" ht="14.25" customHeight="1" x14ac:dyDescent="0.3">
      <c r="A269">
        <v>1268</v>
      </c>
      <c r="B269" t="s">
        <v>141</v>
      </c>
      <c r="C269" t="s">
        <v>50</v>
      </c>
      <c r="D269" t="s">
        <v>66</v>
      </c>
      <c r="E269" t="s">
        <v>34</v>
      </c>
      <c r="F269" t="s">
        <v>35</v>
      </c>
      <c r="G269" t="s">
        <v>36</v>
      </c>
      <c r="H269" t="s">
        <v>37</v>
      </c>
      <c r="I269">
        <v>4</v>
      </c>
      <c r="J269">
        <v>43804</v>
      </c>
      <c r="K269">
        <v>175216</v>
      </c>
      <c r="L269" t="s">
        <v>48</v>
      </c>
      <c r="M269">
        <v>0</v>
      </c>
      <c r="N269">
        <v>41477.839999999997</v>
      </c>
    </row>
    <row r="270" spans="1:14" ht="14.25" customHeight="1" x14ac:dyDescent="0.3">
      <c r="A270">
        <v>1269</v>
      </c>
      <c r="B270" t="s">
        <v>141</v>
      </c>
      <c r="C270" t="s">
        <v>39</v>
      </c>
      <c r="D270" t="s">
        <v>66</v>
      </c>
      <c r="E270" t="s">
        <v>34</v>
      </c>
      <c r="F270" t="s">
        <v>45</v>
      </c>
      <c r="G270" t="s">
        <v>57</v>
      </c>
      <c r="H270" t="s">
        <v>55</v>
      </c>
      <c r="I270">
        <v>3</v>
      </c>
      <c r="J270">
        <v>1429</v>
      </c>
      <c r="K270">
        <v>3858.3</v>
      </c>
      <c r="L270" t="s">
        <v>43</v>
      </c>
      <c r="M270">
        <v>10</v>
      </c>
      <c r="N270">
        <v>929.7</v>
      </c>
    </row>
    <row r="271" spans="1:14" ht="14.25" customHeight="1" x14ac:dyDescent="0.3">
      <c r="A271">
        <v>1270</v>
      </c>
      <c r="B271" t="s">
        <v>141</v>
      </c>
      <c r="C271" t="s">
        <v>50</v>
      </c>
      <c r="D271" t="s">
        <v>66</v>
      </c>
      <c r="E271" t="s">
        <v>34</v>
      </c>
      <c r="F271" t="s">
        <v>45</v>
      </c>
      <c r="G271" t="s">
        <v>46</v>
      </c>
      <c r="H271" t="s">
        <v>37</v>
      </c>
      <c r="I271">
        <v>3</v>
      </c>
      <c r="J271">
        <v>15996</v>
      </c>
      <c r="K271">
        <v>47988</v>
      </c>
      <c r="L271" t="s">
        <v>38</v>
      </c>
      <c r="M271">
        <v>0</v>
      </c>
      <c r="N271">
        <v>5519.75</v>
      </c>
    </row>
    <row r="272" spans="1:14" ht="14.25" customHeight="1" x14ac:dyDescent="0.3">
      <c r="A272">
        <v>1271</v>
      </c>
      <c r="B272" t="s">
        <v>141</v>
      </c>
      <c r="C272" t="s">
        <v>39</v>
      </c>
      <c r="D272" t="s">
        <v>58</v>
      </c>
      <c r="E272" t="s">
        <v>54</v>
      </c>
      <c r="F272" t="s">
        <v>45</v>
      </c>
      <c r="G272" t="s">
        <v>69</v>
      </c>
      <c r="H272" t="s">
        <v>37</v>
      </c>
      <c r="I272">
        <v>4</v>
      </c>
      <c r="J272">
        <v>36910</v>
      </c>
      <c r="K272">
        <v>125494</v>
      </c>
      <c r="L272" t="s">
        <v>38</v>
      </c>
      <c r="M272">
        <v>15</v>
      </c>
      <c r="N272">
        <v>18090.59</v>
      </c>
    </row>
    <row r="273" spans="1:14" ht="14.25" customHeight="1" x14ac:dyDescent="0.3">
      <c r="A273">
        <v>1272</v>
      </c>
      <c r="B273" t="s">
        <v>141</v>
      </c>
      <c r="C273" t="s">
        <v>50</v>
      </c>
      <c r="D273" t="s">
        <v>66</v>
      </c>
      <c r="E273" t="s">
        <v>34</v>
      </c>
      <c r="F273" t="s">
        <v>35</v>
      </c>
      <c r="G273" t="s">
        <v>67</v>
      </c>
      <c r="H273" t="s">
        <v>55</v>
      </c>
      <c r="I273">
        <v>4</v>
      </c>
      <c r="J273">
        <v>47591</v>
      </c>
      <c r="K273">
        <v>190364</v>
      </c>
      <c r="L273" t="s">
        <v>48</v>
      </c>
      <c r="M273">
        <v>0</v>
      </c>
      <c r="N273">
        <v>42319.38</v>
      </c>
    </row>
    <row r="274" spans="1:14" ht="14.25" customHeight="1" x14ac:dyDescent="0.3">
      <c r="A274">
        <v>1273</v>
      </c>
      <c r="B274" t="s">
        <v>142</v>
      </c>
      <c r="C274" t="s">
        <v>39</v>
      </c>
      <c r="D274" t="s">
        <v>66</v>
      </c>
      <c r="E274" t="s">
        <v>34</v>
      </c>
      <c r="F274" t="s">
        <v>45</v>
      </c>
      <c r="G274" t="s">
        <v>57</v>
      </c>
      <c r="H274" t="s">
        <v>42</v>
      </c>
      <c r="I274">
        <v>1</v>
      </c>
      <c r="J274">
        <v>7155</v>
      </c>
      <c r="K274">
        <v>6081.75</v>
      </c>
      <c r="L274" t="s">
        <v>38</v>
      </c>
      <c r="M274">
        <v>15</v>
      </c>
      <c r="N274">
        <v>1648.6</v>
      </c>
    </row>
    <row r="275" spans="1:14" ht="14.25" customHeight="1" x14ac:dyDescent="0.3">
      <c r="A275">
        <v>1274</v>
      </c>
      <c r="B275" t="s">
        <v>142</v>
      </c>
      <c r="C275" t="s">
        <v>32</v>
      </c>
      <c r="D275" t="s">
        <v>53</v>
      </c>
      <c r="E275" t="s">
        <v>54</v>
      </c>
      <c r="F275" t="s">
        <v>51</v>
      </c>
      <c r="G275" t="s">
        <v>62</v>
      </c>
      <c r="H275" t="s">
        <v>47</v>
      </c>
      <c r="I275">
        <v>3</v>
      </c>
      <c r="J275">
        <v>25729</v>
      </c>
      <c r="K275">
        <v>69468.3</v>
      </c>
      <c r="L275" t="s">
        <v>43</v>
      </c>
      <c r="M275">
        <v>10</v>
      </c>
      <c r="N275">
        <v>17400.43</v>
      </c>
    </row>
    <row r="276" spans="1:14" ht="14.25" customHeight="1" x14ac:dyDescent="0.3">
      <c r="A276">
        <v>1275</v>
      </c>
      <c r="B276" t="s">
        <v>142</v>
      </c>
      <c r="C276" t="s">
        <v>32</v>
      </c>
      <c r="D276" t="s">
        <v>66</v>
      </c>
      <c r="E276" t="s">
        <v>34</v>
      </c>
      <c r="F276" t="s">
        <v>51</v>
      </c>
      <c r="G276" t="s">
        <v>63</v>
      </c>
      <c r="H276" t="s">
        <v>37</v>
      </c>
      <c r="I276">
        <v>5</v>
      </c>
      <c r="J276">
        <v>34177</v>
      </c>
      <c r="K276">
        <v>153796.5</v>
      </c>
      <c r="L276" t="s">
        <v>61</v>
      </c>
      <c r="M276">
        <v>10</v>
      </c>
      <c r="N276">
        <v>43090.51</v>
      </c>
    </row>
    <row r="277" spans="1:14" ht="14.25" customHeight="1" x14ac:dyDescent="0.3">
      <c r="A277">
        <v>1276</v>
      </c>
      <c r="B277" t="s">
        <v>142</v>
      </c>
      <c r="C277" t="s">
        <v>60</v>
      </c>
      <c r="D277" t="s">
        <v>66</v>
      </c>
      <c r="E277" t="s">
        <v>34</v>
      </c>
      <c r="F277" t="s">
        <v>51</v>
      </c>
      <c r="G277" t="s">
        <v>52</v>
      </c>
      <c r="H277" t="s">
        <v>37</v>
      </c>
      <c r="I277">
        <v>2</v>
      </c>
      <c r="J277">
        <v>33439</v>
      </c>
      <c r="K277">
        <v>66878</v>
      </c>
      <c r="L277" t="s">
        <v>43</v>
      </c>
      <c r="M277">
        <v>0</v>
      </c>
      <c r="N277">
        <v>10876.9</v>
      </c>
    </row>
    <row r="278" spans="1:14" ht="14.25" customHeight="1" x14ac:dyDescent="0.3">
      <c r="A278">
        <v>1277</v>
      </c>
      <c r="B278" t="s">
        <v>142</v>
      </c>
      <c r="C278" t="s">
        <v>39</v>
      </c>
      <c r="D278" t="s">
        <v>53</v>
      </c>
      <c r="E278" t="s">
        <v>54</v>
      </c>
      <c r="F278" t="s">
        <v>45</v>
      </c>
      <c r="G278" t="s">
        <v>69</v>
      </c>
      <c r="H278" t="s">
        <v>47</v>
      </c>
      <c r="I278">
        <v>1</v>
      </c>
      <c r="J278">
        <v>43955</v>
      </c>
      <c r="K278">
        <v>43955</v>
      </c>
      <c r="L278" t="s">
        <v>38</v>
      </c>
      <c r="M278">
        <v>0</v>
      </c>
      <c r="N278">
        <v>8596.09</v>
      </c>
    </row>
    <row r="279" spans="1:14" ht="14.25" customHeight="1" x14ac:dyDescent="0.3">
      <c r="A279">
        <v>1278</v>
      </c>
      <c r="B279" t="s">
        <v>143</v>
      </c>
      <c r="C279" t="s">
        <v>50</v>
      </c>
      <c r="D279" t="s">
        <v>53</v>
      </c>
      <c r="E279" t="s">
        <v>54</v>
      </c>
      <c r="F279" t="s">
        <v>45</v>
      </c>
      <c r="G279" t="s">
        <v>69</v>
      </c>
      <c r="H279" t="s">
        <v>55</v>
      </c>
      <c r="I279">
        <v>4</v>
      </c>
      <c r="J279">
        <v>10934</v>
      </c>
      <c r="K279">
        <v>37175.599999999999</v>
      </c>
      <c r="L279" t="s">
        <v>38</v>
      </c>
      <c r="M279">
        <v>15</v>
      </c>
      <c r="N279">
        <v>7143.49</v>
      </c>
    </row>
    <row r="280" spans="1:14" ht="14.25" customHeight="1" x14ac:dyDescent="0.3">
      <c r="A280">
        <v>1279</v>
      </c>
      <c r="B280" t="s">
        <v>143</v>
      </c>
      <c r="C280" t="s">
        <v>60</v>
      </c>
      <c r="D280" t="s">
        <v>40</v>
      </c>
      <c r="E280" t="s">
        <v>41</v>
      </c>
      <c r="F280" t="s">
        <v>51</v>
      </c>
      <c r="G280" t="s">
        <v>62</v>
      </c>
      <c r="H280" t="s">
        <v>47</v>
      </c>
      <c r="I280">
        <v>1</v>
      </c>
      <c r="J280">
        <v>25903</v>
      </c>
      <c r="K280">
        <v>25903</v>
      </c>
      <c r="L280" t="s">
        <v>38</v>
      </c>
      <c r="M280">
        <v>0</v>
      </c>
      <c r="N280">
        <v>5479.04</v>
      </c>
    </row>
    <row r="281" spans="1:14" ht="14.25" customHeight="1" x14ac:dyDescent="0.3">
      <c r="A281">
        <v>1280</v>
      </c>
      <c r="B281" t="s">
        <v>143</v>
      </c>
      <c r="C281" t="s">
        <v>50</v>
      </c>
      <c r="D281" t="s">
        <v>40</v>
      </c>
      <c r="E281" t="s">
        <v>41</v>
      </c>
      <c r="F281" t="s">
        <v>45</v>
      </c>
      <c r="G281" t="s">
        <v>46</v>
      </c>
      <c r="H281" t="s">
        <v>55</v>
      </c>
      <c r="I281">
        <v>2</v>
      </c>
      <c r="J281">
        <v>29695</v>
      </c>
      <c r="K281">
        <v>59390</v>
      </c>
      <c r="L281" t="s">
        <v>61</v>
      </c>
      <c r="M281">
        <v>0</v>
      </c>
      <c r="N281">
        <v>10888.39</v>
      </c>
    </row>
    <row r="282" spans="1:14" ht="14.25" customHeight="1" x14ac:dyDescent="0.3">
      <c r="A282">
        <v>1281</v>
      </c>
      <c r="B282" t="s">
        <v>143</v>
      </c>
      <c r="C282" t="s">
        <v>32</v>
      </c>
      <c r="D282" t="s">
        <v>58</v>
      </c>
      <c r="E282" t="s">
        <v>54</v>
      </c>
      <c r="F282" t="s">
        <v>51</v>
      </c>
      <c r="G282" t="s">
        <v>63</v>
      </c>
      <c r="H282" t="s">
        <v>55</v>
      </c>
      <c r="I282">
        <v>3</v>
      </c>
      <c r="J282">
        <v>49550</v>
      </c>
      <c r="K282">
        <v>148650</v>
      </c>
      <c r="L282" t="s">
        <v>38</v>
      </c>
      <c r="M282">
        <v>0</v>
      </c>
      <c r="N282">
        <v>37144.31</v>
      </c>
    </row>
    <row r="283" spans="1:14" ht="14.25" customHeight="1" x14ac:dyDescent="0.3">
      <c r="A283">
        <v>1282</v>
      </c>
      <c r="B283" t="s">
        <v>143</v>
      </c>
      <c r="C283" t="s">
        <v>50</v>
      </c>
      <c r="D283" t="s">
        <v>33</v>
      </c>
      <c r="E283" t="s">
        <v>34</v>
      </c>
      <c r="F283" t="s">
        <v>35</v>
      </c>
      <c r="G283" t="s">
        <v>65</v>
      </c>
      <c r="H283" t="s">
        <v>47</v>
      </c>
      <c r="I283">
        <v>4</v>
      </c>
      <c r="J283">
        <v>46366</v>
      </c>
      <c r="K283">
        <v>157644.4</v>
      </c>
      <c r="L283" t="s">
        <v>48</v>
      </c>
      <c r="M283">
        <v>15</v>
      </c>
      <c r="N283">
        <v>41638.47</v>
      </c>
    </row>
    <row r="284" spans="1:14" ht="14.25" customHeight="1" x14ac:dyDescent="0.3">
      <c r="A284">
        <v>1283</v>
      </c>
      <c r="B284" t="s">
        <v>144</v>
      </c>
      <c r="C284" t="s">
        <v>44</v>
      </c>
      <c r="D284" t="s">
        <v>33</v>
      </c>
      <c r="E284" t="s">
        <v>34</v>
      </c>
      <c r="F284" t="s">
        <v>35</v>
      </c>
      <c r="G284" t="s">
        <v>36</v>
      </c>
      <c r="H284" t="s">
        <v>42</v>
      </c>
      <c r="I284">
        <v>4</v>
      </c>
      <c r="J284">
        <v>15490</v>
      </c>
      <c r="K284">
        <v>55764</v>
      </c>
      <c r="L284" t="s">
        <v>43</v>
      </c>
      <c r="M284">
        <v>10</v>
      </c>
      <c r="N284">
        <v>9903.8799999999992</v>
      </c>
    </row>
    <row r="285" spans="1:14" ht="14.25" customHeight="1" x14ac:dyDescent="0.3">
      <c r="A285">
        <v>1284</v>
      </c>
      <c r="B285" t="s">
        <v>144</v>
      </c>
      <c r="C285" t="s">
        <v>50</v>
      </c>
      <c r="D285" t="s">
        <v>58</v>
      </c>
      <c r="E285" t="s">
        <v>54</v>
      </c>
      <c r="F285" t="s">
        <v>35</v>
      </c>
      <c r="G285" t="s">
        <v>65</v>
      </c>
      <c r="H285" t="s">
        <v>37</v>
      </c>
      <c r="I285">
        <v>4</v>
      </c>
      <c r="J285">
        <v>14780</v>
      </c>
      <c r="K285">
        <v>56164</v>
      </c>
      <c r="L285" t="s">
        <v>38</v>
      </c>
      <c r="M285">
        <v>5</v>
      </c>
      <c r="N285">
        <v>10291.799999999999</v>
      </c>
    </row>
    <row r="286" spans="1:14" ht="14.25" customHeight="1" x14ac:dyDescent="0.3">
      <c r="A286">
        <v>1285</v>
      </c>
      <c r="B286" t="s">
        <v>144</v>
      </c>
      <c r="C286" t="s">
        <v>32</v>
      </c>
      <c r="D286" t="s">
        <v>66</v>
      </c>
      <c r="E286" t="s">
        <v>34</v>
      </c>
      <c r="F286" t="s">
        <v>51</v>
      </c>
      <c r="G286" t="s">
        <v>63</v>
      </c>
      <c r="H286" t="s">
        <v>55</v>
      </c>
      <c r="I286">
        <v>1</v>
      </c>
      <c r="J286">
        <v>30557</v>
      </c>
      <c r="K286">
        <v>27501.3</v>
      </c>
      <c r="L286" t="s">
        <v>38</v>
      </c>
      <c r="M286">
        <v>10</v>
      </c>
      <c r="N286">
        <v>3167.79</v>
      </c>
    </row>
    <row r="287" spans="1:14" ht="14.25" customHeight="1" x14ac:dyDescent="0.3">
      <c r="A287">
        <v>1286</v>
      </c>
      <c r="B287" t="s">
        <v>144</v>
      </c>
      <c r="C287" t="s">
        <v>50</v>
      </c>
      <c r="D287" t="s">
        <v>66</v>
      </c>
      <c r="E287" t="s">
        <v>34</v>
      </c>
      <c r="F287" t="s">
        <v>45</v>
      </c>
      <c r="G287" t="s">
        <v>69</v>
      </c>
      <c r="H287" t="s">
        <v>42</v>
      </c>
      <c r="I287">
        <v>4</v>
      </c>
      <c r="J287">
        <v>42432</v>
      </c>
      <c r="K287">
        <v>169728</v>
      </c>
      <c r="L287" t="s">
        <v>48</v>
      </c>
      <c r="M287">
        <v>0</v>
      </c>
      <c r="N287">
        <v>45370.02</v>
      </c>
    </row>
    <row r="288" spans="1:14" ht="14.25" customHeight="1" x14ac:dyDescent="0.3">
      <c r="A288">
        <v>1287</v>
      </c>
      <c r="B288" t="s">
        <v>144</v>
      </c>
      <c r="C288" t="s">
        <v>32</v>
      </c>
      <c r="D288" t="s">
        <v>66</v>
      </c>
      <c r="E288" t="s">
        <v>34</v>
      </c>
      <c r="F288" t="s">
        <v>45</v>
      </c>
      <c r="G288" t="s">
        <v>57</v>
      </c>
      <c r="H288" t="s">
        <v>47</v>
      </c>
      <c r="I288">
        <v>1</v>
      </c>
      <c r="J288">
        <v>45098</v>
      </c>
      <c r="K288">
        <v>40588.199999999997</v>
      </c>
      <c r="L288" t="s">
        <v>61</v>
      </c>
      <c r="M288">
        <v>10</v>
      </c>
      <c r="N288">
        <v>8537.23</v>
      </c>
    </row>
    <row r="289" spans="1:14" ht="14.25" customHeight="1" x14ac:dyDescent="0.3">
      <c r="A289">
        <v>1288</v>
      </c>
      <c r="B289" t="s">
        <v>145</v>
      </c>
      <c r="C289" t="s">
        <v>44</v>
      </c>
      <c r="D289" t="s">
        <v>58</v>
      </c>
      <c r="E289" t="s">
        <v>54</v>
      </c>
      <c r="F289" t="s">
        <v>51</v>
      </c>
      <c r="G289" t="s">
        <v>62</v>
      </c>
      <c r="H289" t="s">
        <v>42</v>
      </c>
      <c r="I289">
        <v>3</v>
      </c>
      <c r="J289">
        <v>29559</v>
      </c>
      <c r="K289">
        <v>88677</v>
      </c>
      <c r="L289" t="s">
        <v>43</v>
      </c>
      <c r="M289">
        <v>0</v>
      </c>
      <c r="N289">
        <v>12104.34</v>
      </c>
    </row>
    <row r="290" spans="1:14" ht="14.25" customHeight="1" x14ac:dyDescent="0.3">
      <c r="A290">
        <v>1289</v>
      </c>
      <c r="B290" t="s">
        <v>145</v>
      </c>
      <c r="C290" t="s">
        <v>44</v>
      </c>
      <c r="D290" t="s">
        <v>66</v>
      </c>
      <c r="E290" t="s">
        <v>34</v>
      </c>
      <c r="F290" t="s">
        <v>35</v>
      </c>
      <c r="G290" t="s">
        <v>65</v>
      </c>
      <c r="H290" t="s">
        <v>42</v>
      </c>
      <c r="I290">
        <v>1</v>
      </c>
      <c r="J290">
        <v>3927</v>
      </c>
      <c r="K290">
        <v>3534.3</v>
      </c>
      <c r="L290" t="s">
        <v>61</v>
      </c>
      <c r="M290">
        <v>10</v>
      </c>
      <c r="N290">
        <v>598.09</v>
      </c>
    </row>
    <row r="291" spans="1:14" ht="14.25" customHeight="1" x14ac:dyDescent="0.3">
      <c r="A291">
        <v>1290</v>
      </c>
      <c r="B291" t="s">
        <v>145</v>
      </c>
      <c r="C291" t="s">
        <v>32</v>
      </c>
      <c r="D291" t="s">
        <v>40</v>
      </c>
      <c r="E291" t="s">
        <v>41</v>
      </c>
      <c r="F291" t="s">
        <v>51</v>
      </c>
      <c r="G291" t="s">
        <v>52</v>
      </c>
      <c r="H291" t="s">
        <v>37</v>
      </c>
      <c r="I291">
        <v>4</v>
      </c>
      <c r="J291">
        <v>14174</v>
      </c>
      <c r="K291">
        <v>53861.2</v>
      </c>
      <c r="L291" t="s">
        <v>48</v>
      </c>
      <c r="M291">
        <v>5</v>
      </c>
      <c r="N291">
        <v>8039.21</v>
      </c>
    </row>
    <row r="292" spans="1:14" ht="14.25" customHeight="1" x14ac:dyDescent="0.3">
      <c r="A292">
        <v>1291</v>
      </c>
      <c r="B292" t="s">
        <v>145</v>
      </c>
      <c r="C292" t="s">
        <v>32</v>
      </c>
      <c r="D292" t="s">
        <v>66</v>
      </c>
      <c r="E292" t="s">
        <v>34</v>
      </c>
      <c r="F292" t="s">
        <v>51</v>
      </c>
      <c r="G292" t="s">
        <v>63</v>
      </c>
      <c r="H292" t="s">
        <v>42</v>
      </c>
      <c r="I292">
        <v>5</v>
      </c>
      <c r="J292">
        <v>32837</v>
      </c>
      <c r="K292">
        <v>155975.75</v>
      </c>
      <c r="L292" t="s">
        <v>38</v>
      </c>
      <c r="M292">
        <v>5</v>
      </c>
      <c r="N292">
        <v>32017.59</v>
      </c>
    </row>
    <row r="293" spans="1:14" ht="14.25" customHeight="1" x14ac:dyDescent="0.3">
      <c r="A293">
        <v>1292</v>
      </c>
      <c r="B293" t="s">
        <v>145</v>
      </c>
      <c r="C293" t="s">
        <v>44</v>
      </c>
      <c r="D293" t="s">
        <v>33</v>
      </c>
      <c r="E293" t="s">
        <v>34</v>
      </c>
      <c r="F293" t="s">
        <v>35</v>
      </c>
      <c r="G293" t="s">
        <v>65</v>
      </c>
      <c r="H293" t="s">
        <v>42</v>
      </c>
      <c r="I293">
        <v>5</v>
      </c>
      <c r="J293">
        <v>44707</v>
      </c>
      <c r="K293">
        <v>212358.25</v>
      </c>
      <c r="L293" t="s">
        <v>61</v>
      </c>
      <c r="M293">
        <v>5</v>
      </c>
      <c r="N293">
        <v>46858.09</v>
      </c>
    </row>
    <row r="294" spans="1:14" ht="14.25" customHeight="1" x14ac:dyDescent="0.3">
      <c r="A294">
        <v>1293</v>
      </c>
      <c r="B294" t="s">
        <v>146</v>
      </c>
      <c r="C294" t="s">
        <v>32</v>
      </c>
      <c r="D294" t="s">
        <v>33</v>
      </c>
      <c r="E294" t="s">
        <v>34</v>
      </c>
      <c r="F294" t="s">
        <v>35</v>
      </c>
      <c r="G294" t="s">
        <v>36</v>
      </c>
      <c r="H294" t="s">
        <v>55</v>
      </c>
      <c r="I294">
        <v>2</v>
      </c>
      <c r="J294">
        <v>20926</v>
      </c>
      <c r="K294">
        <v>35574.199999999997</v>
      </c>
      <c r="L294" t="s">
        <v>48</v>
      </c>
      <c r="M294">
        <v>15</v>
      </c>
      <c r="N294">
        <v>10311.14</v>
      </c>
    </row>
    <row r="295" spans="1:14" ht="14.25" customHeight="1" x14ac:dyDescent="0.3">
      <c r="A295">
        <v>1294</v>
      </c>
      <c r="B295" t="s">
        <v>146</v>
      </c>
      <c r="C295" t="s">
        <v>60</v>
      </c>
      <c r="D295" t="s">
        <v>40</v>
      </c>
      <c r="E295" t="s">
        <v>41</v>
      </c>
      <c r="F295" t="s">
        <v>51</v>
      </c>
      <c r="G295" t="s">
        <v>63</v>
      </c>
      <c r="H295" t="s">
        <v>42</v>
      </c>
      <c r="I295">
        <v>3</v>
      </c>
      <c r="J295">
        <v>32368</v>
      </c>
      <c r="K295">
        <v>82538.399999999994</v>
      </c>
      <c r="L295" t="s">
        <v>43</v>
      </c>
      <c r="M295">
        <v>15</v>
      </c>
      <c r="N295">
        <v>8990.57</v>
      </c>
    </row>
    <row r="296" spans="1:14" ht="14.25" customHeight="1" x14ac:dyDescent="0.3">
      <c r="A296">
        <v>1295</v>
      </c>
      <c r="B296" t="s">
        <v>146</v>
      </c>
      <c r="C296" t="s">
        <v>39</v>
      </c>
      <c r="D296" t="s">
        <v>58</v>
      </c>
      <c r="E296" t="s">
        <v>54</v>
      </c>
      <c r="F296" t="s">
        <v>51</v>
      </c>
      <c r="G296" t="s">
        <v>52</v>
      </c>
      <c r="H296" t="s">
        <v>47</v>
      </c>
      <c r="I296">
        <v>5</v>
      </c>
      <c r="J296">
        <v>14500</v>
      </c>
      <c r="K296">
        <v>61625</v>
      </c>
      <c r="L296" t="s">
        <v>48</v>
      </c>
      <c r="M296">
        <v>15</v>
      </c>
      <c r="N296">
        <v>7720.29</v>
      </c>
    </row>
    <row r="297" spans="1:14" ht="14.25" customHeight="1" x14ac:dyDescent="0.3">
      <c r="A297">
        <v>1296</v>
      </c>
      <c r="B297" t="s">
        <v>146</v>
      </c>
      <c r="C297" t="s">
        <v>32</v>
      </c>
      <c r="D297" t="s">
        <v>40</v>
      </c>
      <c r="E297" t="s">
        <v>41</v>
      </c>
      <c r="F297" t="s">
        <v>51</v>
      </c>
      <c r="G297" t="s">
        <v>52</v>
      </c>
      <c r="H297" t="s">
        <v>55</v>
      </c>
      <c r="I297">
        <v>2</v>
      </c>
      <c r="J297">
        <v>34168</v>
      </c>
      <c r="K297">
        <v>58085.599999999999</v>
      </c>
      <c r="L297" t="s">
        <v>38</v>
      </c>
      <c r="M297">
        <v>15</v>
      </c>
      <c r="N297">
        <v>12757.4</v>
      </c>
    </row>
    <row r="298" spans="1:14" ht="14.25" customHeight="1" x14ac:dyDescent="0.3">
      <c r="A298">
        <v>1297</v>
      </c>
      <c r="B298" t="s">
        <v>146</v>
      </c>
      <c r="C298" t="s">
        <v>32</v>
      </c>
      <c r="D298" t="s">
        <v>58</v>
      </c>
      <c r="E298" t="s">
        <v>54</v>
      </c>
      <c r="F298" t="s">
        <v>51</v>
      </c>
      <c r="G298" t="s">
        <v>63</v>
      </c>
      <c r="H298" t="s">
        <v>37</v>
      </c>
      <c r="I298">
        <v>1</v>
      </c>
      <c r="J298">
        <v>41535</v>
      </c>
      <c r="K298">
        <v>41535</v>
      </c>
      <c r="L298" t="s">
        <v>43</v>
      </c>
      <c r="M298">
        <v>0</v>
      </c>
      <c r="N298">
        <v>9571.76</v>
      </c>
    </row>
    <row r="299" spans="1:14" ht="14.25" customHeight="1" x14ac:dyDescent="0.3">
      <c r="A299">
        <v>1298</v>
      </c>
      <c r="B299" t="s">
        <v>147</v>
      </c>
      <c r="C299" t="s">
        <v>60</v>
      </c>
      <c r="D299" t="s">
        <v>33</v>
      </c>
      <c r="E299" t="s">
        <v>34</v>
      </c>
      <c r="F299" t="s">
        <v>35</v>
      </c>
      <c r="G299" t="s">
        <v>67</v>
      </c>
      <c r="H299" t="s">
        <v>55</v>
      </c>
      <c r="I299">
        <v>4</v>
      </c>
      <c r="J299">
        <v>14212</v>
      </c>
      <c r="K299">
        <v>51163.199999999997</v>
      </c>
      <c r="L299" t="s">
        <v>48</v>
      </c>
      <c r="M299">
        <v>10</v>
      </c>
      <c r="N299">
        <v>5295.96</v>
      </c>
    </row>
    <row r="300" spans="1:14" ht="14.25" customHeight="1" x14ac:dyDescent="0.3">
      <c r="A300">
        <v>1299</v>
      </c>
      <c r="B300" t="s">
        <v>147</v>
      </c>
      <c r="C300" t="s">
        <v>60</v>
      </c>
      <c r="D300" t="s">
        <v>33</v>
      </c>
      <c r="E300" t="s">
        <v>34</v>
      </c>
      <c r="F300" t="s">
        <v>45</v>
      </c>
      <c r="G300" t="s">
        <v>69</v>
      </c>
      <c r="H300" t="s">
        <v>55</v>
      </c>
      <c r="I300">
        <v>3</v>
      </c>
      <c r="J300">
        <v>13746</v>
      </c>
      <c r="K300">
        <v>39176.1</v>
      </c>
      <c r="L300" t="s">
        <v>48</v>
      </c>
      <c r="M300">
        <v>5</v>
      </c>
      <c r="N300">
        <v>10925.41</v>
      </c>
    </row>
    <row r="301" spans="1:14" ht="14.25" customHeight="1" x14ac:dyDescent="0.3">
      <c r="A301">
        <v>1300</v>
      </c>
      <c r="B301" t="s">
        <v>148</v>
      </c>
      <c r="C301" t="s">
        <v>32</v>
      </c>
      <c r="D301" t="s">
        <v>40</v>
      </c>
      <c r="E301" t="s">
        <v>41</v>
      </c>
      <c r="F301" t="s">
        <v>35</v>
      </c>
      <c r="G301" t="s">
        <v>67</v>
      </c>
      <c r="H301" t="s">
        <v>37</v>
      </c>
      <c r="I301">
        <v>5</v>
      </c>
      <c r="J301">
        <v>39247</v>
      </c>
      <c r="K301">
        <v>166799.75</v>
      </c>
      <c r="L301" t="s">
        <v>38</v>
      </c>
      <c r="M301">
        <v>15</v>
      </c>
      <c r="N301">
        <v>18681.97</v>
      </c>
    </row>
    <row r="302" spans="1:14" ht="14.25" customHeight="1" x14ac:dyDescent="0.3">
      <c r="A302">
        <v>1301</v>
      </c>
      <c r="B302" t="s">
        <v>148</v>
      </c>
      <c r="C302" t="s">
        <v>60</v>
      </c>
      <c r="D302" t="s">
        <v>33</v>
      </c>
      <c r="E302" t="s">
        <v>34</v>
      </c>
      <c r="F302" t="s">
        <v>45</v>
      </c>
      <c r="G302" t="s">
        <v>69</v>
      </c>
      <c r="H302" t="s">
        <v>55</v>
      </c>
      <c r="I302">
        <v>3</v>
      </c>
      <c r="J302">
        <v>6584</v>
      </c>
      <c r="K302">
        <v>16789.2</v>
      </c>
      <c r="L302" t="s">
        <v>38</v>
      </c>
      <c r="M302">
        <v>15</v>
      </c>
      <c r="N302">
        <v>2937.4</v>
      </c>
    </row>
    <row r="303" spans="1:14" ht="14.25" customHeight="1" x14ac:dyDescent="0.3">
      <c r="A303">
        <v>1302</v>
      </c>
      <c r="B303" t="s">
        <v>148</v>
      </c>
      <c r="C303" t="s">
        <v>60</v>
      </c>
      <c r="D303" t="s">
        <v>40</v>
      </c>
      <c r="E303" t="s">
        <v>41</v>
      </c>
      <c r="F303" t="s">
        <v>45</v>
      </c>
      <c r="G303" t="s">
        <v>69</v>
      </c>
      <c r="H303" t="s">
        <v>55</v>
      </c>
      <c r="I303">
        <v>2</v>
      </c>
      <c r="J303">
        <v>42420</v>
      </c>
      <c r="K303">
        <v>80598</v>
      </c>
      <c r="L303" t="s">
        <v>38</v>
      </c>
      <c r="M303">
        <v>5</v>
      </c>
      <c r="N303">
        <v>22102.53</v>
      </c>
    </row>
    <row r="304" spans="1:14" ht="14.25" customHeight="1" x14ac:dyDescent="0.3">
      <c r="A304">
        <v>1303</v>
      </c>
      <c r="B304" t="s">
        <v>149</v>
      </c>
      <c r="C304" t="s">
        <v>32</v>
      </c>
      <c r="D304" t="s">
        <v>53</v>
      </c>
      <c r="E304" t="s">
        <v>54</v>
      </c>
      <c r="F304" t="s">
        <v>45</v>
      </c>
      <c r="G304" t="s">
        <v>46</v>
      </c>
      <c r="H304" t="s">
        <v>37</v>
      </c>
      <c r="I304">
        <v>5</v>
      </c>
      <c r="J304">
        <v>21435</v>
      </c>
      <c r="K304">
        <v>91098.75</v>
      </c>
      <c r="L304" t="s">
        <v>48</v>
      </c>
      <c r="M304">
        <v>15</v>
      </c>
      <c r="N304">
        <v>16996.810000000001</v>
      </c>
    </row>
    <row r="305" spans="1:14" ht="14.25" customHeight="1" x14ac:dyDescent="0.3">
      <c r="A305">
        <v>1304</v>
      </c>
      <c r="B305" t="s">
        <v>149</v>
      </c>
      <c r="C305" t="s">
        <v>60</v>
      </c>
      <c r="D305" t="s">
        <v>66</v>
      </c>
      <c r="E305" t="s">
        <v>34</v>
      </c>
      <c r="F305" t="s">
        <v>45</v>
      </c>
      <c r="G305" t="s">
        <v>57</v>
      </c>
      <c r="H305" t="s">
        <v>42</v>
      </c>
      <c r="I305">
        <v>5</v>
      </c>
      <c r="J305">
        <v>23764</v>
      </c>
      <c r="K305">
        <v>112879</v>
      </c>
      <c r="L305" t="s">
        <v>48</v>
      </c>
      <c r="M305">
        <v>5</v>
      </c>
      <c r="N305">
        <v>12304.73</v>
      </c>
    </row>
    <row r="306" spans="1:14" ht="14.25" customHeight="1" x14ac:dyDescent="0.3">
      <c r="A306">
        <v>1305</v>
      </c>
      <c r="B306" t="s">
        <v>149</v>
      </c>
      <c r="C306" t="s">
        <v>32</v>
      </c>
      <c r="D306" t="s">
        <v>53</v>
      </c>
      <c r="E306" t="s">
        <v>54</v>
      </c>
      <c r="F306" t="s">
        <v>51</v>
      </c>
      <c r="G306" t="s">
        <v>63</v>
      </c>
      <c r="H306" t="s">
        <v>42</v>
      </c>
      <c r="I306">
        <v>1</v>
      </c>
      <c r="J306">
        <v>7929</v>
      </c>
      <c r="K306">
        <v>6739.65</v>
      </c>
      <c r="L306" t="s">
        <v>48</v>
      </c>
      <c r="M306">
        <v>15</v>
      </c>
      <c r="N306">
        <v>873.96</v>
      </c>
    </row>
    <row r="307" spans="1:14" ht="14.25" customHeight="1" x14ac:dyDescent="0.3">
      <c r="A307">
        <v>1306</v>
      </c>
      <c r="B307" t="s">
        <v>149</v>
      </c>
      <c r="C307" t="s">
        <v>32</v>
      </c>
      <c r="D307" t="s">
        <v>40</v>
      </c>
      <c r="E307" t="s">
        <v>41</v>
      </c>
      <c r="F307" t="s">
        <v>51</v>
      </c>
      <c r="G307" t="s">
        <v>52</v>
      </c>
      <c r="H307" t="s">
        <v>55</v>
      </c>
      <c r="I307">
        <v>3</v>
      </c>
      <c r="J307">
        <v>4014</v>
      </c>
      <c r="K307">
        <v>11439.9</v>
      </c>
      <c r="L307" t="s">
        <v>48</v>
      </c>
      <c r="M307">
        <v>5</v>
      </c>
      <c r="N307">
        <v>1454.39</v>
      </c>
    </row>
    <row r="308" spans="1:14" ht="14.25" customHeight="1" x14ac:dyDescent="0.3">
      <c r="A308">
        <v>1307</v>
      </c>
      <c r="B308" t="s">
        <v>149</v>
      </c>
      <c r="C308" t="s">
        <v>50</v>
      </c>
      <c r="D308" t="s">
        <v>33</v>
      </c>
      <c r="E308" t="s">
        <v>34</v>
      </c>
      <c r="F308" t="s">
        <v>45</v>
      </c>
      <c r="G308" t="s">
        <v>46</v>
      </c>
      <c r="H308" t="s">
        <v>42</v>
      </c>
      <c r="I308">
        <v>4</v>
      </c>
      <c r="J308">
        <v>19584</v>
      </c>
      <c r="K308">
        <v>66585.600000000006</v>
      </c>
      <c r="L308" t="s">
        <v>61</v>
      </c>
      <c r="M308">
        <v>15</v>
      </c>
      <c r="N308">
        <v>15200.22</v>
      </c>
    </row>
    <row r="309" spans="1:14" ht="14.25" customHeight="1" x14ac:dyDescent="0.3">
      <c r="A309">
        <v>1308</v>
      </c>
      <c r="B309" t="s">
        <v>150</v>
      </c>
      <c r="C309" t="s">
        <v>44</v>
      </c>
      <c r="D309" t="s">
        <v>66</v>
      </c>
      <c r="E309" t="s">
        <v>34</v>
      </c>
      <c r="F309" t="s">
        <v>51</v>
      </c>
      <c r="G309" t="s">
        <v>63</v>
      </c>
      <c r="H309" t="s">
        <v>55</v>
      </c>
      <c r="I309">
        <v>1</v>
      </c>
      <c r="J309">
        <v>11846</v>
      </c>
      <c r="K309">
        <v>10661.4</v>
      </c>
      <c r="L309" t="s">
        <v>43</v>
      </c>
      <c r="M309">
        <v>10</v>
      </c>
      <c r="N309">
        <v>2230.27</v>
      </c>
    </row>
    <row r="310" spans="1:14" ht="14.25" customHeight="1" x14ac:dyDescent="0.3">
      <c r="A310">
        <v>1309</v>
      </c>
      <c r="B310" t="s">
        <v>150</v>
      </c>
      <c r="C310" t="s">
        <v>32</v>
      </c>
      <c r="D310" t="s">
        <v>66</v>
      </c>
      <c r="E310" t="s">
        <v>34</v>
      </c>
      <c r="F310" t="s">
        <v>51</v>
      </c>
      <c r="G310" t="s">
        <v>63</v>
      </c>
      <c r="H310" t="s">
        <v>47</v>
      </c>
      <c r="I310">
        <v>5</v>
      </c>
      <c r="J310">
        <v>42716</v>
      </c>
      <c r="K310">
        <v>202901</v>
      </c>
      <c r="L310" t="s">
        <v>61</v>
      </c>
      <c r="M310">
        <v>5</v>
      </c>
      <c r="N310">
        <v>60374.47</v>
      </c>
    </row>
    <row r="311" spans="1:14" ht="14.25" customHeight="1" x14ac:dyDescent="0.3">
      <c r="A311">
        <v>1310</v>
      </c>
      <c r="B311" t="s">
        <v>151</v>
      </c>
      <c r="C311" t="s">
        <v>60</v>
      </c>
      <c r="D311" t="s">
        <v>58</v>
      </c>
      <c r="E311" t="s">
        <v>54</v>
      </c>
      <c r="F311" t="s">
        <v>45</v>
      </c>
      <c r="G311" t="s">
        <v>46</v>
      </c>
      <c r="H311" t="s">
        <v>42</v>
      </c>
      <c r="I311">
        <v>4</v>
      </c>
      <c r="J311">
        <v>46939</v>
      </c>
      <c r="K311">
        <v>187756</v>
      </c>
      <c r="L311" t="s">
        <v>43</v>
      </c>
      <c r="M311">
        <v>0</v>
      </c>
      <c r="N311">
        <v>35353.17</v>
      </c>
    </row>
    <row r="312" spans="1:14" ht="14.25" customHeight="1" x14ac:dyDescent="0.3">
      <c r="A312">
        <v>1311</v>
      </c>
      <c r="B312" t="s">
        <v>151</v>
      </c>
      <c r="C312" t="s">
        <v>60</v>
      </c>
      <c r="D312" t="s">
        <v>66</v>
      </c>
      <c r="E312" t="s">
        <v>34</v>
      </c>
      <c r="F312" t="s">
        <v>51</v>
      </c>
      <c r="G312" t="s">
        <v>63</v>
      </c>
      <c r="H312" t="s">
        <v>47</v>
      </c>
      <c r="I312">
        <v>2</v>
      </c>
      <c r="J312">
        <v>22473</v>
      </c>
      <c r="K312">
        <v>44946</v>
      </c>
      <c r="L312" t="s">
        <v>48</v>
      </c>
      <c r="M312">
        <v>0</v>
      </c>
      <c r="N312">
        <v>11338.55</v>
      </c>
    </row>
    <row r="313" spans="1:14" ht="14.25" customHeight="1" x14ac:dyDescent="0.3">
      <c r="A313">
        <v>1312</v>
      </c>
      <c r="B313" t="s">
        <v>151</v>
      </c>
      <c r="C313" t="s">
        <v>44</v>
      </c>
      <c r="D313" t="s">
        <v>53</v>
      </c>
      <c r="E313" t="s">
        <v>54</v>
      </c>
      <c r="F313" t="s">
        <v>45</v>
      </c>
      <c r="G313" t="s">
        <v>46</v>
      </c>
      <c r="H313" t="s">
        <v>37</v>
      </c>
      <c r="I313">
        <v>2</v>
      </c>
      <c r="J313">
        <v>18603</v>
      </c>
      <c r="K313">
        <v>31625.1</v>
      </c>
      <c r="L313" t="s">
        <v>61</v>
      </c>
      <c r="M313">
        <v>15</v>
      </c>
      <c r="N313">
        <v>5084.01</v>
      </c>
    </row>
    <row r="314" spans="1:14" ht="14.25" customHeight="1" x14ac:dyDescent="0.3">
      <c r="A314">
        <v>1313</v>
      </c>
      <c r="B314" t="s">
        <v>151</v>
      </c>
      <c r="C314" t="s">
        <v>60</v>
      </c>
      <c r="D314" t="s">
        <v>58</v>
      </c>
      <c r="E314" t="s">
        <v>54</v>
      </c>
      <c r="F314" t="s">
        <v>51</v>
      </c>
      <c r="G314" t="s">
        <v>63</v>
      </c>
      <c r="H314" t="s">
        <v>47</v>
      </c>
      <c r="I314">
        <v>4</v>
      </c>
      <c r="J314">
        <v>18924</v>
      </c>
      <c r="K314">
        <v>71911.199999999997</v>
      </c>
      <c r="L314" t="s">
        <v>38</v>
      </c>
      <c r="M314">
        <v>5</v>
      </c>
      <c r="N314">
        <v>18366.89</v>
      </c>
    </row>
    <row r="315" spans="1:14" ht="14.25" customHeight="1" x14ac:dyDescent="0.3">
      <c r="A315">
        <v>1314</v>
      </c>
      <c r="B315" t="s">
        <v>151</v>
      </c>
      <c r="C315" t="s">
        <v>60</v>
      </c>
      <c r="D315" t="s">
        <v>53</v>
      </c>
      <c r="E315" t="s">
        <v>54</v>
      </c>
      <c r="F315" t="s">
        <v>45</v>
      </c>
      <c r="G315" t="s">
        <v>69</v>
      </c>
      <c r="H315" t="s">
        <v>42</v>
      </c>
      <c r="I315">
        <v>5</v>
      </c>
      <c r="J315">
        <v>36649</v>
      </c>
      <c r="K315">
        <v>155758.25</v>
      </c>
      <c r="L315" t="s">
        <v>38</v>
      </c>
      <c r="M315">
        <v>15</v>
      </c>
      <c r="N315">
        <v>27528.66</v>
      </c>
    </row>
    <row r="316" spans="1:14" ht="14.25" customHeight="1" x14ac:dyDescent="0.3">
      <c r="A316">
        <v>1315</v>
      </c>
      <c r="B316" t="s">
        <v>152</v>
      </c>
      <c r="C316" t="s">
        <v>32</v>
      </c>
      <c r="D316" t="s">
        <v>33</v>
      </c>
      <c r="E316" t="s">
        <v>34</v>
      </c>
      <c r="F316" t="s">
        <v>51</v>
      </c>
      <c r="G316" t="s">
        <v>63</v>
      </c>
      <c r="H316" t="s">
        <v>42</v>
      </c>
      <c r="I316">
        <v>2</v>
      </c>
      <c r="J316">
        <v>31418</v>
      </c>
      <c r="K316">
        <v>53410.6</v>
      </c>
      <c r="L316" t="s">
        <v>61</v>
      </c>
      <c r="M316">
        <v>15</v>
      </c>
      <c r="N316">
        <v>12886.06</v>
      </c>
    </row>
    <row r="317" spans="1:14" ht="14.25" customHeight="1" x14ac:dyDescent="0.3">
      <c r="A317">
        <v>1316</v>
      </c>
      <c r="B317" t="s">
        <v>152</v>
      </c>
      <c r="C317" t="s">
        <v>32</v>
      </c>
      <c r="D317" t="s">
        <v>33</v>
      </c>
      <c r="E317" t="s">
        <v>34</v>
      </c>
      <c r="F317" t="s">
        <v>51</v>
      </c>
      <c r="G317" t="s">
        <v>52</v>
      </c>
      <c r="H317" t="s">
        <v>37</v>
      </c>
      <c r="I317">
        <v>1</v>
      </c>
      <c r="J317">
        <v>8287</v>
      </c>
      <c r="K317">
        <v>7458.3</v>
      </c>
      <c r="L317" t="s">
        <v>61</v>
      </c>
      <c r="M317">
        <v>10</v>
      </c>
      <c r="N317">
        <v>2108.6999999999998</v>
      </c>
    </row>
    <row r="318" spans="1:14" ht="14.25" customHeight="1" x14ac:dyDescent="0.3">
      <c r="A318">
        <v>1317</v>
      </c>
      <c r="B318" t="s">
        <v>152</v>
      </c>
      <c r="C318" t="s">
        <v>44</v>
      </c>
      <c r="D318" t="s">
        <v>33</v>
      </c>
      <c r="E318" t="s">
        <v>34</v>
      </c>
      <c r="F318" t="s">
        <v>35</v>
      </c>
      <c r="G318" t="s">
        <v>65</v>
      </c>
      <c r="H318" t="s">
        <v>37</v>
      </c>
      <c r="I318">
        <v>1</v>
      </c>
      <c r="J318">
        <v>12188</v>
      </c>
      <c r="K318">
        <v>12188</v>
      </c>
      <c r="L318" t="s">
        <v>48</v>
      </c>
      <c r="M318">
        <v>0</v>
      </c>
      <c r="N318">
        <v>2586.25</v>
      </c>
    </row>
    <row r="319" spans="1:14" ht="14.25" customHeight="1" x14ac:dyDescent="0.3">
      <c r="A319">
        <v>1318</v>
      </c>
      <c r="B319" t="s">
        <v>152</v>
      </c>
      <c r="C319" t="s">
        <v>44</v>
      </c>
      <c r="D319" t="s">
        <v>66</v>
      </c>
      <c r="E319" t="s">
        <v>34</v>
      </c>
      <c r="F319" t="s">
        <v>35</v>
      </c>
      <c r="G319" t="s">
        <v>36</v>
      </c>
      <c r="H319" t="s">
        <v>47</v>
      </c>
      <c r="I319">
        <v>4</v>
      </c>
      <c r="J319">
        <v>15168</v>
      </c>
      <c r="K319">
        <v>60672</v>
      </c>
      <c r="L319" t="s">
        <v>38</v>
      </c>
      <c r="M319">
        <v>0</v>
      </c>
      <c r="N319">
        <v>8736.7900000000009</v>
      </c>
    </row>
    <row r="320" spans="1:14" ht="14.25" customHeight="1" x14ac:dyDescent="0.3">
      <c r="A320">
        <v>1319</v>
      </c>
      <c r="B320" t="s">
        <v>153</v>
      </c>
      <c r="C320" t="s">
        <v>32</v>
      </c>
      <c r="D320" t="s">
        <v>66</v>
      </c>
      <c r="E320" t="s">
        <v>34</v>
      </c>
      <c r="F320" t="s">
        <v>51</v>
      </c>
      <c r="G320" t="s">
        <v>63</v>
      </c>
      <c r="H320" t="s">
        <v>37</v>
      </c>
      <c r="I320">
        <v>2</v>
      </c>
      <c r="J320">
        <v>24363</v>
      </c>
      <c r="K320">
        <v>41417.1</v>
      </c>
      <c r="L320" t="s">
        <v>43</v>
      </c>
      <c r="M320">
        <v>15</v>
      </c>
      <c r="N320">
        <v>7464.37</v>
      </c>
    </row>
    <row r="321" spans="1:14" ht="14.25" customHeight="1" x14ac:dyDescent="0.3">
      <c r="A321">
        <v>1320</v>
      </c>
      <c r="B321" t="s">
        <v>153</v>
      </c>
      <c r="C321" t="s">
        <v>39</v>
      </c>
      <c r="D321" t="s">
        <v>53</v>
      </c>
      <c r="E321" t="s">
        <v>54</v>
      </c>
      <c r="F321" t="s">
        <v>35</v>
      </c>
      <c r="G321" t="s">
        <v>36</v>
      </c>
      <c r="H321" t="s">
        <v>42</v>
      </c>
      <c r="I321">
        <v>4</v>
      </c>
      <c r="J321">
        <v>31500</v>
      </c>
      <c r="K321">
        <v>107100</v>
      </c>
      <c r="L321" t="s">
        <v>38</v>
      </c>
      <c r="M321">
        <v>15</v>
      </c>
      <c r="N321">
        <v>22750.82</v>
      </c>
    </row>
    <row r="322" spans="1:14" ht="14.25" customHeight="1" x14ac:dyDescent="0.3">
      <c r="A322">
        <v>1321</v>
      </c>
      <c r="B322" t="s">
        <v>154</v>
      </c>
      <c r="C322" t="s">
        <v>32</v>
      </c>
      <c r="D322" t="s">
        <v>33</v>
      </c>
      <c r="E322" t="s">
        <v>34</v>
      </c>
      <c r="F322" t="s">
        <v>35</v>
      </c>
      <c r="G322" t="s">
        <v>67</v>
      </c>
      <c r="H322" t="s">
        <v>42</v>
      </c>
      <c r="I322">
        <v>1</v>
      </c>
      <c r="J322">
        <v>36934</v>
      </c>
      <c r="K322">
        <v>36934</v>
      </c>
      <c r="L322" t="s">
        <v>38</v>
      </c>
      <c r="M322">
        <v>0</v>
      </c>
      <c r="N322">
        <v>3990.42</v>
      </c>
    </row>
    <row r="323" spans="1:14" ht="14.25" customHeight="1" x14ac:dyDescent="0.3">
      <c r="A323">
        <v>1322</v>
      </c>
      <c r="B323" t="s">
        <v>154</v>
      </c>
      <c r="C323" t="s">
        <v>44</v>
      </c>
      <c r="D323" t="s">
        <v>66</v>
      </c>
      <c r="E323" t="s">
        <v>34</v>
      </c>
      <c r="F323" t="s">
        <v>45</v>
      </c>
      <c r="G323" t="s">
        <v>46</v>
      </c>
      <c r="H323" t="s">
        <v>55</v>
      </c>
      <c r="I323">
        <v>5</v>
      </c>
      <c r="J323">
        <v>39114</v>
      </c>
      <c r="K323">
        <v>185791.5</v>
      </c>
      <c r="L323" t="s">
        <v>43</v>
      </c>
      <c r="M323">
        <v>5</v>
      </c>
      <c r="N323">
        <v>25829.79</v>
      </c>
    </row>
    <row r="324" spans="1:14" ht="14.25" customHeight="1" x14ac:dyDescent="0.3">
      <c r="A324">
        <v>1323</v>
      </c>
      <c r="B324" t="s">
        <v>154</v>
      </c>
      <c r="C324" t="s">
        <v>44</v>
      </c>
      <c r="D324" t="s">
        <v>66</v>
      </c>
      <c r="E324" t="s">
        <v>34</v>
      </c>
      <c r="F324" t="s">
        <v>45</v>
      </c>
      <c r="G324" t="s">
        <v>57</v>
      </c>
      <c r="H324" t="s">
        <v>37</v>
      </c>
      <c r="I324">
        <v>3</v>
      </c>
      <c r="J324">
        <v>44459</v>
      </c>
      <c r="K324">
        <v>126708.15</v>
      </c>
      <c r="L324" t="s">
        <v>38</v>
      </c>
      <c r="M324">
        <v>5</v>
      </c>
      <c r="N324">
        <v>15411.69</v>
      </c>
    </row>
    <row r="325" spans="1:14" ht="14.25" customHeight="1" x14ac:dyDescent="0.3">
      <c r="A325">
        <v>1324</v>
      </c>
      <c r="B325" t="s">
        <v>155</v>
      </c>
      <c r="C325" t="s">
        <v>60</v>
      </c>
      <c r="D325" t="s">
        <v>40</v>
      </c>
      <c r="E325" t="s">
        <v>41</v>
      </c>
      <c r="F325" t="s">
        <v>35</v>
      </c>
      <c r="G325" t="s">
        <v>67</v>
      </c>
      <c r="H325" t="s">
        <v>47</v>
      </c>
      <c r="I325">
        <v>5</v>
      </c>
      <c r="J325">
        <v>21218</v>
      </c>
      <c r="K325">
        <v>100785.5</v>
      </c>
      <c r="L325" t="s">
        <v>38</v>
      </c>
      <c r="M325">
        <v>5</v>
      </c>
      <c r="N325">
        <v>27351.06</v>
      </c>
    </row>
    <row r="326" spans="1:14" ht="14.25" customHeight="1" x14ac:dyDescent="0.3">
      <c r="A326">
        <v>1325</v>
      </c>
      <c r="B326" t="s">
        <v>155</v>
      </c>
      <c r="C326" t="s">
        <v>44</v>
      </c>
      <c r="D326" t="s">
        <v>66</v>
      </c>
      <c r="E326" t="s">
        <v>34</v>
      </c>
      <c r="F326" t="s">
        <v>35</v>
      </c>
      <c r="G326" t="s">
        <v>67</v>
      </c>
      <c r="H326" t="s">
        <v>42</v>
      </c>
      <c r="I326">
        <v>4</v>
      </c>
      <c r="J326">
        <v>16965</v>
      </c>
      <c r="K326">
        <v>64467</v>
      </c>
      <c r="L326" t="s">
        <v>61</v>
      </c>
      <c r="M326">
        <v>5</v>
      </c>
      <c r="N326">
        <v>12562.96</v>
      </c>
    </row>
    <row r="327" spans="1:14" ht="14.25" customHeight="1" x14ac:dyDescent="0.3">
      <c r="A327">
        <v>1326</v>
      </c>
      <c r="B327" t="s">
        <v>156</v>
      </c>
      <c r="C327" t="s">
        <v>39</v>
      </c>
      <c r="D327" t="s">
        <v>58</v>
      </c>
      <c r="E327" t="s">
        <v>54</v>
      </c>
      <c r="F327" t="s">
        <v>35</v>
      </c>
      <c r="G327" t="s">
        <v>65</v>
      </c>
      <c r="H327" t="s">
        <v>47</v>
      </c>
      <c r="I327">
        <v>5</v>
      </c>
      <c r="J327">
        <v>3809</v>
      </c>
      <c r="K327">
        <v>16188.25</v>
      </c>
      <c r="L327" t="s">
        <v>48</v>
      </c>
      <c r="M327">
        <v>15</v>
      </c>
      <c r="N327">
        <v>3577.76</v>
      </c>
    </row>
    <row r="328" spans="1:14" ht="14.25" customHeight="1" x14ac:dyDescent="0.3">
      <c r="A328">
        <v>1327</v>
      </c>
      <c r="B328" t="s">
        <v>156</v>
      </c>
      <c r="C328" t="s">
        <v>44</v>
      </c>
      <c r="D328" t="s">
        <v>58</v>
      </c>
      <c r="E328" t="s">
        <v>54</v>
      </c>
      <c r="F328" t="s">
        <v>45</v>
      </c>
      <c r="G328" t="s">
        <v>57</v>
      </c>
      <c r="H328" t="s">
        <v>37</v>
      </c>
      <c r="I328">
        <v>1</v>
      </c>
      <c r="J328">
        <v>43783</v>
      </c>
      <c r="K328">
        <v>41593.85</v>
      </c>
      <c r="L328" t="s">
        <v>48</v>
      </c>
      <c r="M328">
        <v>5</v>
      </c>
      <c r="N328">
        <v>8843.9699999999993</v>
      </c>
    </row>
    <row r="329" spans="1:14" ht="14.25" customHeight="1" x14ac:dyDescent="0.3">
      <c r="A329">
        <v>1328</v>
      </c>
      <c r="B329" t="s">
        <v>157</v>
      </c>
      <c r="C329" t="s">
        <v>39</v>
      </c>
      <c r="D329" t="s">
        <v>58</v>
      </c>
      <c r="E329" t="s">
        <v>54</v>
      </c>
      <c r="F329" t="s">
        <v>45</v>
      </c>
      <c r="G329" t="s">
        <v>46</v>
      </c>
      <c r="H329" t="s">
        <v>47</v>
      </c>
      <c r="I329">
        <v>4</v>
      </c>
      <c r="J329">
        <v>9773</v>
      </c>
      <c r="K329">
        <v>33228.199999999997</v>
      </c>
      <c r="L329" t="s">
        <v>38</v>
      </c>
      <c r="M329">
        <v>15</v>
      </c>
      <c r="N329">
        <v>7378.39</v>
      </c>
    </row>
    <row r="330" spans="1:14" ht="14.25" customHeight="1" x14ac:dyDescent="0.3">
      <c r="A330">
        <v>1329</v>
      </c>
      <c r="B330" t="s">
        <v>157</v>
      </c>
      <c r="C330" t="s">
        <v>39</v>
      </c>
      <c r="D330" t="s">
        <v>53</v>
      </c>
      <c r="E330" t="s">
        <v>54</v>
      </c>
      <c r="F330" t="s">
        <v>51</v>
      </c>
      <c r="G330" t="s">
        <v>52</v>
      </c>
      <c r="H330" t="s">
        <v>47</v>
      </c>
      <c r="I330">
        <v>5</v>
      </c>
      <c r="J330">
        <v>44376</v>
      </c>
      <c r="K330">
        <v>188598</v>
      </c>
      <c r="L330" t="s">
        <v>61</v>
      </c>
      <c r="M330">
        <v>15</v>
      </c>
      <c r="N330">
        <v>28080.16</v>
      </c>
    </row>
    <row r="331" spans="1:14" ht="14.25" customHeight="1" x14ac:dyDescent="0.3">
      <c r="A331">
        <v>1330</v>
      </c>
      <c r="B331" t="s">
        <v>157</v>
      </c>
      <c r="C331" t="s">
        <v>60</v>
      </c>
      <c r="D331" t="s">
        <v>33</v>
      </c>
      <c r="E331" t="s">
        <v>34</v>
      </c>
      <c r="F331" t="s">
        <v>51</v>
      </c>
      <c r="G331" t="s">
        <v>52</v>
      </c>
      <c r="H331" t="s">
        <v>47</v>
      </c>
      <c r="I331">
        <v>2</v>
      </c>
      <c r="J331">
        <v>48256</v>
      </c>
      <c r="K331">
        <v>96512</v>
      </c>
      <c r="L331" t="s">
        <v>61</v>
      </c>
      <c r="M331">
        <v>0</v>
      </c>
      <c r="N331">
        <v>10712.8</v>
      </c>
    </row>
    <row r="332" spans="1:14" ht="14.25" customHeight="1" x14ac:dyDescent="0.3">
      <c r="A332">
        <v>1331</v>
      </c>
      <c r="B332" t="s">
        <v>157</v>
      </c>
      <c r="C332" t="s">
        <v>39</v>
      </c>
      <c r="D332" t="s">
        <v>58</v>
      </c>
      <c r="E332" t="s">
        <v>54</v>
      </c>
      <c r="F332" t="s">
        <v>35</v>
      </c>
      <c r="G332" t="s">
        <v>65</v>
      </c>
      <c r="H332" t="s">
        <v>47</v>
      </c>
      <c r="I332">
        <v>4</v>
      </c>
      <c r="J332">
        <v>3669</v>
      </c>
      <c r="K332">
        <v>13942.2</v>
      </c>
      <c r="L332" t="s">
        <v>48</v>
      </c>
      <c r="M332">
        <v>5</v>
      </c>
      <c r="N332">
        <v>3945.72</v>
      </c>
    </row>
    <row r="333" spans="1:14" ht="14.25" customHeight="1" x14ac:dyDescent="0.3">
      <c r="A333">
        <v>1332</v>
      </c>
      <c r="B333" t="s">
        <v>158</v>
      </c>
      <c r="C333" t="s">
        <v>60</v>
      </c>
      <c r="D333" t="s">
        <v>58</v>
      </c>
      <c r="E333" t="s">
        <v>54</v>
      </c>
      <c r="F333" t="s">
        <v>45</v>
      </c>
      <c r="G333" t="s">
        <v>46</v>
      </c>
      <c r="H333" t="s">
        <v>47</v>
      </c>
      <c r="I333">
        <v>5</v>
      </c>
      <c r="J333">
        <v>24592</v>
      </c>
      <c r="K333">
        <v>122960</v>
      </c>
      <c r="L333" t="s">
        <v>38</v>
      </c>
      <c r="M333">
        <v>0</v>
      </c>
      <c r="N333">
        <v>16285.95</v>
      </c>
    </row>
    <row r="334" spans="1:14" ht="14.25" customHeight="1" x14ac:dyDescent="0.3">
      <c r="A334">
        <v>1333</v>
      </c>
      <c r="B334" t="s">
        <v>158</v>
      </c>
      <c r="C334" t="s">
        <v>39</v>
      </c>
      <c r="D334" t="s">
        <v>40</v>
      </c>
      <c r="E334" t="s">
        <v>41</v>
      </c>
      <c r="F334" t="s">
        <v>51</v>
      </c>
      <c r="G334" t="s">
        <v>52</v>
      </c>
      <c r="H334" t="s">
        <v>37</v>
      </c>
      <c r="I334">
        <v>1</v>
      </c>
      <c r="J334">
        <v>6814</v>
      </c>
      <c r="K334">
        <v>6132.6</v>
      </c>
      <c r="L334" t="s">
        <v>48</v>
      </c>
      <c r="M334">
        <v>10</v>
      </c>
      <c r="N334">
        <v>616.13</v>
      </c>
    </row>
    <row r="335" spans="1:14" ht="14.25" customHeight="1" x14ac:dyDescent="0.3">
      <c r="A335">
        <v>1334</v>
      </c>
      <c r="B335" t="s">
        <v>158</v>
      </c>
      <c r="C335" t="s">
        <v>44</v>
      </c>
      <c r="D335" t="s">
        <v>40</v>
      </c>
      <c r="E335" t="s">
        <v>41</v>
      </c>
      <c r="F335" t="s">
        <v>51</v>
      </c>
      <c r="G335" t="s">
        <v>63</v>
      </c>
      <c r="H335" t="s">
        <v>37</v>
      </c>
      <c r="I335">
        <v>4</v>
      </c>
      <c r="J335">
        <v>25493</v>
      </c>
      <c r="K335">
        <v>96873.4</v>
      </c>
      <c r="L335" t="s">
        <v>61</v>
      </c>
      <c r="M335">
        <v>5</v>
      </c>
      <c r="N335">
        <v>15066.78</v>
      </c>
    </row>
    <row r="336" spans="1:14" ht="14.25" customHeight="1" x14ac:dyDescent="0.3">
      <c r="A336">
        <v>1335</v>
      </c>
      <c r="B336" t="s">
        <v>159</v>
      </c>
      <c r="C336" t="s">
        <v>39</v>
      </c>
      <c r="D336" t="s">
        <v>53</v>
      </c>
      <c r="E336" t="s">
        <v>54</v>
      </c>
      <c r="F336" t="s">
        <v>45</v>
      </c>
      <c r="G336" t="s">
        <v>57</v>
      </c>
      <c r="H336" t="s">
        <v>42</v>
      </c>
      <c r="I336">
        <v>4</v>
      </c>
      <c r="J336">
        <v>48855</v>
      </c>
      <c r="K336">
        <v>185649</v>
      </c>
      <c r="L336" t="s">
        <v>43</v>
      </c>
      <c r="M336">
        <v>5</v>
      </c>
      <c r="N336">
        <v>27958.99</v>
      </c>
    </row>
    <row r="337" spans="1:14" ht="14.25" customHeight="1" x14ac:dyDescent="0.3">
      <c r="A337">
        <v>1336</v>
      </c>
      <c r="B337" t="s">
        <v>159</v>
      </c>
      <c r="C337" t="s">
        <v>60</v>
      </c>
      <c r="D337" t="s">
        <v>58</v>
      </c>
      <c r="E337" t="s">
        <v>54</v>
      </c>
      <c r="F337" t="s">
        <v>51</v>
      </c>
      <c r="G337" t="s">
        <v>62</v>
      </c>
      <c r="H337" t="s">
        <v>42</v>
      </c>
      <c r="I337">
        <v>4</v>
      </c>
      <c r="J337">
        <v>15501</v>
      </c>
      <c r="K337">
        <v>52703.4</v>
      </c>
      <c r="L337" t="s">
        <v>48</v>
      </c>
      <c r="M337">
        <v>15</v>
      </c>
      <c r="N337">
        <v>5878.36</v>
      </c>
    </row>
    <row r="338" spans="1:14" ht="14.25" customHeight="1" x14ac:dyDescent="0.3">
      <c r="A338">
        <v>1337</v>
      </c>
      <c r="B338" t="s">
        <v>159</v>
      </c>
      <c r="C338" t="s">
        <v>32</v>
      </c>
      <c r="D338" t="s">
        <v>66</v>
      </c>
      <c r="E338" t="s">
        <v>34</v>
      </c>
      <c r="F338" t="s">
        <v>35</v>
      </c>
      <c r="G338" t="s">
        <v>36</v>
      </c>
      <c r="H338" t="s">
        <v>55</v>
      </c>
      <c r="I338">
        <v>1</v>
      </c>
      <c r="J338">
        <v>22976</v>
      </c>
      <c r="K338">
        <v>22976</v>
      </c>
      <c r="L338" t="s">
        <v>38</v>
      </c>
      <c r="M338">
        <v>0</v>
      </c>
      <c r="N338">
        <v>4460.6499999999996</v>
      </c>
    </row>
    <row r="339" spans="1:14" ht="14.25" customHeight="1" x14ac:dyDescent="0.3">
      <c r="A339">
        <v>1338</v>
      </c>
      <c r="B339" t="s">
        <v>159</v>
      </c>
      <c r="C339" t="s">
        <v>44</v>
      </c>
      <c r="D339" t="s">
        <v>66</v>
      </c>
      <c r="E339" t="s">
        <v>34</v>
      </c>
      <c r="F339" t="s">
        <v>35</v>
      </c>
      <c r="G339" t="s">
        <v>36</v>
      </c>
      <c r="H339" t="s">
        <v>42</v>
      </c>
      <c r="I339">
        <v>5</v>
      </c>
      <c r="J339">
        <v>45215</v>
      </c>
      <c r="K339">
        <v>214771.25</v>
      </c>
      <c r="L339" t="s">
        <v>38</v>
      </c>
      <c r="M339">
        <v>5</v>
      </c>
      <c r="N339">
        <v>32626.01</v>
      </c>
    </row>
    <row r="340" spans="1:14" ht="14.25" customHeight="1" x14ac:dyDescent="0.3">
      <c r="A340">
        <v>1339</v>
      </c>
      <c r="B340" t="s">
        <v>160</v>
      </c>
      <c r="C340" t="s">
        <v>60</v>
      </c>
      <c r="D340" t="s">
        <v>53</v>
      </c>
      <c r="E340" t="s">
        <v>54</v>
      </c>
      <c r="F340" t="s">
        <v>45</v>
      </c>
      <c r="G340" t="s">
        <v>46</v>
      </c>
      <c r="H340" t="s">
        <v>42</v>
      </c>
      <c r="I340">
        <v>2</v>
      </c>
      <c r="J340">
        <v>44983</v>
      </c>
      <c r="K340">
        <v>76471.100000000006</v>
      </c>
      <c r="L340" t="s">
        <v>48</v>
      </c>
      <c r="M340">
        <v>15</v>
      </c>
      <c r="N340">
        <v>15597.52</v>
      </c>
    </row>
    <row r="341" spans="1:14" ht="14.25" customHeight="1" x14ac:dyDescent="0.3">
      <c r="A341">
        <v>1340</v>
      </c>
      <c r="B341" t="s">
        <v>160</v>
      </c>
      <c r="C341" t="s">
        <v>44</v>
      </c>
      <c r="D341" t="s">
        <v>33</v>
      </c>
      <c r="E341" t="s">
        <v>34</v>
      </c>
      <c r="F341" t="s">
        <v>45</v>
      </c>
      <c r="G341" t="s">
        <v>57</v>
      </c>
      <c r="H341" t="s">
        <v>42</v>
      </c>
      <c r="I341">
        <v>1</v>
      </c>
      <c r="J341">
        <v>1533</v>
      </c>
      <c r="K341">
        <v>1456.35</v>
      </c>
      <c r="L341" t="s">
        <v>48</v>
      </c>
      <c r="M341">
        <v>5</v>
      </c>
      <c r="N341">
        <v>397.1</v>
      </c>
    </row>
    <row r="342" spans="1:14" ht="14.25" customHeight="1" x14ac:dyDescent="0.3">
      <c r="A342">
        <v>1341</v>
      </c>
      <c r="B342" t="s">
        <v>160</v>
      </c>
      <c r="C342" t="s">
        <v>50</v>
      </c>
      <c r="D342" t="s">
        <v>40</v>
      </c>
      <c r="E342" t="s">
        <v>41</v>
      </c>
      <c r="F342" t="s">
        <v>35</v>
      </c>
      <c r="G342" t="s">
        <v>36</v>
      </c>
      <c r="H342" t="s">
        <v>42</v>
      </c>
      <c r="I342">
        <v>1</v>
      </c>
      <c r="J342">
        <v>43190</v>
      </c>
      <c r="K342">
        <v>38871</v>
      </c>
      <c r="L342" t="s">
        <v>43</v>
      </c>
      <c r="M342">
        <v>10</v>
      </c>
      <c r="N342">
        <v>8947.82</v>
      </c>
    </row>
    <row r="343" spans="1:14" ht="14.25" customHeight="1" x14ac:dyDescent="0.3">
      <c r="A343">
        <v>1342</v>
      </c>
      <c r="B343" t="s">
        <v>160</v>
      </c>
      <c r="C343" t="s">
        <v>50</v>
      </c>
      <c r="D343" t="s">
        <v>33</v>
      </c>
      <c r="E343" t="s">
        <v>34</v>
      </c>
      <c r="F343" t="s">
        <v>51</v>
      </c>
      <c r="G343" t="s">
        <v>62</v>
      </c>
      <c r="H343" t="s">
        <v>37</v>
      </c>
      <c r="I343">
        <v>4</v>
      </c>
      <c r="J343">
        <v>37873</v>
      </c>
      <c r="K343">
        <v>143917.4</v>
      </c>
      <c r="L343" t="s">
        <v>38</v>
      </c>
      <c r="M343">
        <v>5</v>
      </c>
      <c r="N343">
        <v>24423.72</v>
      </c>
    </row>
    <row r="344" spans="1:14" ht="14.25" customHeight="1" x14ac:dyDescent="0.3">
      <c r="A344">
        <v>1343</v>
      </c>
      <c r="B344" t="s">
        <v>160</v>
      </c>
      <c r="C344" t="s">
        <v>44</v>
      </c>
      <c r="D344" t="s">
        <v>53</v>
      </c>
      <c r="E344" t="s">
        <v>54</v>
      </c>
      <c r="F344" t="s">
        <v>45</v>
      </c>
      <c r="G344" t="s">
        <v>69</v>
      </c>
      <c r="H344" t="s">
        <v>42</v>
      </c>
      <c r="I344">
        <v>3</v>
      </c>
      <c r="J344">
        <v>33140</v>
      </c>
      <c r="K344">
        <v>89478</v>
      </c>
      <c r="L344" t="s">
        <v>61</v>
      </c>
      <c r="M344">
        <v>10</v>
      </c>
      <c r="N344">
        <v>25018.21</v>
      </c>
    </row>
    <row r="345" spans="1:14" ht="14.25" customHeight="1" x14ac:dyDescent="0.3">
      <c r="A345">
        <v>1344</v>
      </c>
      <c r="B345" t="s">
        <v>161</v>
      </c>
      <c r="C345" t="s">
        <v>44</v>
      </c>
      <c r="D345" t="s">
        <v>66</v>
      </c>
      <c r="E345" t="s">
        <v>34</v>
      </c>
      <c r="F345" t="s">
        <v>35</v>
      </c>
      <c r="G345" t="s">
        <v>67</v>
      </c>
      <c r="H345" t="s">
        <v>47</v>
      </c>
      <c r="I345">
        <v>4</v>
      </c>
      <c r="J345">
        <v>9612</v>
      </c>
      <c r="K345">
        <v>38448</v>
      </c>
      <c r="L345" t="s">
        <v>48</v>
      </c>
      <c r="M345">
        <v>0</v>
      </c>
      <c r="N345">
        <v>5454.6</v>
      </c>
    </row>
    <row r="346" spans="1:14" ht="14.25" customHeight="1" x14ac:dyDescent="0.3">
      <c r="A346">
        <v>1345</v>
      </c>
      <c r="B346" t="s">
        <v>161</v>
      </c>
      <c r="C346" t="s">
        <v>32</v>
      </c>
      <c r="D346" t="s">
        <v>58</v>
      </c>
      <c r="E346" t="s">
        <v>54</v>
      </c>
      <c r="F346" t="s">
        <v>35</v>
      </c>
      <c r="G346" t="s">
        <v>65</v>
      </c>
      <c r="H346" t="s">
        <v>37</v>
      </c>
      <c r="I346">
        <v>4</v>
      </c>
      <c r="J346">
        <v>37766</v>
      </c>
      <c r="K346">
        <v>128404.4</v>
      </c>
      <c r="L346" t="s">
        <v>61</v>
      </c>
      <c r="M346">
        <v>15</v>
      </c>
      <c r="N346">
        <v>24396.73</v>
      </c>
    </row>
    <row r="347" spans="1:14" ht="14.25" customHeight="1" x14ac:dyDescent="0.3">
      <c r="A347">
        <v>1346</v>
      </c>
      <c r="B347" t="s">
        <v>161</v>
      </c>
      <c r="C347" t="s">
        <v>39</v>
      </c>
      <c r="D347" t="s">
        <v>53</v>
      </c>
      <c r="E347" t="s">
        <v>54</v>
      </c>
      <c r="F347" t="s">
        <v>45</v>
      </c>
      <c r="G347" t="s">
        <v>69</v>
      </c>
      <c r="H347" t="s">
        <v>42</v>
      </c>
      <c r="I347">
        <v>2</v>
      </c>
      <c r="J347">
        <v>14494</v>
      </c>
      <c r="K347">
        <v>28988</v>
      </c>
      <c r="L347" t="s">
        <v>48</v>
      </c>
      <c r="M347">
        <v>0</v>
      </c>
      <c r="N347">
        <v>5411.44</v>
      </c>
    </row>
    <row r="348" spans="1:14" ht="14.25" customHeight="1" x14ac:dyDescent="0.3">
      <c r="A348">
        <v>1347</v>
      </c>
      <c r="B348" t="s">
        <v>162</v>
      </c>
      <c r="C348" t="s">
        <v>50</v>
      </c>
      <c r="D348" t="s">
        <v>58</v>
      </c>
      <c r="E348" t="s">
        <v>54</v>
      </c>
      <c r="F348" t="s">
        <v>35</v>
      </c>
      <c r="G348" t="s">
        <v>67</v>
      </c>
      <c r="H348" t="s">
        <v>42</v>
      </c>
      <c r="I348">
        <v>5</v>
      </c>
      <c r="J348">
        <v>13131</v>
      </c>
      <c r="K348">
        <v>55806.75</v>
      </c>
      <c r="L348" t="s">
        <v>61</v>
      </c>
      <c r="M348">
        <v>15</v>
      </c>
      <c r="N348">
        <v>6369.37</v>
      </c>
    </row>
    <row r="349" spans="1:14" ht="14.25" customHeight="1" x14ac:dyDescent="0.3">
      <c r="A349">
        <v>1348</v>
      </c>
      <c r="B349" t="s">
        <v>162</v>
      </c>
      <c r="C349" t="s">
        <v>44</v>
      </c>
      <c r="D349" t="s">
        <v>53</v>
      </c>
      <c r="E349" t="s">
        <v>54</v>
      </c>
      <c r="F349" t="s">
        <v>35</v>
      </c>
      <c r="G349" t="s">
        <v>36</v>
      </c>
      <c r="H349" t="s">
        <v>55</v>
      </c>
      <c r="I349">
        <v>3</v>
      </c>
      <c r="J349">
        <v>42501</v>
      </c>
      <c r="K349">
        <v>127503</v>
      </c>
      <c r="L349" t="s">
        <v>43</v>
      </c>
      <c r="M349">
        <v>0</v>
      </c>
      <c r="N349">
        <v>36616.559999999998</v>
      </c>
    </row>
    <row r="350" spans="1:14" ht="14.25" customHeight="1" x14ac:dyDescent="0.3">
      <c r="A350">
        <v>1349</v>
      </c>
      <c r="B350" t="s">
        <v>162</v>
      </c>
      <c r="C350" t="s">
        <v>32</v>
      </c>
      <c r="D350" t="s">
        <v>33</v>
      </c>
      <c r="E350" t="s">
        <v>34</v>
      </c>
      <c r="F350" t="s">
        <v>51</v>
      </c>
      <c r="G350" t="s">
        <v>63</v>
      </c>
      <c r="H350" t="s">
        <v>37</v>
      </c>
      <c r="I350">
        <v>3</v>
      </c>
      <c r="J350">
        <v>630</v>
      </c>
      <c r="K350">
        <v>1606.5</v>
      </c>
      <c r="L350" t="s">
        <v>38</v>
      </c>
      <c r="M350">
        <v>15</v>
      </c>
      <c r="N350">
        <v>259.07</v>
      </c>
    </row>
    <row r="351" spans="1:14" ht="14.25" customHeight="1" x14ac:dyDescent="0.3">
      <c r="A351">
        <v>1350</v>
      </c>
      <c r="B351" t="s">
        <v>162</v>
      </c>
      <c r="C351" t="s">
        <v>50</v>
      </c>
      <c r="D351" t="s">
        <v>66</v>
      </c>
      <c r="E351" t="s">
        <v>34</v>
      </c>
      <c r="F351" t="s">
        <v>51</v>
      </c>
      <c r="G351" t="s">
        <v>62</v>
      </c>
      <c r="H351" t="s">
        <v>37</v>
      </c>
      <c r="I351">
        <v>2</v>
      </c>
      <c r="J351">
        <v>49812</v>
      </c>
      <c r="K351">
        <v>94642.8</v>
      </c>
      <c r="L351" t="s">
        <v>48</v>
      </c>
      <c r="M351">
        <v>5</v>
      </c>
      <c r="N351">
        <v>20965.97</v>
      </c>
    </row>
    <row r="352" spans="1:14" ht="14.25" customHeight="1" x14ac:dyDescent="0.3">
      <c r="A352">
        <v>1351</v>
      </c>
      <c r="B352" t="s">
        <v>163</v>
      </c>
      <c r="C352" t="s">
        <v>39</v>
      </c>
      <c r="D352" t="s">
        <v>53</v>
      </c>
      <c r="E352" t="s">
        <v>54</v>
      </c>
      <c r="F352" t="s">
        <v>35</v>
      </c>
      <c r="G352" t="s">
        <v>36</v>
      </c>
      <c r="H352" t="s">
        <v>42</v>
      </c>
      <c r="I352">
        <v>3</v>
      </c>
      <c r="J352">
        <v>43355</v>
      </c>
      <c r="K352">
        <v>123561.75</v>
      </c>
      <c r="L352" t="s">
        <v>43</v>
      </c>
      <c r="M352">
        <v>5</v>
      </c>
      <c r="N352">
        <v>34698.1</v>
      </c>
    </row>
    <row r="353" spans="1:14" ht="14.25" customHeight="1" x14ac:dyDescent="0.3">
      <c r="A353">
        <v>1352</v>
      </c>
      <c r="B353" t="s">
        <v>163</v>
      </c>
      <c r="C353" t="s">
        <v>32</v>
      </c>
      <c r="D353" t="s">
        <v>40</v>
      </c>
      <c r="E353" t="s">
        <v>41</v>
      </c>
      <c r="F353" t="s">
        <v>35</v>
      </c>
      <c r="G353" t="s">
        <v>65</v>
      </c>
      <c r="H353" t="s">
        <v>55</v>
      </c>
      <c r="I353">
        <v>3</v>
      </c>
      <c r="J353">
        <v>44701</v>
      </c>
      <c r="K353">
        <v>127397.85</v>
      </c>
      <c r="L353" t="s">
        <v>43</v>
      </c>
      <c r="M353">
        <v>5</v>
      </c>
      <c r="N353">
        <v>12885.33</v>
      </c>
    </row>
    <row r="354" spans="1:14" ht="14.25" customHeight="1" x14ac:dyDescent="0.3">
      <c r="A354">
        <v>1353</v>
      </c>
      <c r="B354" t="s">
        <v>163</v>
      </c>
      <c r="C354" t="s">
        <v>39</v>
      </c>
      <c r="D354" t="s">
        <v>53</v>
      </c>
      <c r="E354" t="s">
        <v>54</v>
      </c>
      <c r="F354" t="s">
        <v>51</v>
      </c>
      <c r="G354" t="s">
        <v>63</v>
      </c>
      <c r="H354" t="s">
        <v>42</v>
      </c>
      <c r="I354">
        <v>5</v>
      </c>
      <c r="J354">
        <v>19793</v>
      </c>
      <c r="K354">
        <v>98965</v>
      </c>
      <c r="L354" t="s">
        <v>48</v>
      </c>
      <c r="M354">
        <v>0</v>
      </c>
      <c r="N354">
        <v>22080.65</v>
      </c>
    </row>
    <row r="355" spans="1:14" ht="14.25" customHeight="1" x14ac:dyDescent="0.3">
      <c r="A355">
        <v>1354</v>
      </c>
      <c r="B355" t="s">
        <v>163</v>
      </c>
      <c r="C355" t="s">
        <v>50</v>
      </c>
      <c r="D355" t="s">
        <v>53</v>
      </c>
      <c r="E355" t="s">
        <v>54</v>
      </c>
      <c r="F355" t="s">
        <v>45</v>
      </c>
      <c r="G355" t="s">
        <v>57</v>
      </c>
      <c r="H355" t="s">
        <v>42</v>
      </c>
      <c r="I355">
        <v>5</v>
      </c>
      <c r="J355">
        <v>17037</v>
      </c>
      <c r="K355">
        <v>85185</v>
      </c>
      <c r="L355" t="s">
        <v>48</v>
      </c>
      <c r="M355">
        <v>0</v>
      </c>
      <c r="N355">
        <v>10519.04</v>
      </c>
    </row>
    <row r="356" spans="1:14" ht="14.25" customHeight="1" x14ac:dyDescent="0.3">
      <c r="A356">
        <v>1355</v>
      </c>
      <c r="B356" t="s">
        <v>164</v>
      </c>
      <c r="C356" t="s">
        <v>39</v>
      </c>
      <c r="D356" t="s">
        <v>33</v>
      </c>
      <c r="E356" t="s">
        <v>34</v>
      </c>
      <c r="F356" t="s">
        <v>51</v>
      </c>
      <c r="G356" t="s">
        <v>52</v>
      </c>
      <c r="H356" t="s">
        <v>37</v>
      </c>
      <c r="I356">
        <v>2</v>
      </c>
      <c r="J356">
        <v>29622</v>
      </c>
      <c r="K356">
        <v>53319.6</v>
      </c>
      <c r="L356" t="s">
        <v>48</v>
      </c>
      <c r="M356">
        <v>10</v>
      </c>
      <c r="N356">
        <v>15120.2</v>
      </c>
    </row>
    <row r="357" spans="1:14" ht="14.25" customHeight="1" x14ac:dyDescent="0.3">
      <c r="A357">
        <v>1356</v>
      </c>
      <c r="B357" t="s">
        <v>164</v>
      </c>
      <c r="C357" t="s">
        <v>44</v>
      </c>
      <c r="D357" t="s">
        <v>40</v>
      </c>
      <c r="E357" t="s">
        <v>41</v>
      </c>
      <c r="F357" t="s">
        <v>45</v>
      </c>
      <c r="G357" t="s">
        <v>46</v>
      </c>
      <c r="H357" t="s">
        <v>47</v>
      </c>
      <c r="I357">
        <v>3</v>
      </c>
      <c r="J357">
        <v>19826</v>
      </c>
      <c r="K357">
        <v>53530.2</v>
      </c>
      <c r="L357" t="s">
        <v>61</v>
      </c>
      <c r="M357">
        <v>10</v>
      </c>
      <c r="N357">
        <v>9447.23</v>
      </c>
    </row>
    <row r="358" spans="1:14" ht="14.25" customHeight="1" x14ac:dyDescent="0.3">
      <c r="A358">
        <v>1357</v>
      </c>
      <c r="B358" t="s">
        <v>164</v>
      </c>
      <c r="C358" t="s">
        <v>50</v>
      </c>
      <c r="D358" t="s">
        <v>33</v>
      </c>
      <c r="E358" t="s">
        <v>34</v>
      </c>
      <c r="F358" t="s">
        <v>35</v>
      </c>
      <c r="G358" t="s">
        <v>67</v>
      </c>
      <c r="H358" t="s">
        <v>55</v>
      </c>
      <c r="I358">
        <v>5</v>
      </c>
      <c r="J358">
        <v>30566</v>
      </c>
      <c r="K358">
        <v>129905.5</v>
      </c>
      <c r="L358" t="s">
        <v>38</v>
      </c>
      <c r="M358">
        <v>15</v>
      </c>
      <c r="N358">
        <v>14955.23</v>
      </c>
    </row>
    <row r="359" spans="1:14" ht="14.25" customHeight="1" x14ac:dyDescent="0.3">
      <c r="A359">
        <v>1358</v>
      </c>
      <c r="B359" t="s">
        <v>164</v>
      </c>
      <c r="C359" t="s">
        <v>60</v>
      </c>
      <c r="D359" t="s">
        <v>53</v>
      </c>
      <c r="E359" t="s">
        <v>54</v>
      </c>
      <c r="F359" t="s">
        <v>51</v>
      </c>
      <c r="G359" t="s">
        <v>52</v>
      </c>
      <c r="H359" t="s">
        <v>55</v>
      </c>
      <c r="I359">
        <v>1</v>
      </c>
      <c r="J359">
        <v>12578</v>
      </c>
      <c r="K359">
        <v>10691.3</v>
      </c>
      <c r="L359" t="s">
        <v>48</v>
      </c>
      <c r="M359">
        <v>15</v>
      </c>
      <c r="N359">
        <v>2557.65</v>
      </c>
    </row>
    <row r="360" spans="1:14" ht="14.25" customHeight="1" x14ac:dyDescent="0.3">
      <c r="A360">
        <v>1359</v>
      </c>
      <c r="B360" t="s">
        <v>165</v>
      </c>
      <c r="C360" t="s">
        <v>44</v>
      </c>
      <c r="D360" t="s">
        <v>33</v>
      </c>
      <c r="E360" t="s">
        <v>34</v>
      </c>
      <c r="F360" t="s">
        <v>35</v>
      </c>
      <c r="G360" t="s">
        <v>67</v>
      </c>
      <c r="H360" t="s">
        <v>47</v>
      </c>
      <c r="I360">
        <v>3</v>
      </c>
      <c r="J360">
        <v>769</v>
      </c>
      <c r="K360">
        <v>2076.3000000000002</v>
      </c>
      <c r="L360" t="s">
        <v>43</v>
      </c>
      <c r="M360">
        <v>10</v>
      </c>
      <c r="N360">
        <v>591.17999999999995</v>
      </c>
    </row>
    <row r="361" spans="1:14" ht="14.25" customHeight="1" x14ac:dyDescent="0.3">
      <c r="A361">
        <v>1360</v>
      </c>
      <c r="B361" t="s">
        <v>165</v>
      </c>
      <c r="C361" t="s">
        <v>44</v>
      </c>
      <c r="D361" t="s">
        <v>40</v>
      </c>
      <c r="E361" t="s">
        <v>41</v>
      </c>
      <c r="F361" t="s">
        <v>35</v>
      </c>
      <c r="G361" t="s">
        <v>65</v>
      </c>
      <c r="H361" t="s">
        <v>55</v>
      </c>
      <c r="I361">
        <v>5</v>
      </c>
      <c r="J361">
        <v>40599</v>
      </c>
      <c r="K361">
        <v>192845.25</v>
      </c>
      <c r="L361" t="s">
        <v>61</v>
      </c>
      <c r="M361">
        <v>5</v>
      </c>
      <c r="N361">
        <v>28941.37</v>
      </c>
    </row>
    <row r="362" spans="1:14" ht="14.25" customHeight="1" x14ac:dyDescent="0.3">
      <c r="A362">
        <v>1361</v>
      </c>
      <c r="B362" t="s">
        <v>166</v>
      </c>
      <c r="C362" t="s">
        <v>60</v>
      </c>
      <c r="D362" t="s">
        <v>40</v>
      </c>
      <c r="E362" t="s">
        <v>41</v>
      </c>
      <c r="F362" t="s">
        <v>51</v>
      </c>
      <c r="G362" t="s">
        <v>63</v>
      </c>
      <c r="H362" t="s">
        <v>55</v>
      </c>
      <c r="I362">
        <v>5</v>
      </c>
      <c r="J362">
        <v>8421</v>
      </c>
      <c r="K362">
        <v>39999.75</v>
      </c>
      <c r="L362" t="s">
        <v>61</v>
      </c>
      <c r="M362">
        <v>5</v>
      </c>
      <c r="N362">
        <v>6646.27</v>
      </c>
    </row>
    <row r="363" spans="1:14" ht="14.25" customHeight="1" x14ac:dyDescent="0.3">
      <c r="A363">
        <v>1362</v>
      </c>
      <c r="B363" t="s">
        <v>166</v>
      </c>
      <c r="C363" t="s">
        <v>39</v>
      </c>
      <c r="D363" t="s">
        <v>58</v>
      </c>
      <c r="E363" t="s">
        <v>54</v>
      </c>
      <c r="F363" t="s">
        <v>45</v>
      </c>
      <c r="G363" t="s">
        <v>57</v>
      </c>
      <c r="H363" t="s">
        <v>42</v>
      </c>
      <c r="I363">
        <v>3</v>
      </c>
      <c r="J363">
        <v>36059</v>
      </c>
      <c r="K363">
        <v>102768.15</v>
      </c>
      <c r="L363" t="s">
        <v>61</v>
      </c>
      <c r="M363">
        <v>5</v>
      </c>
      <c r="N363">
        <v>29784.35</v>
      </c>
    </row>
    <row r="364" spans="1:14" ht="14.25" customHeight="1" x14ac:dyDescent="0.3">
      <c r="A364">
        <v>1363</v>
      </c>
      <c r="B364" t="s">
        <v>166</v>
      </c>
      <c r="C364" t="s">
        <v>50</v>
      </c>
      <c r="D364" t="s">
        <v>58</v>
      </c>
      <c r="E364" t="s">
        <v>54</v>
      </c>
      <c r="F364" t="s">
        <v>51</v>
      </c>
      <c r="G364" t="s">
        <v>52</v>
      </c>
      <c r="H364" t="s">
        <v>47</v>
      </c>
      <c r="I364">
        <v>1</v>
      </c>
      <c r="J364">
        <v>4966</v>
      </c>
      <c r="K364">
        <v>4221.1000000000004</v>
      </c>
      <c r="L364" t="s">
        <v>38</v>
      </c>
      <c r="M364">
        <v>15</v>
      </c>
      <c r="N364">
        <v>1078.08</v>
      </c>
    </row>
    <row r="365" spans="1:14" ht="14.25" customHeight="1" x14ac:dyDescent="0.3">
      <c r="A365">
        <v>1364</v>
      </c>
      <c r="B365" t="s">
        <v>167</v>
      </c>
      <c r="C365" t="s">
        <v>44</v>
      </c>
      <c r="D365" t="s">
        <v>33</v>
      </c>
      <c r="E365" t="s">
        <v>34</v>
      </c>
      <c r="F365" t="s">
        <v>45</v>
      </c>
      <c r="G365" t="s">
        <v>46</v>
      </c>
      <c r="H365" t="s">
        <v>37</v>
      </c>
      <c r="I365">
        <v>3</v>
      </c>
      <c r="J365">
        <v>5037</v>
      </c>
      <c r="K365">
        <v>13599.9</v>
      </c>
      <c r="L365" t="s">
        <v>38</v>
      </c>
      <c r="M365">
        <v>10</v>
      </c>
      <c r="N365">
        <v>2216.7600000000002</v>
      </c>
    </row>
    <row r="366" spans="1:14" ht="14.25" customHeight="1" x14ac:dyDescent="0.3">
      <c r="A366">
        <v>1365</v>
      </c>
      <c r="B366" t="s">
        <v>167</v>
      </c>
      <c r="C366" t="s">
        <v>50</v>
      </c>
      <c r="D366" t="s">
        <v>40</v>
      </c>
      <c r="E366" t="s">
        <v>41</v>
      </c>
      <c r="F366" t="s">
        <v>51</v>
      </c>
      <c r="G366" t="s">
        <v>63</v>
      </c>
      <c r="H366" t="s">
        <v>42</v>
      </c>
      <c r="I366">
        <v>3</v>
      </c>
      <c r="J366">
        <v>22460</v>
      </c>
      <c r="K366">
        <v>64011</v>
      </c>
      <c r="L366" t="s">
        <v>61</v>
      </c>
      <c r="M366">
        <v>5</v>
      </c>
      <c r="N366">
        <v>13258.68</v>
      </c>
    </row>
    <row r="367" spans="1:14" ht="14.25" customHeight="1" x14ac:dyDescent="0.3">
      <c r="A367">
        <v>1366</v>
      </c>
      <c r="B367" t="s">
        <v>167</v>
      </c>
      <c r="C367" t="s">
        <v>44</v>
      </c>
      <c r="D367" t="s">
        <v>40</v>
      </c>
      <c r="E367" t="s">
        <v>41</v>
      </c>
      <c r="F367" t="s">
        <v>45</v>
      </c>
      <c r="G367" t="s">
        <v>69</v>
      </c>
      <c r="H367" t="s">
        <v>55</v>
      </c>
      <c r="I367">
        <v>5</v>
      </c>
      <c r="J367">
        <v>38039</v>
      </c>
      <c r="K367">
        <v>190195</v>
      </c>
      <c r="L367" t="s">
        <v>61</v>
      </c>
      <c r="M367">
        <v>0</v>
      </c>
      <c r="N367">
        <v>33524.6</v>
      </c>
    </row>
    <row r="368" spans="1:14" ht="14.25" customHeight="1" x14ac:dyDescent="0.3">
      <c r="A368">
        <v>1367</v>
      </c>
      <c r="B368" t="s">
        <v>168</v>
      </c>
      <c r="C368" t="s">
        <v>50</v>
      </c>
      <c r="D368" t="s">
        <v>33</v>
      </c>
      <c r="E368" t="s">
        <v>34</v>
      </c>
      <c r="F368" t="s">
        <v>45</v>
      </c>
      <c r="G368" t="s">
        <v>69</v>
      </c>
      <c r="H368" t="s">
        <v>42</v>
      </c>
      <c r="I368">
        <v>3</v>
      </c>
      <c r="J368">
        <v>17317</v>
      </c>
      <c r="K368">
        <v>51951</v>
      </c>
      <c r="L368" t="s">
        <v>48</v>
      </c>
      <c r="M368">
        <v>0</v>
      </c>
      <c r="N368">
        <v>12594.92</v>
      </c>
    </row>
    <row r="369" spans="1:14" ht="14.25" customHeight="1" x14ac:dyDescent="0.3">
      <c r="A369">
        <v>1368</v>
      </c>
      <c r="B369" t="s">
        <v>168</v>
      </c>
      <c r="C369" t="s">
        <v>32</v>
      </c>
      <c r="D369" t="s">
        <v>58</v>
      </c>
      <c r="E369" t="s">
        <v>54</v>
      </c>
      <c r="F369" t="s">
        <v>51</v>
      </c>
      <c r="G369" t="s">
        <v>63</v>
      </c>
      <c r="H369" t="s">
        <v>37</v>
      </c>
      <c r="I369">
        <v>1</v>
      </c>
      <c r="J369">
        <v>42273</v>
      </c>
      <c r="K369">
        <v>35932.050000000003</v>
      </c>
      <c r="L369" t="s">
        <v>48</v>
      </c>
      <c r="M369">
        <v>15</v>
      </c>
      <c r="N369">
        <v>6789.95</v>
      </c>
    </row>
    <row r="370" spans="1:14" ht="14.25" customHeight="1" x14ac:dyDescent="0.3">
      <c r="A370">
        <v>1369</v>
      </c>
      <c r="B370" t="s">
        <v>168</v>
      </c>
      <c r="C370" t="s">
        <v>60</v>
      </c>
      <c r="D370" t="s">
        <v>33</v>
      </c>
      <c r="E370" t="s">
        <v>34</v>
      </c>
      <c r="F370" t="s">
        <v>45</v>
      </c>
      <c r="G370" t="s">
        <v>57</v>
      </c>
      <c r="H370" t="s">
        <v>37</v>
      </c>
      <c r="I370">
        <v>4</v>
      </c>
      <c r="J370">
        <v>8507</v>
      </c>
      <c r="K370">
        <v>30625.200000000001</v>
      </c>
      <c r="L370" t="s">
        <v>43</v>
      </c>
      <c r="M370">
        <v>10</v>
      </c>
      <c r="N370">
        <v>5555.16</v>
      </c>
    </row>
    <row r="371" spans="1:14" ht="14.25" customHeight="1" x14ac:dyDescent="0.3">
      <c r="A371">
        <v>1370</v>
      </c>
      <c r="B371" t="s">
        <v>168</v>
      </c>
      <c r="C371" t="s">
        <v>50</v>
      </c>
      <c r="D371" t="s">
        <v>33</v>
      </c>
      <c r="E371" t="s">
        <v>34</v>
      </c>
      <c r="F371" t="s">
        <v>35</v>
      </c>
      <c r="G371" t="s">
        <v>67</v>
      </c>
      <c r="H371" t="s">
        <v>55</v>
      </c>
      <c r="I371">
        <v>1</v>
      </c>
      <c r="J371">
        <v>21594</v>
      </c>
      <c r="K371">
        <v>19434.599999999999</v>
      </c>
      <c r="L371" t="s">
        <v>38</v>
      </c>
      <c r="M371">
        <v>10</v>
      </c>
      <c r="N371">
        <v>5475.8</v>
      </c>
    </row>
    <row r="372" spans="1:14" ht="14.25" customHeight="1" x14ac:dyDescent="0.3">
      <c r="A372">
        <v>1371</v>
      </c>
      <c r="B372" t="s">
        <v>169</v>
      </c>
      <c r="C372" t="s">
        <v>50</v>
      </c>
      <c r="D372" t="s">
        <v>53</v>
      </c>
      <c r="E372" t="s">
        <v>54</v>
      </c>
      <c r="F372" t="s">
        <v>35</v>
      </c>
      <c r="G372" t="s">
        <v>67</v>
      </c>
      <c r="H372" t="s">
        <v>55</v>
      </c>
      <c r="I372">
        <v>1</v>
      </c>
      <c r="J372">
        <v>35904</v>
      </c>
      <c r="K372">
        <v>32313.599999999999</v>
      </c>
      <c r="L372" t="s">
        <v>38</v>
      </c>
      <c r="M372">
        <v>10</v>
      </c>
      <c r="N372">
        <v>7970.71</v>
      </c>
    </row>
    <row r="373" spans="1:14" ht="14.25" customHeight="1" x14ac:dyDescent="0.3">
      <c r="A373">
        <v>1372</v>
      </c>
      <c r="B373" t="s">
        <v>169</v>
      </c>
      <c r="C373" t="s">
        <v>50</v>
      </c>
      <c r="D373" t="s">
        <v>66</v>
      </c>
      <c r="E373" t="s">
        <v>34</v>
      </c>
      <c r="F373" t="s">
        <v>45</v>
      </c>
      <c r="G373" t="s">
        <v>46</v>
      </c>
      <c r="H373" t="s">
        <v>37</v>
      </c>
      <c r="I373">
        <v>3</v>
      </c>
      <c r="J373">
        <v>24447</v>
      </c>
      <c r="K373">
        <v>62339.85</v>
      </c>
      <c r="L373" t="s">
        <v>38</v>
      </c>
      <c r="M373">
        <v>15</v>
      </c>
      <c r="N373">
        <v>16119.06</v>
      </c>
    </row>
    <row r="374" spans="1:14" ht="14.25" customHeight="1" x14ac:dyDescent="0.3">
      <c r="A374">
        <v>1373</v>
      </c>
      <c r="B374" t="s">
        <v>169</v>
      </c>
      <c r="C374" t="s">
        <v>44</v>
      </c>
      <c r="D374" t="s">
        <v>33</v>
      </c>
      <c r="E374" t="s">
        <v>34</v>
      </c>
      <c r="F374" t="s">
        <v>35</v>
      </c>
      <c r="G374" t="s">
        <v>36</v>
      </c>
      <c r="H374" t="s">
        <v>55</v>
      </c>
      <c r="I374">
        <v>3</v>
      </c>
      <c r="J374">
        <v>37907</v>
      </c>
      <c r="K374">
        <v>96662.85</v>
      </c>
      <c r="L374" t="s">
        <v>38</v>
      </c>
      <c r="M374">
        <v>15</v>
      </c>
      <c r="N374">
        <v>10200.77</v>
      </c>
    </row>
    <row r="375" spans="1:14" ht="14.25" customHeight="1" x14ac:dyDescent="0.3">
      <c r="A375">
        <v>1374</v>
      </c>
      <c r="B375" t="s">
        <v>169</v>
      </c>
      <c r="C375" t="s">
        <v>44</v>
      </c>
      <c r="D375" t="s">
        <v>40</v>
      </c>
      <c r="E375" t="s">
        <v>41</v>
      </c>
      <c r="F375" t="s">
        <v>51</v>
      </c>
      <c r="G375" t="s">
        <v>62</v>
      </c>
      <c r="H375" t="s">
        <v>55</v>
      </c>
      <c r="I375">
        <v>4</v>
      </c>
      <c r="J375">
        <v>28131</v>
      </c>
      <c r="K375">
        <v>101271.6</v>
      </c>
      <c r="L375" t="s">
        <v>43</v>
      </c>
      <c r="M375">
        <v>10</v>
      </c>
      <c r="N375">
        <v>28970.04</v>
      </c>
    </row>
    <row r="376" spans="1:14" ht="14.25" customHeight="1" x14ac:dyDescent="0.3">
      <c r="A376">
        <v>1375</v>
      </c>
      <c r="B376" t="s">
        <v>169</v>
      </c>
      <c r="C376" t="s">
        <v>50</v>
      </c>
      <c r="D376" t="s">
        <v>40</v>
      </c>
      <c r="E376" t="s">
        <v>41</v>
      </c>
      <c r="F376" t="s">
        <v>35</v>
      </c>
      <c r="G376" t="s">
        <v>65</v>
      </c>
      <c r="H376" t="s">
        <v>55</v>
      </c>
      <c r="I376">
        <v>4</v>
      </c>
      <c r="J376">
        <v>25095</v>
      </c>
      <c r="K376">
        <v>100380</v>
      </c>
      <c r="L376" t="s">
        <v>48</v>
      </c>
      <c r="M376">
        <v>0</v>
      </c>
      <c r="N376">
        <v>26137.74</v>
      </c>
    </row>
    <row r="377" spans="1:14" ht="14.25" customHeight="1" x14ac:dyDescent="0.3">
      <c r="A377">
        <v>1376</v>
      </c>
      <c r="B377" t="s">
        <v>170</v>
      </c>
      <c r="C377" t="s">
        <v>60</v>
      </c>
      <c r="D377" t="s">
        <v>58</v>
      </c>
      <c r="E377" t="s">
        <v>54</v>
      </c>
      <c r="F377" t="s">
        <v>45</v>
      </c>
      <c r="G377" t="s">
        <v>46</v>
      </c>
      <c r="H377" t="s">
        <v>37</v>
      </c>
      <c r="I377">
        <v>2</v>
      </c>
      <c r="J377">
        <v>4112</v>
      </c>
      <c r="K377">
        <v>7401.6</v>
      </c>
      <c r="L377" t="s">
        <v>61</v>
      </c>
      <c r="M377">
        <v>10</v>
      </c>
      <c r="N377">
        <v>2131.98</v>
      </c>
    </row>
    <row r="378" spans="1:14" ht="14.25" customHeight="1" x14ac:dyDescent="0.3">
      <c r="A378">
        <v>1377</v>
      </c>
      <c r="B378" t="s">
        <v>170</v>
      </c>
      <c r="C378" t="s">
        <v>32</v>
      </c>
      <c r="D378" t="s">
        <v>33</v>
      </c>
      <c r="E378" t="s">
        <v>34</v>
      </c>
      <c r="F378" t="s">
        <v>51</v>
      </c>
      <c r="G378" t="s">
        <v>62</v>
      </c>
      <c r="H378" t="s">
        <v>37</v>
      </c>
      <c r="I378">
        <v>5</v>
      </c>
      <c r="J378">
        <v>19572</v>
      </c>
      <c r="K378">
        <v>83181</v>
      </c>
      <c r="L378" t="s">
        <v>61</v>
      </c>
      <c r="M378">
        <v>15</v>
      </c>
      <c r="N378">
        <v>20989.82</v>
      </c>
    </row>
    <row r="379" spans="1:14" ht="14.25" customHeight="1" x14ac:dyDescent="0.3">
      <c r="A379">
        <v>1378</v>
      </c>
      <c r="B379" t="s">
        <v>170</v>
      </c>
      <c r="C379" t="s">
        <v>50</v>
      </c>
      <c r="D379" t="s">
        <v>53</v>
      </c>
      <c r="E379" t="s">
        <v>54</v>
      </c>
      <c r="F379" t="s">
        <v>45</v>
      </c>
      <c r="G379" t="s">
        <v>57</v>
      </c>
      <c r="H379" t="s">
        <v>47</v>
      </c>
      <c r="I379">
        <v>4</v>
      </c>
      <c r="J379">
        <v>4711</v>
      </c>
      <c r="K379">
        <v>16959.599999999999</v>
      </c>
      <c r="L379" t="s">
        <v>38</v>
      </c>
      <c r="M379">
        <v>10</v>
      </c>
      <c r="N379">
        <v>4259.93</v>
      </c>
    </row>
    <row r="380" spans="1:14" ht="14.25" customHeight="1" x14ac:dyDescent="0.3">
      <c r="A380">
        <v>1379</v>
      </c>
      <c r="B380" t="s">
        <v>170</v>
      </c>
      <c r="C380" t="s">
        <v>39</v>
      </c>
      <c r="D380" t="s">
        <v>58</v>
      </c>
      <c r="E380" t="s">
        <v>54</v>
      </c>
      <c r="F380" t="s">
        <v>35</v>
      </c>
      <c r="G380" t="s">
        <v>65</v>
      </c>
      <c r="H380" t="s">
        <v>55</v>
      </c>
      <c r="I380">
        <v>2</v>
      </c>
      <c r="J380">
        <v>44585</v>
      </c>
      <c r="K380">
        <v>75794.5</v>
      </c>
      <c r="L380" t="s">
        <v>43</v>
      </c>
      <c r="M380">
        <v>15</v>
      </c>
      <c r="N380">
        <v>16250.24</v>
      </c>
    </row>
    <row r="381" spans="1:14" ht="14.25" customHeight="1" x14ac:dyDescent="0.3">
      <c r="A381">
        <v>1380</v>
      </c>
      <c r="B381" t="s">
        <v>171</v>
      </c>
      <c r="C381" t="s">
        <v>44</v>
      </c>
      <c r="D381" t="s">
        <v>58</v>
      </c>
      <c r="E381" t="s">
        <v>54</v>
      </c>
      <c r="F381" t="s">
        <v>51</v>
      </c>
      <c r="G381" t="s">
        <v>62</v>
      </c>
      <c r="H381" t="s">
        <v>55</v>
      </c>
      <c r="I381">
        <v>1</v>
      </c>
      <c r="J381">
        <v>19014</v>
      </c>
      <c r="K381">
        <v>16161.9</v>
      </c>
      <c r="L381" t="s">
        <v>43</v>
      </c>
      <c r="M381">
        <v>15</v>
      </c>
      <c r="N381">
        <v>4385.5200000000004</v>
      </c>
    </row>
    <row r="382" spans="1:14" ht="14.25" customHeight="1" x14ac:dyDescent="0.3">
      <c r="A382">
        <v>1381</v>
      </c>
      <c r="B382" t="s">
        <v>171</v>
      </c>
      <c r="C382" t="s">
        <v>50</v>
      </c>
      <c r="D382" t="s">
        <v>53</v>
      </c>
      <c r="E382" t="s">
        <v>54</v>
      </c>
      <c r="F382" t="s">
        <v>35</v>
      </c>
      <c r="G382" t="s">
        <v>36</v>
      </c>
      <c r="H382" t="s">
        <v>42</v>
      </c>
      <c r="I382">
        <v>3</v>
      </c>
      <c r="J382">
        <v>8444</v>
      </c>
      <c r="K382">
        <v>24065.4</v>
      </c>
      <c r="L382" t="s">
        <v>48</v>
      </c>
      <c r="M382">
        <v>5</v>
      </c>
      <c r="N382">
        <v>6699.21</v>
      </c>
    </row>
    <row r="383" spans="1:14" ht="14.25" customHeight="1" x14ac:dyDescent="0.3">
      <c r="A383">
        <v>1382</v>
      </c>
      <c r="B383" t="s">
        <v>172</v>
      </c>
      <c r="C383" t="s">
        <v>39</v>
      </c>
      <c r="D383" t="s">
        <v>66</v>
      </c>
      <c r="E383" t="s">
        <v>34</v>
      </c>
      <c r="F383" t="s">
        <v>51</v>
      </c>
      <c r="G383" t="s">
        <v>62</v>
      </c>
      <c r="H383" t="s">
        <v>47</v>
      </c>
      <c r="I383">
        <v>4</v>
      </c>
      <c r="J383">
        <v>46340</v>
      </c>
      <c r="K383">
        <v>166824</v>
      </c>
      <c r="L383" t="s">
        <v>48</v>
      </c>
      <c r="M383">
        <v>10</v>
      </c>
      <c r="N383">
        <v>19172.21</v>
      </c>
    </row>
    <row r="384" spans="1:14" ht="14.25" customHeight="1" x14ac:dyDescent="0.3">
      <c r="A384">
        <v>1383</v>
      </c>
      <c r="B384" t="s">
        <v>172</v>
      </c>
      <c r="C384" t="s">
        <v>44</v>
      </c>
      <c r="D384" t="s">
        <v>66</v>
      </c>
      <c r="E384" t="s">
        <v>34</v>
      </c>
      <c r="F384" t="s">
        <v>35</v>
      </c>
      <c r="G384" t="s">
        <v>65</v>
      </c>
      <c r="H384" t="s">
        <v>42</v>
      </c>
      <c r="I384">
        <v>3</v>
      </c>
      <c r="J384">
        <v>31907</v>
      </c>
      <c r="K384">
        <v>90934.95</v>
      </c>
      <c r="L384" t="s">
        <v>61</v>
      </c>
      <c r="M384">
        <v>5</v>
      </c>
      <c r="N384">
        <v>21611.64</v>
      </c>
    </row>
    <row r="385" spans="1:14" ht="14.25" customHeight="1" x14ac:dyDescent="0.3">
      <c r="A385">
        <v>1384</v>
      </c>
      <c r="B385" t="s">
        <v>172</v>
      </c>
      <c r="C385" t="s">
        <v>50</v>
      </c>
      <c r="D385" t="s">
        <v>66</v>
      </c>
      <c r="E385" t="s">
        <v>34</v>
      </c>
      <c r="F385" t="s">
        <v>35</v>
      </c>
      <c r="G385" t="s">
        <v>36</v>
      </c>
      <c r="H385" t="s">
        <v>55</v>
      </c>
      <c r="I385">
        <v>3</v>
      </c>
      <c r="J385">
        <v>33118</v>
      </c>
      <c r="K385">
        <v>84450.9</v>
      </c>
      <c r="L385" t="s">
        <v>43</v>
      </c>
      <c r="M385">
        <v>15</v>
      </c>
      <c r="N385">
        <v>20621.36</v>
      </c>
    </row>
    <row r="386" spans="1:14" ht="14.25" customHeight="1" x14ac:dyDescent="0.3">
      <c r="A386">
        <v>1385</v>
      </c>
      <c r="B386" t="s">
        <v>173</v>
      </c>
      <c r="C386" t="s">
        <v>50</v>
      </c>
      <c r="D386" t="s">
        <v>53</v>
      </c>
      <c r="E386" t="s">
        <v>54</v>
      </c>
      <c r="F386" t="s">
        <v>51</v>
      </c>
      <c r="G386" t="s">
        <v>62</v>
      </c>
      <c r="H386" t="s">
        <v>42</v>
      </c>
      <c r="I386">
        <v>2</v>
      </c>
      <c r="J386">
        <v>29703</v>
      </c>
      <c r="K386">
        <v>59406</v>
      </c>
      <c r="L386" t="s">
        <v>48</v>
      </c>
      <c r="M386">
        <v>0</v>
      </c>
      <c r="N386">
        <v>15176.11</v>
      </c>
    </row>
    <row r="387" spans="1:14" ht="14.25" customHeight="1" x14ac:dyDescent="0.3">
      <c r="A387">
        <v>1386</v>
      </c>
      <c r="B387" t="s">
        <v>173</v>
      </c>
      <c r="C387" t="s">
        <v>39</v>
      </c>
      <c r="D387" t="s">
        <v>33</v>
      </c>
      <c r="E387" t="s">
        <v>34</v>
      </c>
      <c r="F387" t="s">
        <v>51</v>
      </c>
      <c r="G387" t="s">
        <v>52</v>
      </c>
      <c r="H387" t="s">
        <v>55</v>
      </c>
      <c r="I387">
        <v>2</v>
      </c>
      <c r="J387">
        <v>540</v>
      </c>
      <c r="K387">
        <v>1026</v>
      </c>
      <c r="L387" t="s">
        <v>43</v>
      </c>
      <c r="M387">
        <v>5</v>
      </c>
      <c r="N387">
        <v>131.38</v>
      </c>
    </row>
    <row r="388" spans="1:14" ht="14.25" customHeight="1" x14ac:dyDescent="0.3">
      <c r="A388">
        <v>1387</v>
      </c>
      <c r="B388" t="s">
        <v>173</v>
      </c>
      <c r="C388" t="s">
        <v>39</v>
      </c>
      <c r="D388" t="s">
        <v>66</v>
      </c>
      <c r="E388" t="s">
        <v>34</v>
      </c>
      <c r="F388" t="s">
        <v>51</v>
      </c>
      <c r="G388" t="s">
        <v>63</v>
      </c>
      <c r="H388" t="s">
        <v>55</v>
      </c>
      <c r="I388">
        <v>5</v>
      </c>
      <c r="J388">
        <v>12021</v>
      </c>
      <c r="K388">
        <v>54094.5</v>
      </c>
      <c r="L388" t="s">
        <v>43</v>
      </c>
      <c r="M388">
        <v>10</v>
      </c>
      <c r="N388">
        <v>8422.99</v>
      </c>
    </row>
    <row r="389" spans="1:14" ht="14.25" customHeight="1" x14ac:dyDescent="0.3">
      <c r="A389">
        <v>1388</v>
      </c>
      <c r="B389" t="s">
        <v>173</v>
      </c>
      <c r="C389" t="s">
        <v>44</v>
      </c>
      <c r="D389" t="s">
        <v>53</v>
      </c>
      <c r="E389" t="s">
        <v>54</v>
      </c>
      <c r="F389" t="s">
        <v>45</v>
      </c>
      <c r="G389" t="s">
        <v>69</v>
      </c>
      <c r="H389" t="s">
        <v>37</v>
      </c>
      <c r="I389">
        <v>1</v>
      </c>
      <c r="J389">
        <v>48312</v>
      </c>
      <c r="K389">
        <v>45896.4</v>
      </c>
      <c r="L389" t="s">
        <v>43</v>
      </c>
      <c r="M389">
        <v>5</v>
      </c>
      <c r="N389">
        <v>8995.7099999999991</v>
      </c>
    </row>
    <row r="390" spans="1:14" ht="14.25" customHeight="1" x14ac:dyDescent="0.3">
      <c r="A390">
        <v>1389</v>
      </c>
      <c r="B390" t="s">
        <v>174</v>
      </c>
      <c r="C390" t="s">
        <v>44</v>
      </c>
      <c r="D390" t="s">
        <v>33</v>
      </c>
      <c r="E390" t="s">
        <v>34</v>
      </c>
      <c r="F390" t="s">
        <v>35</v>
      </c>
      <c r="G390" t="s">
        <v>67</v>
      </c>
      <c r="H390" t="s">
        <v>37</v>
      </c>
      <c r="I390">
        <v>3</v>
      </c>
      <c r="J390">
        <v>4661</v>
      </c>
      <c r="K390">
        <v>13983</v>
      </c>
      <c r="L390" t="s">
        <v>43</v>
      </c>
      <c r="M390">
        <v>0</v>
      </c>
      <c r="N390">
        <v>1562.21</v>
      </c>
    </row>
    <row r="391" spans="1:14" ht="14.25" customHeight="1" x14ac:dyDescent="0.3">
      <c r="A391">
        <v>1390</v>
      </c>
      <c r="B391" t="s">
        <v>174</v>
      </c>
      <c r="C391" t="s">
        <v>50</v>
      </c>
      <c r="D391" t="s">
        <v>53</v>
      </c>
      <c r="E391" t="s">
        <v>54</v>
      </c>
      <c r="F391" t="s">
        <v>51</v>
      </c>
      <c r="G391" t="s">
        <v>62</v>
      </c>
      <c r="H391" t="s">
        <v>37</v>
      </c>
      <c r="I391">
        <v>3</v>
      </c>
      <c r="J391">
        <v>16242</v>
      </c>
      <c r="K391">
        <v>46289.7</v>
      </c>
      <c r="L391" t="s">
        <v>61</v>
      </c>
      <c r="M391">
        <v>5</v>
      </c>
      <c r="N391">
        <v>5402.58</v>
      </c>
    </row>
    <row r="392" spans="1:14" ht="14.25" customHeight="1" x14ac:dyDescent="0.3">
      <c r="A392">
        <v>1391</v>
      </c>
      <c r="B392" t="s">
        <v>174</v>
      </c>
      <c r="C392" t="s">
        <v>44</v>
      </c>
      <c r="D392" t="s">
        <v>58</v>
      </c>
      <c r="E392" t="s">
        <v>54</v>
      </c>
      <c r="F392" t="s">
        <v>51</v>
      </c>
      <c r="G392" t="s">
        <v>52</v>
      </c>
      <c r="H392" t="s">
        <v>47</v>
      </c>
      <c r="I392">
        <v>4</v>
      </c>
      <c r="J392">
        <v>27974</v>
      </c>
      <c r="K392">
        <v>111896</v>
      </c>
      <c r="L392" t="s">
        <v>43</v>
      </c>
      <c r="M392">
        <v>0</v>
      </c>
      <c r="N392">
        <v>29982.06</v>
      </c>
    </row>
    <row r="393" spans="1:14" ht="14.25" customHeight="1" x14ac:dyDescent="0.3">
      <c r="A393">
        <v>1392</v>
      </c>
      <c r="B393" t="s">
        <v>174</v>
      </c>
      <c r="C393" t="s">
        <v>44</v>
      </c>
      <c r="D393" t="s">
        <v>40</v>
      </c>
      <c r="E393" t="s">
        <v>41</v>
      </c>
      <c r="F393" t="s">
        <v>45</v>
      </c>
      <c r="G393" t="s">
        <v>57</v>
      </c>
      <c r="H393" t="s">
        <v>55</v>
      </c>
      <c r="I393">
        <v>5</v>
      </c>
      <c r="J393">
        <v>32585</v>
      </c>
      <c r="K393">
        <v>154778.75</v>
      </c>
      <c r="L393" t="s">
        <v>43</v>
      </c>
      <c r="M393">
        <v>5</v>
      </c>
      <c r="N393">
        <v>46179.839999999997</v>
      </c>
    </row>
    <row r="394" spans="1:14" ht="14.25" customHeight="1" x14ac:dyDescent="0.3">
      <c r="A394">
        <v>1393</v>
      </c>
      <c r="B394" t="s">
        <v>175</v>
      </c>
      <c r="C394" t="s">
        <v>39</v>
      </c>
      <c r="D394" t="s">
        <v>66</v>
      </c>
      <c r="E394" t="s">
        <v>34</v>
      </c>
      <c r="F394" t="s">
        <v>35</v>
      </c>
      <c r="G394" t="s">
        <v>67</v>
      </c>
      <c r="H394" t="s">
        <v>55</v>
      </c>
      <c r="I394">
        <v>3</v>
      </c>
      <c r="J394">
        <v>14825</v>
      </c>
      <c r="K394">
        <v>42251.25</v>
      </c>
      <c r="L394" t="s">
        <v>48</v>
      </c>
      <c r="M394">
        <v>5</v>
      </c>
      <c r="N394">
        <v>10902.5</v>
      </c>
    </row>
    <row r="395" spans="1:14" ht="14.25" customHeight="1" x14ac:dyDescent="0.3">
      <c r="A395">
        <v>1394</v>
      </c>
      <c r="B395" t="s">
        <v>175</v>
      </c>
      <c r="C395" t="s">
        <v>50</v>
      </c>
      <c r="D395" t="s">
        <v>40</v>
      </c>
      <c r="E395" t="s">
        <v>41</v>
      </c>
      <c r="F395" t="s">
        <v>51</v>
      </c>
      <c r="G395" t="s">
        <v>63</v>
      </c>
      <c r="H395" t="s">
        <v>37</v>
      </c>
      <c r="I395">
        <v>4</v>
      </c>
      <c r="J395">
        <v>7730</v>
      </c>
      <c r="K395">
        <v>30920</v>
      </c>
      <c r="L395" t="s">
        <v>38</v>
      </c>
      <c r="M395">
        <v>0</v>
      </c>
      <c r="N395">
        <v>8050.68</v>
      </c>
    </row>
    <row r="396" spans="1:14" ht="14.25" customHeight="1" x14ac:dyDescent="0.3">
      <c r="A396">
        <v>1395</v>
      </c>
      <c r="B396" t="s">
        <v>175</v>
      </c>
      <c r="C396" t="s">
        <v>60</v>
      </c>
      <c r="D396" t="s">
        <v>53</v>
      </c>
      <c r="E396" t="s">
        <v>54</v>
      </c>
      <c r="F396" t="s">
        <v>45</v>
      </c>
      <c r="G396" t="s">
        <v>69</v>
      </c>
      <c r="H396" t="s">
        <v>42</v>
      </c>
      <c r="I396">
        <v>4</v>
      </c>
      <c r="J396">
        <v>15851</v>
      </c>
      <c r="K396">
        <v>63404</v>
      </c>
      <c r="L396" t="s">
        <v>48</v>
      </c>
      <c r="M396">
        <v>0</v>
      </c>
      <c r="N396">
        <v>14572.95</v>
      </c>
    </row>
    <row r="397" spans="1:14" ht="14.25" customHeight="1" x14ac:dyDescent="0.3">
      <c r="A397">
        <v>1396</v>
      </c>
      <c r="B397" t="s">
        <v>175</v>
      </c>
      <c r="C397" t="s">
        <v>44</v>
      </c>
      <c r="D397" t="s">
        <v>58</v>
      </c>
      <c r="E397" t="s">
        <v>54</v>
      </c>
      <c r="F397" t="s">
        <v>45</v>
      </c>
      <c r="G397" t="s">
        <v>69</v>
      </c>
      <c r="H397" t="s">
        <v>55</v>
      </c>
      <c r="I397">
        <v>5</v>
      </c>
      <c r="J397">
        <v>36735</v>
      </c>
      <c r="K397">
        <v>165307.5</v>
      </c>
      <c r="L397" t="s">
        <v>43</v>
      </c>
      <c r="M397">
        <v>10</v>
      </c>
      <c r="N397">
        <v>26879.84</v>
      </c>
    </row>
    <row r="398" spans="1:14" ht="14.25" customHeight="1" x14ac:dyDescent="0.3">
      <c r="A398">
        <v>1397</v>
      </c>
      <c r="B398" t="s">
        <v>175</v>
      </c>
      <c r="C398" t="s">
        <v>60</v>
      </c>
      <c r="D398" t="s">
        <v>40</v>
      </c>
      <c r="E398" t="s">
        <v>41</v>
      </c>
      <c r="F398" t="s">
        <v>51</v>
      </c>
      <c r="G398" t="s">
        <v>63</v>
      </c>
      <c r="H398" t="s">
        <v>55</v>
      </c>
      <c r="I398">
        <v>2</v>
      </c>
      <c r="J398">
        <v>27011</v>
      </c>
      <c r="K398">
        <v>48619.8</v>
      </c>
      <c r="L398" t="s">
        <v>43</v>
      </c>
      <c r="M398">
        <v>10</v>
      </c>
      <c r="N398">
        <v>11462.68</v>
      </c>
    </row>
    <row r="399" spans="1:14" ht="14.25" customHeight="1" x14ac:dyDescent="0.3">
      <c r="A399">
        <v>1398</v>
      </c>
      <c r="B399" t="s">
        <v>176</v>
      </c>
      <c r="C399" t="s">
        <v>50</v>
      </c>
      <c r="D399" t="s">
        <v>33</v>
      </c>
      <c r="E399" t="s">
        <v>34</v>
      </c>
      <c r="F399" t="s">
        <v>45</v>
      </c>
      <c r="G399" t="s">
        <v>69</v>
      </c>
      <c r="H399" t="s">
        <v>47</v>
      </c>
      <c r="I399">
        <v>1</v>
      </c>
      <c r="J399">
        <v>15836</v>
      </c>
      <c r="K399">
        <v>15044.2</v>
      </c>
      <c r="L399" t="s">
        <v>43</v>
      </c>
      <c r="M399">
        <v>5</v>
      </c>
      <c r="N399">
        <v>2800.18</v>
      </c>
    </row>
    <row r="400" spans="1:14" ht="14.25" customHeight="1" x14ac:dyDescent="0.3">
      <c r="A400">
        <v>1399</v>
      </c>
      <c r="B400" t="s">
        <v>176</v>
      </c>
      <c r="C400" t="s">
        <v>44</v>
      </c>
      <c r="D400" t="s">
        <v>66</v>
      </c>
      <c r="E400" t="s">
        <v>34</v>
      </c>
      <c r="F400" t="s">
        <v>35</v>
      </c>
      <c r="G400" t="s">
        <v>67</v>
      </c>
      <c r="H400" t="s">
        <v>37</v>
      </c>
      <c r="I400">
        <v>3</v>
      </c>
      <c r="J400">
        <v>39834</v>
      </c>
      <c r="K400">
        <v>107551.8</v>
      </c>
      <c r="L400" t="s">
        <v>43</v>
      </c>
      <c r="M400">
        <v>10</v>
      </c>
      <c r="N400">
        <v>26993.19</v>
      </c>
    </row>
    <row r="401" spans="1:14" ht="14.25" customHeight="1" x14ac:dyDescent="0.3">
      <c r="A401">
        <v>1400</v>
      </c>
      <c r="B401" t="s">
        <v>177</v>
      </c>
      <c r="C401" t="s">
        <v>39</v>
      </c>
      <c r="D401" t="s">
        <v>40</v>
      </c>
      <c r="E401" t="s">
        <v>41</v>
      </c>
      <c r="F401" t="s">
        <v>35</v>
      </c>
      <c r="G401" t="s">
        <v>67</v>
      </c>
      <c r="H401" t="s">
        <v>47</v>
      </c>
      <c r="I401">
        <v>2</v>
      </c>
      <c r="J401">
        <v>6279</v>
      </c>
      <c r="K401">
        <v>11302.2</v>
      </c>
      <c r="L401" t="s">
        <v>38</v>
      </c>
      <c r="M401">
        <v>10</v>
      </c>
      <c r="N401">
        <v>3008.39</v>
      </c>
    </row>
    <row r="402" spans="1:14" ht="14.25" customHeight="1" x14ac:dyDescent="0.3">
      <c r="A402">
        <v>1401</v>
      </c>
      <c r="B402" t="s">
        <v>177</v>
      </c>
      <c r="C402" t="s">
        <v>60</v>
      </c>
      <c r="D402" t="s">
        <v>66</v>
      </c>
      <c r="E402" t="s">
        <v>34</v>
      </c>
      <c r="F402" t="s">
        <v>45</v>
      </c>
      <c r="G402" t="s">
        <v>57</v>
      </c>
      <c r="H402" t="s">
        <v>55</v>
      </c>
      <c r="I402">
        <v>1</v>
      </c>
      <c r="J402">
        <v>30293</v>
      </c>
      <c r="K402">
        <v>27263.7</v>
      </c>
      <c r="L402" t="s">
        <v>48</v>
      </c>
      <c r="M402">
        <v>10</v>
      </c>
      <c r="N402">
        <v>5332.6</v>
      </c>
    </row>
    <row r="403" spans="1:14" ht="14.25" customHeight="1" x14ac:dyDescent="0.3">
      <c r="A403">
        <v>1402</v>
      </c>
      <c r="B403" t="s">
        <v>177</v>
      </c>
      <c r="C403" t="s">
        <v>60</v>
      </c>
      <c r="D403" t="s">
        <v>58</v>
      </c>
      <c r="E403" t="s">
        <v>54</v>
      </c>
      <c r="F403" t="s">
        <v>45</v>
      </c>
      <c r="G403" t="s">
        <v>57</v>
      </c>
      <c r="H403" t="s">
        <v>47</v>
      </c>
      <c r="I403">
        <v>1</v>
      </c>
      <c r="J403">
        <v>48937</v>
      </c>
      <c r="K403">
        <v>48937</v>
      </c>
      <c r="L403" t="s">
        <v>61</v>
      </c>
      <c r="M403">
        <v>0</v>
      </c>
      <c r="N403">
        <v>11601.6</v>
      </c>
    </row>
    <row r="404" spans="1:14" ht="14.25" customHeight="1" x14ac:dyDescent="0.3">
      <c r="A404">
        <v>1403</v>
      </c>
      <c r="B404" t="s">
        <v>178</v>
      </c>
      <c r="C404" t="s">
        <v>32</v>
      </c>
      <c r="D404" t="s">
        <v>58</v>
      </c>
      <c r="E404" t="s">
        <v>54</v>
      </c>
      <c r="F404" t="s">
        <v>35</v>
      </c>
      <c r="G404" t="s">
        <v>67</v>
      </c>
      <c r="H404" t="s">
        <v>37</v>
      </c>
      <c r="I404">
        <v>4</v>
      </c>
      <c r="J404">
        <v>37022</v>
      </c>
      <c r="K404">
        <v>125874.8</v>
      </c>
      <c r="L404" t="s">
        <v>43</v>
      </c>
      <c r="M404">
        <v>15</v>
      </c>
      <c r="N404">
        <v>30876.25</v>
      </c>
    </row>
    <row r="405" spans="1:14" ht="14.25" customHeight="1" x14ac:dyDescent="0.3">
      <c r="A405">
        <v>1404</v>
      </c>
      <c r="B405" t="s">
        <v>178</v>
      </c>
      <c r="C405" t="s">
        <v>50</v>
      </c>
      <c r="D405" t="s">
        <v>53</v>
      </c>
      <c r="E405" t="s">
        <v>54</v>
      </c>
      <c r="F405" t="s">
        <v>51</v>
      </c>
      <c r="G405" t="s">
        <v>62</v>
      </c>
      <c r="H405" t="s">
        <v>47</v>
      </c>
      <c r="I405">
        <v>1</v>
      </c>
      <c r="J405">
        <v>36461</v>
      </c>
      <c r="K405">
        <v>30991.85</v>
      </c>
      <c r="L405" t="s">
        <v>48</v>
      </c>
      <c r="M405">
        <v>15</v>
      </c>
      <c r="N405">
        <v>4199.6899999999996</v>
      </c>
    </row>
    <row r="406" spans="1:14" ht="14.25" customHeight="1" x14ac:dyDescent="0.3">
      <c r="A406">
        <v>1405</v>
      </c>
      <c r="B406" t="s">
        <v>178</v>
      </c>
      <c r="C406" t="s">
        <v>32</v>
      </c>
      <c r="D406" t="s">
        <v>53</v>
      </c>
      <c r="E406" t="s">
        <v>54</v>
      </c>
      <c r="F406" t="s">
        <v>35</v>
      </c>
      <c r="G406" t="s">
        <v>65</v>
      </c>
      <c r="H406" t="s">
        <v>37</v>
      </c>
      <c r="I406">
        <v>1</v>
      </c>
      <c r="J406">
        <v>30352</v>
      </c>
      <c r="K406">
        <v>28834.400000000001</v>
      </c>
      <c r="L406" t="s">
        <v>48</v>
      </c>
      <c r="M406">
        <v>5</v>
      </c>
      <c r="N406">
        <v>5805.06</v>
      </c>
    </row>
    <row r="407" spans="1:14" ht="14.25" customHeight="1" x14ac:dyDescent="0.3">
      <c r="A407">
        <v>1406</v>
      </c>
      <c r="B407" t="s">
        <v>179</v>
      </c>
      <c r="C407" t="s">
        <v>50</v>
      </c>
      <c r="D407" t="s">
        <v>53</v>
      </c>
      <c r="E407" t="s">
        <v>54</v>
      </c>
      <c r="F407" t="s">
        <v>51</v>
      </c>
      <c r="G407" t="s">
        <v>63</v>
      </c>
      <c r="H407" t="s">
        <v>47</v>
      </c>
      <c r="I407">
        <v>1</v>
      </c>
      <c r="J407">
        <v>26657</v>
      </c>
      <c r="K407">
        <v>22658.45</v>
      </c>
      <c r="L407" t="s">
        <v>43</v>
      </c>
      <c r="M407">
        <v>15</v>
      </c>
      <c r="N407">
        <v>2430.33</v>
      </c>
    </row>
    <row r="408" spans="1:14" ht="14.25" customHeight="1" x14ac:dyDescent="0.3">
      <c r="A408">
        <v>1407</v>
      </c>
      <c r="B408" t="s">
        <v>179</v>
      </c>
      <c r="C408" t="s">
        <v>39</v>
      </c>
      <c r="D408" t="s">
        <v>66</v>
      </c>
      <c r="E408" t="s">
        <v>34</v>
      </c>
      <c r="F408" t="s">
        <v>51</v>
      </c>
      <c r="G408" t="s">
        <v>52</v>
      </c>
      <c r="H408" t="s">
        <v>55</v>
      </c>
      <c r="I408">
        <v>3</v>
      </c>
      <c r="J408">
        <v>23838</v>
      </c>
      <c r="K408">
        <v>60786.9</v>
      </c>
      <c r="L408" t="s">
        <v>61</v>
      </c>
      <c r="M408">
        <v>15</v>
      </c>
      <c r="N408">
        <v>14412.25</v>
      </c>
    </row>
    <row r="409" spans="1:14" ht="14.25" customHeight="1" x14ac:dyDescent="0.3">
      <c r="A409">
        <v>1408</v>
      </c>
      <c r="B409" t="s">
        <v>180</v>
      </c>
      <c r="C409" t="s">
        <v>60</v>
      </c>
      <c r="D409" t="s">
        <v>58</v>
      </c>
      <c r="E409" t="s">
        <v>54</v>
      </c>
      <c r="F409" t="s">
        <v>35</v>
      </c>
      <c r="G409" t="s">
        <v>67</v>
      </c>
      <c r="H409" t="s">
        <v>47</v>
      </c>
      <c r="I409">
        <v>5</v>
      </c>
      <c r="J409">
        <v>37769</v>
      </c>
      <c r="K409">
        <v>160518.25</v>
      </c>
      <c r="L409" t="s">
        <v>38</v>
      </c>
      <c r="M409">
        <v>15</v>
      </c>
      <c r="N409">
        <v>36222.019999999997</v>
      </c>
    </row>
    <row r="410" spans="1:14" ht="14.25" customHeight="1" x14ac:dyDescent="0.3">
      <c r="A410">
        <v>1409</v>
      </c>
      <c r="B410" t="s">
        <v>180</v>
      </c>
      <c r="C410" t="s">
        <v>32</v>
      </c>
      <c r="D410" t="s">
        <v>66</v>
      </c>
      <c r="E410" t="s">
        <v>34</v>
      </c>
      <c r="F410" t="s">
        <v>45</v>
      </c>
      <c r="G410" t="s">
        <v>46</v>
      </c>
      <c r="H410" t="s">
        <v>47</v>
      </c>
      <c r="I410">
        <v>4</v>
      </c>
      <c r="J410">
        <v>23404</v>
      </c>
      <c r="K410">
        <v>84254.399999999994</v>
      </c>
      <c r="L410" t="s">
        <v>61</v>
      </c>
      <c r="M410">
        <v>10</v>
      </c>
      <c r="N410">
        <v>14655.3</v>
      </c>
    </row>
    <row r="411" spans="1:14" ht="14.25" customHeight="1" x14ac:dyDescent="0.3">
      <c r="A411">
        <v>1410</v>
      </c>
      <c r="B411" t="s">
        <v>180</v>
      </c>
      <c r="C411" t="s">
        <v>39</v>
      </c>
      <c r="D411" t="s">
        <v>53</v>
      </c>
      <c r="E411" t="s">
        <v>54</v>
      </c>
      <c r="F411" t="s">
        <v>35</v>
      </c>
      <c r="G411" t="s">
        <v>65</v>
      </c>
      <c r="H411" t="s">
        <v>37</v>
      </c>
      <c r="I411">
        <v>4</v>
      </c>
      <c r="J411">
        <v>16145</v>
      </c>
      <c r="K411">
        <v>61351</v>
      </c>
      <c r="L411" t="s">
        <v>61</v>
      </c>
      <c r="M411">
        <v>5</v>
      </c>
      <c r="N411">
        <v>16374.45</v>
      </c>
    </row>
    <row r="412" spans="1:14" ht="14.25" customHeight="1" x14ac:dyDescent="0.3">
      <c r="A412">
        <v>1411</v>
      </c>
      <c r="B412" t="s">
        <v>181</v>
      </c>
      <c r="C412" t="s">
        <v>60</v>
      </c>
      <c r="D412" t="s">
        <v>53</v>
      </c>
      <c r="E412" t="s">
        <v>54</v>
      </c>
      <c r="F412" t="s">
        <v>35</v>
      </c>
      <c r="G412" t="s">
        <v>67</v>
      </c>
      <c r="H412" t="s">
        <v>42</v>
      </c>
      <c r="I412">
        <v>2</v>
      </c>
      <c r="J412">
        <v>38917</v>
      </c>
      <c r="K412">
        <v>70050.600000000006</v>
      </c>
      <c r="L412" t="s">
        <v>48</v>
      </c>
      <c r="M412">
        <v>10</v>
      </c>
      <c r="N412">
        <v>11209.7</v>
      </c>
    </row>
    <row r="413" spans="1:14" ht="14.25" customHeight="1" x14ac:dyDescent="0.3">
      <c r="A413">
        <v>1412</v>
      </c>
      <c r="B413" t="s">
        <v>181</v>
      </c>
      <c r="C413" t="s">
        <v>50</v>
      </c>
      <c r="D413" t="s">
        <v>66</v>
      </c>
      <c r="E413" t="s">
        <v>34</v>
      </c>
      <c r="F413" t="s">
        <v>45</v>
      </c>
      <c r="G413" t="s">
        <v>46</v>
      </c>
      <c r="H413" t="s">
        <v>42</v>
      </c>
      <c r="I413">
        <v>3</v>
      </c>
      <c r="J413">
        <v>22177</v>
      </c>
      <c r="K413">
        <v>59877.9</v>
      </c>
      <c r="L413" t="s">
        <v>48</v>
      </c>
      <c r="M413">
        <v>10</v>
      </c>
      <c r="N413">
        <v>11611.09</v>
      </c>
    </row>
    <row r="414" spans="1:14" ht="14.25" customHeight="1" x14ac:dyDescent="0.3">
      <c r="A414">
        <v>1413</v>
      </c>
      <c r="B414" t="s">
        <v>181</v>
      </c>
      <c r="C414" t="s">
        <v>39</v>
      </c>
      <c r="D414" t="s">
        <v>58</v>
      </c>
      <c r="E414" t="s">
        <v>54</v>
      </c>
      <c r="F414" t="s">
        <v>35</v>
      </c>
      <c r="G414" t="s">
        <v>65</v>
      </c>
      <c r="H414" t="s">
        <v>47</v>
      </c>
      <c r="I414">
        <v>5</v>
      </c>
      <c r="J414">
        <v>23017</v>
      </c>
      <c r="K414">
        <v>97822.25</v>
      </c>
      <c r="L414" t="s">
        <v>61</v>
      </c>
      <c r="M414">
        <v>15</v>
      </c>
      <c r="N414">
        <v>18583.68</v>
      </c>
    </row>
    <row r="415" spans="1:14" ht="14.25" customHeight="1" x14ac:dyDescent="0.3">
      <c r="A415">
        <v>1414</v>
      </c>
      <c r="B415" t="s">
        <v>181</v>
      </c>
      <c r="C415" t="s">
        <v>44</v>
      </c>
      <c r="D415" t="s">
        <v>53</v>
      </c>
      <c r="E415" t="s">
        <v>54</v>
      </c>
      <c r="F415" t="s">
        <v>35</v>
      </c>
      <c r="G415" t="s">
        <v>36</v>
      </c>
      <c r="H415" t="s">
        <v>47</v>
      </c>
      <c r="I415">
        <v>3</v>
      </c>
      <c r="J415">
        <v>5964</v>
      </c>
      <c r="K415">
        <v>16997.400000000001</v>
      </c>
      <c r="L415" t="s">
        <v>61</v>
      </c>
      <c r="M415">
        <v>5</v>
      </c>
      <c r="N415">
        <v>2141.98</v>
      </c>
    </row>
    <row r="416" spans="1:14" ht="14.25" customHeight="1" x14ac:dyDescent="0.3">
      <c r="A416">
        <v>1415</v>
      </c>
      <c r="B416" t="s">
        <v>182</v>
      </c>
      <c r="C416" t="s">
        <v>39</v>
      </c>
      <c r="D416" t="s">
        <v>58</v>
      </c>
      <c r="E416" t="s">
        <v>54</v>
      </c>
      <c r="F416" t="s">
        <v>45</v>
      </c>
      <c r="G416" t="s">
        <v>57</v>
      </c>
      <c r="H416" t="s">
        <v>37</v>
      </c>
      <c r="I416">
        <v>3</v>
      </c>
      <c r="J416">
        <v>41302</v>
      </c>
      <c r="K416">
        <v>105320.1</v>
      </c>
      <c r="L416" t="s">
        <v>48</v>
      </c>
      <c r="M416">
        <v>15</v>
      </c>
      <c r="N416">
        <v>30747.77</v>
      </c>
    </row>
    <row r="417" spans="1:14" ht="14.25" customHeight="1" x14ac:dyDescent="0.3">
      <c r="A417">
        <v>1416</v>
      </c>
      <c r="B417" t="s">
        <v>182</v>
      </c>
      <c r="C417" t="s">
        <v>60</v>
      </c>
      <c r="D417" t="s">
        <v>66</v>
      </c>
      <c r="E417" t="s">
        <v>34</v>
      </c>
      <c r="F417" t="s">
        <v>45</v>
      </c>
      <c r="G417" t="s">
        <v>57</v>
      </c>
      <c r="H417" t="s">
        <v>47</v>
      </c>
      <c r="I417">
        <v>1</v>
      </c>
      <c r="J417">
        <v>35634</v>
      </c>
      <c r="K417">
        <v>32070.6</v>
      </c>
      <c r="L417" t="s">
        <v>48</v>
      </c>
      <c r="M417">
        <v>10</v>
      </c>
      <c r="N417">
        <v>3696.88</v>
      </c>
    </row>
    <row r="418" spans="1:14" ht="14.25" customHeight="1" x14ac:dyDescent="0.3">
      <c r="A418">
        <v>1417</v>
      </c>
      <c r="B418" t="s">
        <v>182</v>
      </c>
      <c r="C418" t="s">
        <v>32</v>
      </c>
      <c r="D418" t="s">
        <v>40</v>
      </c>
      <c r="E418" t="s">
        <v>41</v>
      </c>
      <c r="F418" t="s">
        <v>51</v>
      </c>
      <c r="G418" t="s">
        <v>52</v>
      </c>
      <c r="H418" t="s">
        <v>37</v>
      </c>
      <c r="I418">
        <v>2</v>
      </c>
      <c r="J418">
        <v>45597</v>
      </c>
      <c r="K418">
        <v>77514.899999999994</v>
      </c>
      <c r="L418" t="s">
        <v>38</v>
      </c>
      <c r="M418">
        <v>15</v>
      </c>
      <c r="N418">
        <v>19293.849999999999</v>
      </c>
    </row>
    <row r="419" spans="1:14" ht="14.25" customHeight="1" x14ac:dyDescent="0.3">
      <c r="A419">
        <v>1418</v>
      </c>
      <c r="B419" t="s">
        <v>182</v>
      </c>
      <c r="C419" t="s">
        <v>60</v>
      </c>
      <c r="D419" t="s">
        <v>66</v>
      </c>
      <c r="E419" t="s">
        <v>34</v>
      </c>
      <c r="F419" t="s">
        <v>51</v>
      </c>
      <c r="G419" t="s">
        <v>63</v>
      </c>
      <c r="H419" t="s">
        <v>42</v>
      </c>
      <c r="I419">
        <v>4</v>
      </c>
      <c r="J419">
        <v>2951</v>
      </c>
      <c r="K419">
        <v>11804</v>
      </c>
      <c r="L419" t="s">
        <v>38</v>
      </c>
      <c r="M419">
        <v>0</v>
      </c>
      <c r="N419">
        <v>1946.64</v>
      </c>
    </row>
    <row r="420" spans="1:14" ht="14.25" customHeight="1" x14ac:dyDescent="0.3">
      <c r="A420">
        <v>1419</v>
      </c>
      <c r="B420" t="s">
        <v>183</v>
      </c>
      <c r="C420" t="s">
        <v>50</v>
      </c>
      <c r="D420" t="s">
        <v>66</v>
      </c>
      <c r="E420" t="s">
        <v>34</v>
      </c>
      <c r="F420" t="s">
        <v>35</v>
      </c>
      <c r="G420" t="s">
        <v>36</v>
      </c>
      <c r="H420" t="s">
        <v>37</v>
      </c>
      <c r="I420">
        <v>4</v>
      </c>
      <c r="J420">
        <v>43842</v>
      </c>
      <c r="K420">
        <v>166599.6</v>
      </c>
      <c r="L420" t="s">
        <v>38</v>
      </c>
      <c r="M420">
        <v>5</v>
      </c>
      <c r="N420">
        <v>17176.16</v>
      </c>
    </row>
    <row r="421" spans="1:14" ht="14.25" customHeight="1" x14ac:dyDescent="0.3">
      <c r="A421">
        <v>1420</v>
      </c>
      <c r="B421" t="s">
        <v>183</v>
      </c>
      <c r="C421" t="s">
        <v>32</v>
      </c>
      <c r="D421" t="s">
        <v>66</v>
      </c>
      <c r="E421" t="s">
        <v>34</v>
      </c>
      <c r="F421" t="s">
        <v>51</v>
      </c>
      <c r="G421" t="s">
        <v>52</v>
      </c>
      <c r="H421" t="s">
        <v>42</v>
      </c>
      <c r="I421">
        <v>2</v>
      </c>
      <c r="J421">
        <v>47660</v>
      </c>
      <c r="K421">
        <v>95320</v>
      </c>
      <c r="L421" t="s">
        <v>38</v>
      </c>
      <c r="M421">
        <v>0</v>
      </c>
      <c r="N421">
        <v>10894.01</v>
      </c>
    </row>
    <row r="422" spans="1:14" ht="14.25" customHeight="1" x14ac:dyDescent="0.3">
      <c r="A422">
        <v>1421</v>
      </c>
      <c r="B422" t="s">
        <v>184</v>
      </c>
      <c r="C422" t="s">
        <v>50</v>
      </c>
      <c r="D422" t="s">
        <v>66</v>
      </c>
      <c r="E422" t="s">
        <v>34</v>
      </c>
      <c r="F422" t="s">
        <v>51</v>
      </c>
      <c r="G422" t="s">
        <v>62</v>
      </c>
      <c r="H422" t="s">
        <v>55</v>
      </c>
      <c r="I422">
        <v>3</v>
      </c>
      <c r="J422">
        <v>8028</v>
      </c>
      <c r="K422">
        <v>22879.8</v>
      </c>
      <c r="L422" t="s">
        <v>43</v>
      </c>
      <c r="M422">
        <v>5</v>
      </c>
      <c r="N422">
        <v>2337.84</v>
      </c>
    </row>
    <row r="423" spans="1:14" ht="14.25" customHeight="1" x14ac:dyDescent="0.3">
      <c r="A423">
        <v>1422</v>
      </c>
      <c r="B423" t="s">
        <v>184</v>
      </c>
      <c r="C423" t="s">
        <v>44</v>
      </c>
      <c r="D423" t="s">
        <v>66</v>
      </c>
      <c r="E423" t="s">
        <v>34</v>
      </c>
      <c r="F423" t="s">
        <v>51</v>
      </c>
      <c r="G423" t="s">
        <v>63</v>
      </c>
      <c r="H423" t="s">
        <v>42</v>
      </c>
      <c r="I423">
        <v>1</v>
      </c>
      <c r="J423">
        <v>49222</v>
      </c>
      <c r="K423">
        <v>46760.9</v>
      </c>
      <c r="L423" t="s">
        <v>61</v>
      </c>
      <c r="M423">
        <v>5</v>
      </c>
      <c r="N423">
        <v>12141.69</v>
      </c>
    </row>
    <row r="424" spans="1:14" ht="14.25" customHeight="1" x14ac:dyDescent="0.3">
      <c r="A424">
        <v>1423</v>
      </c>
      <c r="B424" t="s">
        <v>185</v>
      </c>
      <c r="C424" t="s">
        <v>50</v>
      </c>
      <c r="D424" t="s">
        <v>66</v>
      </c>
      <c r="E424" t="s">
        <v>34</v>
      </c>
      <c r="F424" t="s">
        <v>51</v>
      </c>
      <c r="G424" t="s">
        <v>62</v>
      </c>
      <c r="H424" t="s">
        <v>55</v>
      </c>
      <c r="I424">
        <v>2</v>
      </c>
      <c r="J424">
        <v>14250</v>
      </c>
      <c r="K424">
        <v>28500</v>
      </c>
      <c r="L424" t="s">
        <v>61</v>
      </c>
      <c r="M424">
        <v>0</v>
      </c>
      <c r="N424">
        <v>6254.15</v>
      </c>
    </row>
    <row r="425" spans="1:14" ht="14.25" customHeight="1" x14ac:dyDescent="0.3">
      <c r="A425">
        <v>1424</v>
      </c>
      <c r="B425" t="s">
        <v>185</v>
      </c>
      <c r="C425" t="s">
        <v>44</v>
      </c>
      <c r="D425" t="s">
        <v>53</v>
      </c>
      <c r="E425" t="s">
        <v>54</v>
      </c>
      <c r="F425" t="s">
        <v>45</v>
      </c>
      <c r="G425" t="s">
        <v>57</v>
      </c>
      <c r="H425" t="s">
        <v>42</v>
      </c>
      <c r="I425">
        <v>1</v>
      </c>
      <c r="J425">
        <v>6102</v>
      </c>
      <c r="K425">
        <v>5186.7</v>
      </c>
      <c r="L425" t="s">
        <v>61</v>
      </c>
      <c r="M425">
        <v>15</v>
      </c>
      <c r="N425">
        <v>1313.89</v>
      </c>
    </row>
    <row r="426" spans="1:14" ht="14.25" customHeight="1" x14ac:dyDescent="0.3">
      <c r="A426">
        <v>1425</v>
      </c>
      <c r="B426" t="s">
        <v>185</v>
      </c>
      <c r="C426" t="s">
        <v>50</v>
      </c>
      <c r="D426" t="s">
        <v>58</v>
      </c>
      <c r="E426" t="s">
        <v>54</v>
      </c>
      <c r="F426" t="s">
        <v>51</v>
      </c>
      <c r="G426" t="s">
        <v>62</v>
      </c>
      <c r="H426" t="s">
        <v>47</v>
      </c>
      <c r="I426">
        <v>3</v>
      </c>
      <c r="J426">
        <v>44673</v>
      </c>
      <c r="K426">
        <v>120617.1</v>
      </c>
      <c r="L426" t="s">
        <v>43</v>
      </c>
      <c r="M426">
        <v>10</v>
      </c>
      <c r="N426">
        <v>34188.82</v>
      </c>
    </row>
    <row r="427" spans="1:14" ht="14.25" customHeight="1" x14ac:dyDescent="0.3">
      <c r="A427">
        <v>1426</v>
      </c>
      <c r="B427" t="s">
        <v>186</v>
      </c>
      <c r="C427" t="s">
        <v>60</v>
      </c>
      <c r="D427" t="s">
        <v>66</v>
      </c>
      <c r="E427" t="s">
        <v>34</v>
      </c>
      <c r="F427" t="s">
        <v>51</v>
      </c>
      <c r="G427" t="s">
        <v>62</v>
      </c>
      <c r="H427" t="s">
        <v>47</v>
      </c>
      <c r="I427">
        <v>1</v>
      </c>
      <c r="J427">
        <v>39777</v>
      </c>
      <c r="K427">
        <v>37788.15</v>
      </c>
      <c r="L427" t="s">
        <v>38</v>
      </c>
      <c r="M427">
        <v>5</v>
      </c>
      <c r="N427">
        <v>6444.37</v>
      </c>
    </row>
    <row r="428" spans="1:14" ht="14.25" customHeight="1" x14ac:dyDescent="0.3">
      <c r="A428">
        <v>1427</v>
      </c>
      <c r="B428" t="s">
        <v>186</v>
      </c>
      <c r="C428" t="s">
        <v>39</v>
      </c>
      <c r="D428" t="s">
        <v>66</v>
      </c>
      <c r="E428" t="s">
        <v>34</v>
      </c>
      <c r="F428" t="s">
        <v>45</v>
      </c>
      <c r="G428" t="s">
        <v>46</v>
      </c>
      <c r="H428" t="s">
        <v>42</v>
      </c>
      <c r="I428">
        <v>4</v>
      </c>
      <c r="J428">
        <v>4266</v>
      </c>
      <c r="K428">
        <v>14504.4</v>
      </c>
      <c r="L428" t="s">
        <v>61</v>
      </c>
      <c r="M428">
        <v>15</v>
      </c>
      <c r="N428">
        <v>1526.05</v>
      </c>
    </row>
    <row r="429" spans="1:14" ht="14.25" customHeight="1" x14ac:dyDescent="0.3">
      <c r="A429">
        <v>1428</v>
      </c>
      <c r="B429" t="s">
        <v>186</v>
      </c>
      <c r="C429" t="s">
        <v>32</v>
      </c>
      <c r="D429" t="s">
        <v>66</v>
      </c>
      <c r="E429" t="s">
        <v>34</v>
      </c>
      <c r="F429" t="s">
        <v>45</v>
      </c>
      <c r="G429" t="s">
        <v>46</v>
      </c>
      <c r="H429" t="s">
        <v>37</v>
      </c>
      <c r="I429">
        <v>3</v>
      </c>
      <c r="J429">
        <v>18571</v>
      </c>
      <c r="K429">
        <v>47356.05</v>
      </c>
      <c r="L429" t="s">
        <v>43</v>
      </c>
      <c r="M429">
        <v>15</v>
      </c>
      <c r="N429">
        <v>12248.93</v>
      </c>
    </row>
    <row r="430" spans="1:14" ht="14.25" customHeight="1" x14ac:dyDescent="0.3">
      <c r="A430">
        <v>1429</v>
      </c>
      <c r="B430" t="s">
        <v>186</v>
      </c>
      <c r="C430" t="s">
        <v>39</v>
      </c>
      <c r="D430" t="s">
        <v>33</v>
      </c>
      <c r="E430" t="s">
        <v>34</v>
      </c>
      <c r="F430" t="s">
        <v>45</v>
      </c>
      <c r="G430" t="s">
        <v>69</v>
      </c>
      <c r="H430" t="s">
        <v>37</v>
      </c>
      <c r="I430">
        <v>1</v>
      </c>
      <c r="J430">
        <v>40728</v>
      </c>
      <c r="K430">
        <v>36655.199999999997</v>
      </c>
      <c r="L430" t="s">
        <v>43</v>
      </c>
      <c r="M430">
        <v>10</v>
      </c>
      <c r="N430">
        <v>6720.76</v>
      </c>
    </row>
    <row r="431" spans="1:14" ht="14.25" customHeight="1" x14ac:dyDescent="0.3">
      <c r="A431">
        <v>1430</v>
      </c>
      <c r="B431" t="s">
        <v>187</v>
      </c>
      <c r="C431" t="s">
        <v>32</v>
      </c>
      <c r="D431" t="s">
        <v>53</v>
      </c>
      <c r="E431" t="s">
        <v>54</v>
      </c>
      <c r="F431" t="s">
        <v>45</v>
      </c>
      <c r="G431" t="s">
        <v>57</v>
      </c>
      <c r="H431" t="s">
        <v>37</v>
      </c>
      <c r="I431">
        <v>1</v>
      </c>
      <c r="J431">
        <v>42028</v>
      </c>
      <c r="K431">
        <v>37825.199999999997</v>
      </c>
      <c r="L431" t="s">
        <v>43</v>
      </c>
      <c r="M431">
        <v>10</v>
      </c>
      <c r="N431">
        <v>5835.59</v>
      </c>
    </row>
    <row r="432" spans="1:14" ht="14.25" customHeight="1" x14ac:dyDescent="0.3">
      <c r="A432">
        <v>1431</v>
      </c>
      <c r="B432" t="s">
        <v>187</v>
      </c>
      <c r="C432" t="s">
        <v>50</v>
      </c>
      <c r="D432" t="s">
        <v>40</v>
      </c>
      <c r="E432" t="s">
        <v>41</v>
      </c>
      <c r="F432" t="s">
        <v>51</v>
      </c>
      <c r="G432" t="s">
        <v>52</v>
      </c>
      <c r="H432" t="s">
        <v>37</v>
      </c>
      <c r="I432">
        <v>5</v>
      </c>
      <c r="J432">
        <v>6476</v>
      </c>
      <c r="K432">
        <v>29142</v>
      </c>
      <c r="L432" t="s">
        <v>61</v>
      </c>
      <c r="M432">
        <v>10</v>
      </c>
      <c r="N432">
        <v>5000.83</v>
      </c>
    </row>
    <row r="433" spans="1:14" ht="14.25" customHeight="1" x14ac:dyDescent="0.3">
      <c r="A433">
        <v>1432</v>
      </c>
      <c r="B433" t="s">
        <v>187</v>
      </c>
      <c r="C433" t="s">
        <v>50</v>
      </c>
      <c r="D433" t="s">
        <v>58</v>
      </c>
      <c r="E433" t="s">
        <v>54</v>
      </c>
      <c r="F433" t="s">
        <v>45</v>
      </c>
      <c r="G433" t="s">
        <v>46</v>
      </c>
      <c r="H433" t="s">
        <v>55</v>
      </c>
      <c r="I433">
        <v>1</v>
      </c>
      <c r="J433">
        <v>5268</v>
      </c>
      <c r="K433">
        <v>4477.8</v>
      </c>
      <c r="L433" t="s">
        <v>38</v>
      </c>
      <c r="M433">
        <v>15</v>
      </c>
      <c r="N433">
        <v>718.9</v>
      </c>
    </row>
    <row r="434" spans="1:14" ht="14.25" customHeight="1" x14ac:dyDescent="0.3">
      <c r="A434">
        <v>1433</v>
      </c>
      <c r="B434" t="s">
        <v>187</v>
      </c>
      <c r="C434" t="s">
        <v>39</v>
      </c>
      <c r="D434" t="s">
        <v>40</v>
      </c>
      <c r="E434" t="s">
        <v>41</v>
      </c>
      <c r="F434" t="s">
        <v>45</v>
      </c>
      <c r="G434" t="s">
        <v>57</v>
      </c>
      <c r="H434" t="s">
        <v>37</v>
      </c>
      <c r="I434">
        <v>3</v>
      </c>
      <c r="J434">
        <v>21815</v>
      </c>
      <c r="K434">
        <v>58900.5</v>
      </c>
      <c r="L434" t="s">
        <v>61</v>
      </c>
      <c r="M434">
        <v>10</v>
      </c>
      <c r="N434">
        <v>8987.3700000000008</v>
      </c>
    </row>
    <row r="435" spans="1:14" ht="14.25" customHeight="1" x14ac:dyDescent="0.3">
      <c r="A435">
        <v>1434</v>
      </c>
      <c r="B435" t="s">
        <v>187</v>
      </c>
      <c r="C435" t="s">
        <v>32</v>
      </c>
      <c r="D435" t="s">
        <v>66</v>
      </c>
      <c r="E435" t="s">
        <v>34</v>
      </c>
      <c r="F435" t="s">
        <v>45</v>
      </c>
      <c r="G435" t="s">
        <v>57</v>
      </c>
      <c r="H435" t="s">
        <v>37</v>
      </c>
      <c r="I435">
        <v>2</v>
      </c>
      <c r="J435">
        <v>18576</v>
      </c>
      <c r="K435">
        <v>31579.200000000001</v>
      </c>
      <c r="L435" t="s">
        <v>48</v>
      </c>
      <c r="M435">
        <v>15</v>
      </c>
      <c r="N435">
        <v>3627.38</v>
      </c>
    </row>
    <row r="436" spans="1:14" ht="14.25" customHeight="1" x14ac:dyDescent="0.3">
      <c r="A436">
        <v>1435</v>
      </c>
      <c r="B436" t="s">
        <v>188</v>
      </c>
      <c r="C436" t="s">
        <v>50</v>
      </c>
      <c r="D436" t="s">
        <v>40</v>
      </c>
      <c r="E436" t="s">
        <v>41</v>
      </c>
      <c r="F436" t="s">
        <v>35</v>
      </c>
      <c r="G436" t="s">
        <v>67</v>
      </c>
      <c r="H436" t="s">
        <v>55</v>
      </c>
      <c r="I436">
        <v>5</v>
      </c>
      <c r="J436">
        <v>35573</v>
      </c>
      <c r="K436">
        <v>177865</v>
      </c>
      <c r="L436" t="s">
        <v>48</v>
      </c>
      <c r="M436">
        <v>0</v>
      </c>
      <c r="N436">
        <v>25722.02</v>
      </c>
    </row>
    <row r="437" spans="1:14" ht="14.25" customHeight="1" x14ac:dyDescent="0.3">
      <c r="A437">
        <v>1436</v>
      </c>
      <c r="B437" t="s">
        <v>188</v>
      </c>
      <c r="C437" t="s">
        <v>44</v>
      </c>
      <c r="D437" t="s">
        <v>33</v>
      </c>
      <c r="E437" t="s">
        <v>34</v>
      </c>
      <c r="F437" t="s">
        <v>45</v>
      </c>
      <c r="G437" t="s">
        <v>46</v>
      </c>
      <c r="H437" t="s">
        <v>47</v>
      </c>
      <c r="I437">
        <v>3</v>
      </c>
      <c r="J437">
        <v>538</v>
      </c>
      <c r="K437">
        <v>1371.9</v>
      </c>
      <c r="L437" t="s">
        <v>48</v>
      </c>
      <c r="M437">
        <v>15</v>
      </c>
      <c r="N437">
        <v>333.42</v>
      </c>
    </row>
    <row r="438" spans="1:14" ht="14.25" customHeight="1" x14ac:dyDescent="0.3">
      <c r="A438">
        <v>1437</v>
      </c>
      <c r="B438" t="s">
        <v>189</v>
      </c>
      <c r="C438" t="s">
        <v>60</v>
      </c>
      <c r="D438" t="s">
        <v>58</v>
      </c>
      <c r="E438" t="s">
        <v>54</v>
      </c>
      <c r="F438" t="s">
        <v>51</v>
      </c>
      <c r="G438" t="s">
        <v>52</v>
      </c>
      <c r="H438" t="s">
        <v>37</v>
      </c>
      <c r="I438">
        <v>1</v>
      </c>
      <c r="J438">
        <v>2408</v>
      </c>
      <c r="K438">
        <v>2287.6</v>
      </c>
      <c r="L438" t="s">
        <v>38</v>
      </c>
      <c r="M438">
        <v>5</v>
      </c>
      <c r="N438">
        <v>681.81</v>
      </c>
    </row>
    <row r="439" spans="1:14" ht="14.25" customHeight="1" x14ac:dyDescent="0.3">
      <c r="A439">
        <v>1438</v>
      </c>
      <c r="B439" t="s">
        <v>189</v>
      </c>
      <c r="C439" t="s">
        <v>44</v>
      </c>
      <c r="D439" t="s">
        <v>33</v>
      </c>
      <c r="E439" t="s">
        <v>34</v>
      </c>
      <c r="F439" t="s">
        <v>35</v>
      </c>
      <c r="G439" t="s">
        <v>36</v>
      </c>
      <c r="H439" t="s">
        <v>55</v>
      </c>
      <c r="I439">
        <v>4</v>
      </c>
      <c r="J439">
        <v>36588</v>
      </c>
      <c r="K439">
        <v>146352</v>
      </c>
      <c r="L439" t="s">
        <v>43</v>
      </c>
      <c r="M439">
        <v>0</v>
      </c>
      <c r="N439">
        <v>29096.080000000002</v>
      </c>
    </row>
    <row r="440" spans="1:14" ht="14.25" customHeight="1" x14ac:dyDescent="0.3">
      <c r="A440">
        <v>1439</v>
      </c>
      <c r="B440" t="s">
        <v>189</v>
      </c>
      <c r="C440" t="s">
        <v>32</v>
      </c>
      <c r="D440" t="s">
        <v>53</v>
      </c>
      <c r="E440" t="s">
        <v>54</v>
      </c>
      <c r="F440" t="s">
        <v>35</v>
      </c>
      <c r="G440" t="s">
        <v>67</v>
      </c>
      <c r="H440" t="s">
        <v>47</v>
      </c>
      <c r="I440">
        <v>2</v>
      </c>
      <c r="J440">
        <v>49574</v>
      </c>
      <c r="K440">
        <v>89233.2</v>
      </c>
      <c r="L440" t="s">
        <v>61</v>
      </c>
      <c r="M440">
        <v>10</v>
      </c>
      <c r="N440">
        <v>22182.26</v>
      </c>
    </row>
    <row r="441" spans="1:14" ht="14.25" customHeight="1" x14ac:dyDescent="0.3">
      <c r="A441">
        <v>1440</v>
      </c>
      <c r="B441" t="s">
        <v>190</v>
      </c>
      <c r="C441" t="s">
        <v>32</v>
      </c>
      <c r="D441" t="s">
        <v>40</v>
      </c>
      <c r="E441" t="s">
        <v>41</v>
      </c>
      <c r="F441" t="s">
        <v>45</v>
      </c>
      <c r="G441" t="s">
        <v>57</v>
      </c>
      <c r="H441" t="s">
        <v>47</v>
      </c>
      <c r="I441">
        <v>5</v>
      </c>
      <c r="J441">
        <v>49966</v>
      </c>
      <c r="K441">
        <v>249830</v>
      </c>
      <c r="L441" t="s">
        <v>61</v>
      </c>
      <c r="M441">
        <v>0</v>
      </c>
      <c r="N441">
        <v>56661.33</v>
      </c>
    </row>
    <row r="442" spans="1:14" ht="14.25" customHeight="1" x14ac:dyDescent="0.3">
      <c r="A442">
        <v>1441</v>
      </c>
      <c r="B442" t="s">
        <v>190</v>
      </c>
      <c r="C442" t="s">
        <v>32</v>
      </c>
      <c r="D442" t="s">
        <v>58</v>
      </c>
      <c r="E442" t="s">
        <v>54</v>
      </c>
      <c r="F442" t="s">
        <v>35</v>
      </c>
      <c r="G442" t="s">
        <v>65</v>
      </c>
      <c r="H442" t="s">
        <v>42</v>
      </c>
      <c r="I442">
        <v>2</v>
      </c>
      <c r="J442">
        <v>24684</v>
      </c>
      <c r="K442">
        <v>49368</v>
      </c>
      <c r="L442" t="s">
        <v>48</v>
      </c>
      <c r="M442">
        <v>0</v>
      </c>
      <c r="N442">
        <v>11713.39</v>
      </c>
    </row>
    <row r="443" spans="1:14" ht="14.25" customHeight="1" x14ac:dyDescent="0.3">
      <c r="A443">
        <v>1442</v>
      </c>
      <c r="B443" t="s">
        <v>190</v>
      </c>
      <c r="C443" t="s">
        <v>44</v>
      </c>
      <c r="D443" t="s">
        <v>66</v>
      </c>
      <c r="E443" t="s">
        <v>34</v>
      </c>
      <c r="F443" t="s">
        <v>35</v>
      </c>
      <c r="G443" t="s">
        <v>65</v>
      </c>
      <c r="H443" t="s">
        <v>42</v>
      </c>
      <c r="I443">
        <v>4</v>
      </c>
      <c r="J443">
        <v>49891</v>
      </c>
      <c r="K443">
        <v>179607.6</v>
      </c>
      <c r="L443" t="s">
        <v>43</v>
      </c>
      <c r="M443">
        <v>10</v>
      </c>
      <c r="N443">
        <v>53662.69</v>
      </c>
    </row>
    <row r="444" spans="1:14" ht="14.25" customHeight="1" x14ac:dyDescent="0.3">
      <c r="A444">
        <v>1443</v>
      </c>
      <c r="B444" t="s">
        <v>190</v>
      </c>
      <c r="C444" t="s">
        <v>39</v>
      </c>
      <c r="D444" t="s">
        <v>66</v>
      </c>
      <c r="E444" t="s">
        <v>34</v>
      </c>
      <c r="F444" t="s">
        <v>51</v>
      </c>
      <c r="G444" t="s">
        <v>52</v>
      </c>
      <c r="H444" t="s">
        <v>55</v>
      </c>
      <c r="I444">
        <v>5</v>
      </c>
      <c r="J444">
        <v>3969</v>
      </c>
      <c r="K444">
        <v>17860.5</v>
      </c>
      <c r="L444" t="s">
        <v>38</v>
      </c>
      <c r="M444">
        <v>10</v>
      </c>
      <c r="N444">
        <v>5342.84</v>
      </c>
    </row>
    <row r="445" spans="1:14" ht="14.25" customHeight="1" x14ac:dyDescent="0.3">
      <c r="A445">
        <v>1444</v>
      </c>
      <c r="B445" t="s">
        <v>190</v>
      </c>
      <c r="C445" t="s">
        <v>50</v>
      </c>
      <c r="D445" t="s">
        <v>66</v>
      </c>
      <c r="E445" t="s">
        <v>34</v>
      </c>
      <c r="F445" t="s">
        <v>45</v>
      </c>
      <c r="G445" t="s">
        <v>69</v>
      </c>
      <c r="H445" t="s">
        <v>47</v>
      </c>
      <c r="I445">
        <v>2</v>
      </c>
      <c r="J445">
        <v>18704</v>
      </c>
      <c r="K445">
        <v>37408</v>
      </c>
      <c r="L445" t="s">
        <v>61</v>
      </c>
      <c r="M445">
        <v>0</v>
      </c>
      <c r="N445">
        <v>8155.95</v>
      </c>
    </row>
    <row r="446" spans="1:14" ht="14.25" customHeight="1" x14ac:dyDescent="0.3">
      <c r="A446">
        <v>1445</v>
      </c>
      <c r="B446" t="s">
        <v>191</v>
      </c>
      <c r="C446" t="s">
        <v>44</v>
      </c>
      <c r="D446" t="s">
        <v>40</v>
      </c>
      <c r="E446" t="s">
        <v>41</v>
      </c>
      <c r="F446" t="s">
        <v>35</v>
      </c>
      <c r="G446" t="s">
        <v>65</v>
      </c>
      <c r="H446" t="s">
        <v>55</v>
      </c>
      <c r="I446">
        <v>1</v>
      </c>
      <c r="J446">
        <v>41656</v>
      </c>
      <c r="K446">
        <v>37490.400000000001</v>
      </c>
      <c r="L446" t="s">
        <v>61</v>
      </c>
      <c r="M446">
        <v>10</v>
      </c>
      <c r="N446">
        <v>9972.5400000000009</v>
      </c>
    </row>
    <row r="447" spans="1:14" ht="14.25" customHeight="1" x14ac:dyDescent="0.3">
      <c r="A447">
        <v>1446</v>
      </c>
      <c r="B447" t="s">
        <v>191</v>
      </c>
      <c r="C447" t="s">
        <v>44</v>
      </c>
      <c r="D447" t="s">
        <v>40</v>
      </c>
      <c r="E447" t="s">
        <v>41</v>
      </c>
      <c r="F447" t="s">
        <v>35</v>
      </c>
      <c r="G447" t="s">
        <v>36</v>
      </c>
      <c r="H447" t="s">
        <v>37</v>
      </c>
      <c r="I447">
        <v>2</v>
      </c>
      <c r="J447">
        <v>11630</v>
      </c>
      <c r="K447">
        <v>20934</v>
      </c>
      <c r="L447" t="s">
        <v>43</v>
      </c>
      <c r="M447">
        <v>10</v>
      </c>
      <c r="N447">
        <v>3819.22</v>
      </c>
    </row>
    <row r="448" spans="1:14" ht="14.25" customHeight="1" x14ac:dyDescent="0.3">
      <c r="A448">
        <v>1447</v>
      </c>
      <c r="B448" t="s">
        <v>191</v>
      </c>
      <c r="C448" t="s">
        <v>39</v>
      </c>
      <c r="D448" t="s">
        <v>40</v>
      </c>
      <c r="E448" t="s">
        <v>41</v>
      </c>
      <c r="F448" t="s">
        <v>51</v>
      </c>
      <c r="G448" t="s">
        <v>62</v>
      </c>
      <c r="H448" t="s">
        <v>42</v>
      </c>
      <c r="I448">
        <v>1</v>
      </c>
      <c r="J448">
        <v>35499</v>
      </c>
      <c r="K448">
        <v>35499</v>
      </c>
      <c r="L448" t="s">
        <v>48</v>
      </c>
      <c r="M448">
        <v>0</v>
      </c>
      <c r="N448">
        <v>4078.78</v>
      </c>
    </row>
    <row r="449" spans="1:14" ht="14.25" customHeight="1" x14ac:dyDescent="0.3">
      <c r="A449">
        <v>1448</v>
      </c>
      <c r="B449" t="s">
        <v>192</v>
      </c>
      <c r="C449" t="s">
        <v>50</v>
      </c>
      <c r="D449" t="s">
        <v>33</v>
      </c>
      <c r="E449" t="s">
        <v>34</v>
      </c>
      <c r="F449" t="s">
        <v>45</v>
      </c>
      <c r="G449" t="s">
        <v>57</v>
      </c>
      <c r="H449" t="s">
        <v>55</v>
      </c>
      <c r="I449">
        <v>3</v>
      </c>
      <c r="J449">
        <v>10025</v>
      </c>
      <c r="K449">
        <v>25563.75</v>
      </c>
      <c r="L449" t="s">
        <v>38</v>
      </c>
      <c r="M449">
        <v>15</v>
      </c>
      <c r="N449">
        <v>4325.95</v>
      </c>
    </row>
    <row r="450" spans="1:14" ht="14.25" customHeight="1" x14ac:dyDescent="0.3">
      <c r="A450">
        <v>1449</v>
      </c>
      <c r="B450" t="s">
        <v>192</v>
      </c>
      <c r="C450" t="s">
        <v>44</v>
      </c>
      <c r="D450" t="s">
        <v>58</v>
      </c>
      <c r="E450" t="s">
        <v>54</v>
      </c>
      <c r="F450" t="s">
        <v>45</v>
      </c>
      <c r="G450" t="s">
        <v>57</v>
      </c>
      <c r="H450" t="s">
        <v>37</v>
      </c>
      <c r="I450">
        <v>2</v>
      </c>
      <c r="J450">
        <v>37188</v>
      </c>
      <c r="K450">
        <v>63219.6</v>
      </c>
      <c r="L450" t="s">
        <v>48</v>
      </c>
      <c r="M450">
        <v>15</v>
      </c>
      <c r="N450">
        <v>6556.94</v>
      </c>
    </row>
    <row r="451" spans="1:14" ht="14.25" customHeight="1" x14ac:dyDescent="0.3">
      <c r="A451">
        <v>1450</v>
      </c>
      <c r="B451" t="s">
        <v>192</v>
      </c>
      <c r="C451" t="s">
        <v>60</v>
      </c>
      <c r="D451" t="s">
        <v>33</v>
      </c>
      <c r="E451" t="s">
        <v>34</v>
      </c>
      <c r="F451" t="s">
        <v>51</v>
      </c>
      <c r="G451" t="s">
        <v>52</v>
      </c>
      <c r="H451" t="s">
        <v>37</v>
      </c>
      <c r="I451">
        <v>2</v>
      </c>
      <c r="J451">
        <v>18727</v>
      </c>
      <c r="K451">
        <v>35581.300000000003</v>
      </c>
      <c r="L451" t="s">
        <v>61</v>
      </c>
      <c r="M451">
        <v>5</v>
      </c>
      <c r="N451">
        <v>10446.969999999999</v>
      </c>
    </row>
    <row r="452" spans="1:14" ht="14.25" customHeight="1" x14ac:dyDescent="0.3">
      <c r="A452">
        <v>1451</v>
      </c>
      <c r="B452" t="s">
        <v>193</v>
      </c>
      <c r="C452" t="s">
        <v>32</v>
      </c>
      <c r="D452" t="s">
        <v>33</v>
      </c>
      <c r="E452" t="s">
        <v>34</v>
      </c>
      <c r="F452" t="s">
        <v>35</v>
      </c>
      <c r="G452" t="s">
        <v>67</v>
      </c>
      <c r="H452" t="s">
        <v>47</v>
      </c>
      <c r="I452">
        <v>2</v>
      </c>
      <c r="J452">
        <v>11987</v>
      </c>
      <c r="K452">
        <v>23974</v>
      </c>
      <c r="L452" t="s">
        <v>48</v>
      </c>
      <c r="M452">
        <v>0</v>
      </c>
      <c r="N452">
        <v>6517.24</v>
      </c>
    </row>
    <row r="453" spans="1:14" ht="14.25" customHeight="1" x14ac:dyDescent="0.3">
      <c r="A453">
        <v>1452</v>
      </c>
      <c r="B453" t="s">
        <v>193</v>
      </c>
      <c r="C453" t="s">
        <v>50</v>
      </c>
      <c r="D453" t="s">
        <v>53</v>
      </c>
      <c r="E453" t="s">
        <v>54</v>
      </c>
      <c r="F453" t="s">
        <v>51</v>
      </c>
      <c r="G453" t="s">
        <v>62</v>
      </c>
      <c r="H453" t="s">
        <v>47</v>
      </c>
      <c r="I453">
        <v>5</v>
      </c>
      <c r="J453">
        <v>26775</v>
      </c>
      <c r="K453">
        <v>127181.25</v>
      </c>
      <c r="L453" t="s">
        <v>48</v>
      </c>
      <c r="M453">
        <v>5</v>
      </c>
      <c r="N453">
        <v>31821.05</v>
      </c>
    </row>
    <row r="454" spans="1:14" ht="14.25" customHeight="1" x14ac:dyDescent="0.3">
      <c r="A454">
        <v>1453</v>
      </c>
      <c r="B454" t="s">
        <v>193</v>
      </c>
      <c r="C454" t="s">
        <v>44</v>
      </c>
      <c r="D454" t="s">
        <v>40</v>
      </c>
      <c r="E454" t="s">
        <v>41</v>
      </c>
      <c r="F454" t="s">
        <v>35</v>
      </c>
      <c r="G454" t="s">
        <v>65</v>
      </c>
      <c r="H454" t="s">
        <v>55</v>
      </c>
      <c r="I454">
        <v>5</v>
      </c>
      <c r="J454">
        <v>2585</v>
      </c>
      <c r="K454">
        <v>11632.5</v>
      </c>
      <c r="L454" t="s">
        <v>38</v>
      </c>
      <c r="M454">
        <v>10</v>
      </c>
      <c r="N454">
        <v>1444.77</v>
      </c>
    </row>
    <row r="455" spans="1:14" ht="14.25" customHeight="1" x14ac:dyDescent="0.3">
      <c r="A455">
        <v>1454</v>
      </c>
      <c r="B455" t="s">
        <v>194</v>
      </c>
      <c r="C455" t="s">
        <v>44</v>
      </c>
      <c r="D455" t="s">
        <v>66</v>
      </c>
      <c r="E455" t="s">
        <v>34</v>
      </c>
      <c r="F455" t="s">
        <v>51</v>
      </c>
      <c r="G455" t="s">
        <v>52</v>
      </c>
      <c r="H455" t="s">
        <v>47</v>
      </c>
      <c r="I455">
        <v>3</v>
      </c>
      <c r="J455">
        <v>9105</v>
      </c>
      <c r="K455">
        <v>24583.5</v>
      </c>
      <c r="L455" t="s">
        <v>48</v>
      </c>
      <c r="M455">
        <v>10</v>
      </c>
      <c r="N455">
        <v>3040.33</v>
      </c>
    </row>
    <row r="456" spans="1:14" ht="14.25" customHeight="1" x14ac:dyDescent="0.3">
      <c r="A456">
        <v>1455</v>
      </c>
      <c r="B456" t="s">
        <v>194</v>
      </c>
      <c r="C456" t="s">
        <v>32</v>
      </c>
      <c r="D456" t="s">
        <v>58</v>
      </c>
      <c r="E456" t="s">
        <v>54</v>
      </c>
      <c r="F456" t="s">
        <v>45</v>
      </c>
      <c r="G456" t="s">
        <v>69</v>
      </c>
      <c r="H456" t="s">
        <v>55</v>
      </c>
      <c r="I456">
        <v>2</v>
      </c>
      <c r="J456">
        <v>7280</v>
      </c>
      <c r="K456">
        <v>13104</v>
      </c>
      <c r="L456" t="s">
        <v>38</v>
      </c>
      <c r="M456">
        <v>10</v>
      </c>
      <c r="N456">
        <v>2474.21</v>
      </c>
    </row>
    <row r="457" spans="1:14" ht="14.25" customHeight="1" x14ac:dyDescent="0.3">
      <c r="A457">
        <v>1456</v>
      </c>
      <c r="B457" t="s">
        <v>194</v>
      </c>
      <c r="C457" t="s">
        <v>39</v>
      </c>
      <c r="D457" t="s">
        <v>33</v>
      </c>
      <c r="E457" t="s">
        <v>34</v>
      </c>
      <c r="F457" t="s">
        <v>35</v>
      </c>
      <c r="G457" t="s">
        <v>67</v>
      </c>
      <c r="H457" t="s">
        <v>55</v>
      </c>
      <c r="I457">
        <v>1</v>
      </c>
      <c r="J457">
        <v>16318</v>
      </c>
      <c r="K457">
        <v>16318</v>
      </c>
      <c r="L457" t="s">
        <v>43</v>
      </c>
      <c r="M457">
        <v>0</v>
      </c>
      <c r="N457">
        <v>2871.43</v>
      </c>
    </row>
    <row r="458" spans="1:14" ht="14.25" customHeight="1" x14ac:dyDescent="0.3">
      <c r="A458">
        <v>1457</v>
      </c>
      <c r="B458" t="s">
        <v>195</v>
      </c>
      <c r="C458" t="s">
        <v>60</v>
      </c>
      <c r="D458" t="s">
        <v>40</v>
      </c>
      <c r="E458" t="s">
        <v>41</v>
      </c>
      <c r="F458" t="s">
        <v>45</v>
      </c>
      <c r="G458" t="s">
        <v>57</v>
      </c>
      <c r="H458" t="s">
        <v>42</v>
      </c>
      <c r="I458">
        <v>3</v>
      </c>
      <c r="J458">
        <v>2085</v>
      </c>
      <c r="K458">
        <v>6255</v>
      </c>
      <c r="L458" t="s">
        <v>43</v>
      </c>
      <c r="M458">
        <v>0</v>
      </c>
      <c r="N458">
        <v>1148.18</v>
      </c>
    </row>
    <row r="459" spans="1:14" ht="14.25" customHeight="1" x14ac:dyDescent="0.3">
      <c r="A459">
        <v>1458</v>
      </c>
      <c r="B459" t="s">
        <v>195</v>
      </c>
      <c r="C459" t="s">
        <v>50</v>
      </c>
      <c r="D459" t="s">
        <v>58</v>
      </c>
      <c r="E459" t="s">
        <v>54</v>
      </c>
      <c r="F459" t="s">
        <v>51</v>
      </c>
      <c r="G459" t="s">
        <v>62</v>
      </c>
      <c r="H459" t="s">
        <v>42</v>
      </c>
      <c r="I459">
        <v>5</v>
      </c>
      <c r="J459">
        <v>1293</v>
      </c>
      <c r="K459">
        <v>6465</v>
      </c>
      <c r="L459" t="s">
        <v>43</v>
      </c>
      <c r="M459">
        <v>0</v>
      </c>
      <c r="N459">
        <v>1523.37</v>
      </c>
    </row>
    <row r="460" spans="1:14" ht="14.25" customHeight="1" x14ac:dyDescent="0.3">
      <c r="A460">
        <v>1459</v>
      </c>
      <c r="B460" t="s">
        <v>195</v>
      </c>
      <c r="C460" t="s">
        <v>60</v>
      </c>
      <c r="D460" t="s">
        <v>66</v>
      </c>
      <c r="E460" t="s">
        <v>34</v>
      </c>
      <c r="F460" t="s">
        <v>51</v>
      </c>
      <c r="G460" t="s">
        <v>52</v>
      </c>
      <c r="H460" t="s">
        <v>42</v>
      </c>
      <c r="I460">
        <v>1</v>
      </c>
      <c r="J460">
        <v>33694</v>
      </c>
      <c r="K460">
        <v>32009.3</v>
      </c>
      <c r="L460" t="s">
        <v>61</v>
      </c>
      <c r="M460">
        <v>5</v>
      </c>
      <c r="N460">
        <v>6756</v>
      </c>
    </row>
    <row r="461" spans="1:14" ht="14.25" customHeight="1" x14ac:dyDescent="0.3">
      <c r="A461">
        <v>1460</v>
      </c>
      <c r="B461" t="s">
        <v>195</v>
      </c>
      <c r="C461" t="s">
        <v>60</v>
      </c>
      <c r="D461" t="s">
        <v>53</v>
      </c>
      <c r="E461" t="s">
        <v>54</v>
      </c>
      <c r="F461" t="s">
        <v>51</v>
      </c>
      <c r="G461" t="s">
        <v>62</v>
      </c>
      <c r="H461" t="s">
        <v>42</v>
      </c>
      <c r="I461">
        <v>1</v>
      </c>
      <c r="J461">
        <v>1731</v>
      </c>
      <c r="K461">
        <v>1644.45</v>
      </c>
      <c r="L461" t="s">
        <v>43</v>
      </c>
      <c r="M461">
        <v>5</v>
      </c>
      <c r="N461">
        <v>301.88</v>
      </c>
    </row>
    <row r="462" spans="1:14" ht="14.25" customHeight="1" x14ac:dyDescent="0.3">
      <c r="A462">
        <v>1461</v>
      </c>
      <c r="B462" t="s">
        <v>195</v>
      </c>
      <c r="C462" t="s">
        <v>32</v>
      </c>
      <c r="D462" t="s">
        <v>66</v>
      </c>
      <c r="E462" t="s">
        <v>34</v>
      </c>
      <c r="F462" t="s">
        <v>45</v>
      </c>
      <c r="G462" t="s">
        <v>57</v>
      </c>
      <c r="H462" t="s">
        <v>42</v>
      </c>
      <c r="I462">
        <v>4</v>
      </c>
      <c r="J462">
        <v>10312</v>
      </c>
      <c r="K462">
        <v>37123.199999999997</v>
      </c>
      <c r="L462" t="s">
        <v>61</v>
      </c>
      <c r="M462">
        <v>10</v>
      </c>
      <c r="N462">
        <v>3944.01</v>
      </c>
    </row>
    <row r="463" spans="1:14" ht="14.25" customHeight="1" x14ac:dyDescent="0.3">
      <c r="A463">
        <v>1462</v>
      </c>
      <c r="B463" t="s">
        <v>196</v>
      </c>
      <c r="C463" t="s">
        <v>44</v>
      </c>
      <c r="D463" t="s">
        <v>53</v>
      </c>
      <c r="E463" t="s">
        <v>54</v>
      </c>
      <c r="F463" t="s">
        <v>45</v>
      </c>
      <c r="G463" t="s">
        <v>57</v>
      </c>
      <c r="H463" t="s">
        <v>55</v>
      </c>
      <c r="I463">
        <v>1</v>
      </c>
      <c r="J463">
        <v>26895</v>
      </c>
      <c r="K463">
        <v>25550.25</v>
      </c>
      <c r="L463" t="s">
        <v>38</v>
      </c>
      <c r="M463">
        <v>5</v>
      </c>
      <c r="N463">
        <v>6644.58</v>
      </c>
    </row>
    <row r="464" spans="1:14" ht="14.25" customHeight="1" x14ac:dyDescent="0.3">
      <c r="A464">
        <v>1463</v>
      </c>
      <c r="B464" t="s">
        <v>196</v>
      </c>
      <c r="C464" t="s">
        <v>50</v>
      </c>
      <c r="D464" t="s">
        <v>66</v>
      </c>
      <c r="E464" t="s">
        <v>34</v>
      </c>
      <c r="F464" t="s">
        <v>35</v>
      </c>
      <c r="G464" t="s">
        <v>65</v>
      </c>
      <c r="H464" t="s">
        <v>55</v>
      </c>
      <c r="I464">
        <v>4</v>
      </c>
      <c r="J464">
        <v>44186</v>
      </c>
      <c r="K464">
        <v>167906.8</v>
      </c>
      <c r="L464" t="s">
        <v>48</v>
      </c>
      <c r="M464">
        <v>5</v>
      </c>
      <c r="N464">
        <v>48319.9</v>
      </c>
    </row>
    <row r="465" spans="1:14" ht="14.25" customHeight="1" x14ac:dyDescent="0.3">
      <c r="A465">
        <v>1464</v>
      </c>
      <c r="B465" t="s">
        <v>196</v>
      </c>
      <c r="C465" t="s">
        <v>60</v>
      </c>
      <c r="D465" t="s">
        <v>33</v>
      </c>
      <c r="E465" t="s">
        <v>34</v>
      </c>
      <c r="F465" t="s">
        <v>45</v>
      </c>
      <c r="G465" t="s">
        <v>69</v>
      </c>
      <c r="H465" t="s">
        <v>47</v>
      </c>
      <c r="I465">
        <v>2</v>
      </c>
      <c r="J465">
        <v>22285</v>
      </c>
      <c r="K465">
        <v>37884.5</v>
      </c>
      <c r="L465" t="s">
        <v>48</v>
      </c>
      <c r="M465">
        <v>15</v>
      </c>
      <c r="N465">
        <v>8001.07</v>
      </c>
    </row>
    <row r="466" spans="1:14" ht="14.25" customHeight="1" x14ac:dyDescent="0.3">
      <c r="A466">
        <v>1465</v>
      </c>
      <c r="B466" t="s">
        <v>197</v>
      </c>
      <c r="C466" t="s">
        <v>50</v>
      </c>
      <c r="D466" t="s">
        <v>33</v>
      </c>
      <c r="E466" t="s">
        <v>34</v>
      </c>
      <c r="F466" t="s">
        <v>35</v>
      </c>
      <c r="G466" t="s">
        <v>65</v>
      </c>
      <c r="H466" t="s">
        <v>47</v>
      </c>
      <c r="I466">
        <v>4</v>
      </c>
      <c r="J466">
        <v>720</v>
      </c>
      <c r="K466">
        <v>2880</v>
      </c>
      <c r="L466" t="s">
        <v>48</v>
      </c>
      <c r="M466">
        <v>0</v>
      </c>
      <c r="N466">
        <v>794.29</v>
      </c>
    </row>
    <row r="467" spans="1:14" ht="14.25" customHeight="1" x14ac:dyDescent="0.3">
      <c r="A467">
        <v>1466</v>
      </c>
      <c r="B467" t="s">
        <v>197</v>
      </c>
      <c r="C467" t="s">
        <v>32</v>
      </c>
      <c r="D467" t="s">
        <v>40</v>
      </c>
      <c r="E467" t="s">
        <v>41</v>
      </c>
      <c r="F467" t="s">
        <v>45</v>
      </c>
      <c r="G467" t="s">
        <v>46</v>
      </c>
      <c r="H467" t="s">
        <v>47</v>
      </c>
      <c r="I467">
        <v>2</v>
      </c>
      <c r="J467">
        <v>20876</v>
      </c>
      <c r="K467">
        <v>37576.800000000003</v>
      </c>
      <c r="L467" t="s">
        <v>61</v>
      </c>
      <c r="M467">
        <v>10</v>
      </c>
      <c r="N467">
        <v>6963.91</v>
      </c>
    </row>
    <row r="468" spans="1:14" ht="14.25" customHeight="1" x14ac:dyDescent="0.3">
      <c r="A468">
        <v>1467</v>
      </c>
      <c r="B468" t="s">
        <v>197</v>
      </c>
      <c r="C468" t="s">
        <v>39</v>
      </c>
      <c r="D468" t="s">
        <v>33</v>
      </c>
      <c r="E468" t="s">
        <v>34</v>
      </c>
      <c r="F468" t="s">
        <v>51</v>
      </c>
      <c r="G468" t="s">
        <v>62</v>
      </c>
      <c r="H468" t="s">
        <v>37</v>
      </c>
      <c r="I468">
        <v>2</v>
      </c>
      <c r="J468">
        <v>31103</v>
      </c>
      <c r="K468">
        <v>62206</v>
      </c>
      <c r="L468" t="s">
        <v>43</v>
      </c>
      <c r="M468">
        <v>0</v>
      </c>
      <c r="N468">
        <v>8833.58</v>
      </c>
    </row>
    <row r="469" spans="1:14" ht="14.25" customHeight="1" x14ac:dyDescent="0.3">
      <c r="A469">
        <v>1468</v>
      </c>
      <c r="B469" t="s">
        <v>198</v>
      </c>
      <c r="C469" t="s">
        <v>44</v>
      </c>
      <c r="D469" t="s">
        <v>33</v>
      </c>
      <c r="E469" t="s">
        <v>34</v>
      </c>
      <c r="F469" t="s">
        <v>35</v>
      </c>
      <c r="G469" t="s">
        <v>67</v>
      </c>
      <c r="H469" t="s">
        <v>55</v>
      </c>
      <c r="I469">
        <v>1</v>
      </c>
      <c r="J469">
        <v>17175</v>
      </c>
      <c r="K469">
        <v>16316.25</v>
      </c>
      <c r="L469" t="s">
        <v>61</v>
      </c>
      <c r="M469">
        <v>5</v>
      </c>
      <c r="N469">
        <v>2996.59</v>
      </c>
    </row>
    <row r="470" spans="1:14" ht="14.25" customHeight="1" x14ac:dyDescent="0.3">
      <c r="A470">
        <v>1469</v>
      </c>
      <c r="B470" t="s">
        <v>198</v>
      </c>
      <c r="C470" t="s">
        <v>44</v>
      </c>
      <c r="D470" t="s">
        <v>33</v>
      </c>
      <c r="E470" t="s">
        <v>34</v>
      </c>
      <c r="F470" t="s">
        <v>51</v>
      </c>
      <c r="G470" t="s">
        <v>62</v>
      </c>
      <c r="H470" t="s">
        <v>37</v>
      </c>
      <c r="I470">
        <v>4</v>
      </c>
      <c r="J470">
        <v>13049</v>
      </c>
      <c r="K470">
        <v>52196</v>
      </c>
      <c r="L470" t="s">
        <v>48</v>
      </c>
      <c r="M470">
        <v>0</v>
      </c>
      <c r="N470">
        <v>9683.5400000000009</v>
      </c>
    </row>
    <row r="471" spans="1:14" ht="14.25" customHeight="1" x14ac:dyDescent="0.3">
      <c r="A471">
        <v>1470</v>
      </c>
      <c r="B471" t="s">
        <v>198</v>
      </c>
      <c r="C471" t="s">
        <v>39</v>
      </c>
      <c r="D471" t="s">
        <v>40</v>
      </c>
      <c r="E471" t="s">
        <v>41</v>
      </c>
      <c r="F471" t="s">
        <v>45</v>
      </c>
      <c r="G471" t="s">
        <v>46</v>
      </c>
      <c r="H471" t="s">
        <v>42</v>
      </c>
      <c r="I471">
        <v>3</v>
      </c>
      <c r="J471">
        <v>31472</v>
      </c>
      <c r="K471">
        <v>84974.399999999994</v>
      </c>
      <c r="L471" t="s">
        <v>61</v>
      </c>
      <c r="M471">
        <v>10</v>
      </c>
      <c r="N471">
        <v>13940.19</v>
      </c>
    </row>
    <row r="472" spans="1:14" ht="14.25" customHeight="1" x14ac:dyDescent="0.3">
      <c r="A472">
        <v>1471</v>
      </c>
      <c r="B472" t="s">
        <v>198</v>
      </c>
      <c r="C472" t="s">
        <v>32</v>
      </c>
      <c r="D472" t="s">
        <v>40</v>
      </c>
      <c r="E472" t="s">
        <v>41</v>
      </c>
      <c r="F472" t="s">
        <v>45</v>
      </c>
      <c r="G472" t="s">
        <v>46</v>
      </c>
      <c r="H472" t="s">
        <v>42</v>
      </c>
      <c r="I472">
        <v>3</v>
      </c>
      <c r="J472">
        <v>22449</v>
      </c>
      <c r="K472">
        <v>60612.3</v>
      </c>
      <c r="L472" t="s">
        <v>43</v>
      </c>
      <c r="M472">
        <v>10</v>
      </c>
      <c r="N472">
        <v>9010.86</v>
      </c>
    </row>
    <row r="473" spans="1:14" ht="14.25" customHeight="1" x14ac:dyDescent="0.3">
      <c r="A473">
        <v>1472</v>
      </c>
      <c r="B473" t="s">
        <v>198</v>
      </c>
      <c r="C473" t="s">
        <v>60</v>
      </c>
      <c r="D473" t="s">
        <v>40</v>
      </c>
      <c r="E473" t="s">
        <v>41</v>
      </c>
      <c r="F473" t="s">
        <v>45</v>
      </c>
      <c r="G473" t="s">
        <v>69</v>
      </c>
      <c r="H473" t="s">
        <v>55</v>
      </c>
      <c r="I473">
        <v>3</v>
      </c>
      <c r="J473">
        <v>17800</v>
      </c>
      <c r="K473">
        <v>45390</v>
      </c>
      <c r="L473" t="s">
        <v>61</v>
      </c>
      <c r="M473">
        <v>15</v>
      </c>
      <c r="N473">
        <v>5868.95</v>
      </c>
    </row>
    <row r="474" spans="1:14" ht="14.25" customHeight="1" x14ac:dyDescent="0.3">
      <c r="A474">
        <v>1473</v>
      </c>
      <c r="B474" t="s">
        <v>199</v>
      </c>
      <c r="C474" t="s">
        <v>44</v>
      </c>
      <c r="D474" t="s">
        <v>40</v>
      </c>
      <c r="E474" t="s">
        <v>41</v>
      </c>
      <c r="F474" t="s">
        <v>51</v>
      </c>
      <c r="G474" t="s">
        <v>63</v>
      </c>
      <c r="H474" t="s">
        <v>37</v>
      </c>
      <c r="I474">
        <v>2</v>
      </c>
      <c r="J474">
        <v>48799</v>
      </c>
      <c r="K474">
        <v>92718.1</v>
      </c>
      <c r="L474" t="s">
        <v>43</v>
      </c>
      <c r="M474">
        <v>5</v>
      </c>
      <c r="N474">
        <v>23357.9</v>
      </c>
    </row>
    <row r="475" spans="1:14" ht="14.25" customHeight="1" x14ac:dyDescent="0.3">
      <c r="A475">
        <v>1474</v>
      </c>
      <c r="B475" t="s">
        <v>199</v>
      </c>
      <c r="C475" t="s">
        <v>32</v>
      </c>
      <c r="D475" t="s">
        <v>66</v>
      </c>
      <c r="E475" t="s">
        <v>34</v>
      </c>
      <c r="F475" t="s">
        <v>35</v>
      </c>
      <c r="G475" t="s">
        <v>36</v>
      </c>
      <c r="H475" t="s">
        <v>55</v>
      </c>
      <c r="I475">
        <v>4</v>
      </c>
      <c r="J475">
        <v>25190</v>
      </c>
      <c r="K475">
        <v>95722</v>
      </c>
      <c r="L475" t="s">
        <v>38</v>
      </c>
      <c r="M475">
        <v>5</v>
      </c>
      <c r="N475">
        <v>11312.53</v>
      </c>
    </row>
    <row r="476" spans="1:14" ht="14.25" customHeight="1" x14ac:dyDescent="0.3">
      <c r="A476">
        <v>1475</v>
      </c>
      <c r="B476" t="s">
        <v>199</v>
      </c>
      <c r="C476" t="s">
        <v>39</v>
      </c>
      <c r="D476" t="s">
        <v>58</v>
      </c>
      <c r="E476" t="s">
        <v>54</v>
      </c>
      <c r="F476" t="s">
        <v>45</v>
      </c>
      <c r="G476" t="s">
        <v>46</v>
      </c>
      <c r="H476" t="s">
        <v>37</v>
      </c>
      <c r="I476">
        <v>3</v>
      </c>
      <c r="J476">
        <v>6198</v>
      </c>
      <c r="K476">
        <v>18594</v>
      </c>
      <c r="L476" t="s">
        <v>48</v>
      </c>
      <c r="M476">
        <v>0</v>
      </c>
      <c r="N476">
        <v>2101.15</v>
      </c>
    </row>
    <row r="477" spans="1:14" ht="14.25" customHeight="1" x14ac:dyDescent="0.3">
      <c r="A477">
        <v>1476</v>
      </c>
      <c r="B477" t="s">
        <v>200</v>
      </c>
      <c r="C477" t="s">
        <v>39</v>
      </c>
      <c r="D477" t="s">
        <v>58</v>
      </c>
      <c r="E477" t="s">
        <v>54</v>
      </c>
      <c r="F477" t="s">
        <v>45</v>
      </c>
      <c r="G477" t="s">
        <v>57</v>
      </c>
      <c r="H477" t="s">
        <v>55</v>
      </c>
      <c r="I477">
        <v>3</v>
      </c>
      <c r="J477">
        <v>39921</v>
      </c>
      <c r="K477">
        <v>119763</v>
      </c>
      <c r="L477" t="s">
        <v>61</v>
      </c>
      <c r="M477">
        <v>0</v>
      </c>
      <c r="N477">
        <v>19875.849999999999</v>
      </c>
    </row>
    <row r="478" spans="1:14" ht="14.25" customHeight="1" x14ac:dyDescent="0.3">
      <c r="A478">
        <v>1477</v>
      </c>
      <c r="B478" t="s">
        <v>200</v>
      </c>
      <c r="C478" t="s">
        <v>39</v>
      </c>
      <c r="D478" t="s">
        <v>40</v>
      </c>
      <c r="E478" t="s">
        <v>41</v>
      </c>
      <c r="F478" t="s">
        <v>45</v>
      </c>
      <c r="G478" t="s">
        <v>46</v>
      </c>
      <c r="H478" t="s">
        <v>47</v>
      </c>
      <c r="I478">
        <v>5</v>
      </c>
      <c r="J478">
        <v>12982</v>
      </c>
      <c r="K478">
        <v>64910</v>
      </c>
      <c r="L478" t="s">
        <v>61</v>
      </c>
      <c r="M478">
        <v>0</v>
      </c>
      <c r="N478">
        <v>11839.65</v>
      </c>
    </row>
    <row r="479" spans="1:14" ht="14.25" customHeight="1" x14ac:dyDescent="0.3">
      <c r="A479">
        <v>1478</v>
      </c>
      <c r="B479" t="s">
        <v>200</v>
      </c>
      <c r="C479" t="s">
        <v>50</v>
      </c>
      <c r="D479" t="s">
        <v>66</v>
      </c>
      <c r="E479" t="s">
        <v>34</v>
      </c>
      <c r="F479" t="s">
        <v>35</v>
      </c>
      <c r="G479" t="s">
        <v>36</v>
      </c>
      <c r="H479" t="s">
        <v>42</v>
      </c>
      <c r="I479">
        <v>2</v>
      </c>
      <c r="J479">
        <v>20670</v>
      </c>
      <c r="K479">
        <v>35139</v>
      </c>
      <c r="L479" t="s">
        <v>38</v>
      </c>
      <c r="M479">
        <v>15</v>
      </c>
      <c r="N479">
        <v>3653.73</v>
      </c>
    </row>
    <row r="480" spans="1:14" ht="14.25" customHeight="1" x14ac:dyDescent="0.3">
      <c r="A480">
        <v>1479</v>
      </c>
      <c r="B480" t="s">
        <v>201</v>
      </c>
      <c r="C480" t="s">
        <v>50</v>
      </c>
      <c r="D480" t="s">
        <v>66</v>
      </c>
      <c r="E480" t="s">
        <v>34</v>
      </c>
      <c r="F480" t="s">
        <v>45</v>
      </c>
      <c r="G480" t="s">
        <v>57</v>
      </c>
      <c r="H480" t="s">
        <v>55</v>
      </c>
      <c r="I480">
        <v>1</v>
      </c>
      <c r="J480">
        <v>47697</v>
      </c>
      <c r="K480">
        <v>42927.3</v>
      </c>
      <c r="L480" t="s">
        <v>61</v>
      </c>
      <c r="M480">
        <v>10</v>
      </c>
      <c r="N480">
        <v>11013.99</v>
      </c>
    </row>
    <row r="481" spans="1:14" ht="14.25" customHeight="1" x14ac:dyDescent="0.3">
      <c r="A481">
        <v>1480</v>
      </c>
      <c r="B481" t="s">
        <v>201</v>
      </c>
      <c r="C481" t="s">
        <v>50</v>
      </c>
      <c r="D481" t="s">
        <v>33</v>
      </c>
      <c r="E481" t="s">
        <v>34</v>
      </c>
      <c r="F481" t="s">
        <v>51</v>
      </c>
      <c r="G481" t="s">
        <v>52</v>
      </c>
      <c r="H481" t="s">
        <v>55</v>
      </c>
      <c r="I481">
        <v>3</v>
      </c>
      <c r="J481">
        <v>31187</v>
      </c>
      <c r="K481">
        <v>84204.9</v>
      </c>
      <c r="L481" t="s">
        <v>38</v>
      </c>
      <c r="M481">
        <v>10</v>
      </c>
      <c r="N481">
        <v>11848.3</v>
      </c>
    </row>
    <row r="482" spans="1:14" ht="14.25" customHeight="1" x14ac:dyDescent="0.3">
      <c r="A482">
        <v>1481</v>
      </c>
      <c r="B482" t="s">
        <v>201</v>
      </c>
      <c r="C482" t="s">
        <v>44</v>
      </c>
      <c r="D482" t="s">
        <v>58</v>
      </c>
      <c r="E482" t="s">
        <v>54</v>
      </c>
      <c r="F482" t="s">
        <v>51</v>
      </c>
      <c r="G482" t="s">
        <v>52</v>
      </c>
      <c r="H482" t="s">
        <v>42</v>
      </c>
      <c r="I482">
        <v>4</v>
      </c>
      <c r="J482">
        <v>14475</v>
      </c>
      <c r="K482">
        <v>52110</v>
      </c>
      <c r="L482" t="s">
        <v>48</v>
      </c>
      <c r="M482">
        <v>10</v>
      </c>
      <c r="N482">
        <v>14547.04</v>
      </c>
    </row>
    <row r="483" spans="1:14" ht="14.25" customHeight="1" x14ac:dyDescent="0.3">
      <c r="A483">
        <v>1482</v>
      </c>
      <c r="B483" t="s">
        <v>201</v>
      </c>
      <c r="C483" t="s">
        <v>60</v>
      </c>
      <c r="D483" t="s">
        <v>66</v>
      </c>
      <c r="E483" t="s">
        <v>34</v>
      </c>
      <c r="F483" t="s">
        <v>51</v>
      </c>
      <c r="G483" t="s">
        <v>62</v>
      </c>
      <c r="H483" t="s">
        <v>55</v>
      </c>
      <c r="I483">
        <v>3</v>
      </c>
      <c r="J483">
        <v>3127</v>
      </c>
      <c r="K483">
        <v>9381</v>
      </c>
      <c r="L483" t="s">
        <v>43</v>
      </c>
      <c r="M483">
        <v>0</v>
      </c>
      <c r="N483">
        <v>1713.88</v>
      </c>
    </row>
    <row r="484" spans="1:14" ht="14.25" customHeight="1" x14ac:dyDescent="0.3">
      <c r="A484">
        <v>1483</v>
      </c>
      <c r="B484" t="s">
        <v>202</v>
      </c>
      <c r="C484" t="s">
        <v>44</v>
      </c>
      <c r="D484" t="s">
        <v>40</v>
      </c>
      <c r="E484" t="s">
        <v>41</v>
      </c>
      <c r="F484" t="s">
        <v>51</v>
      </c>
      <c r="G484" t="s">
        <v>63</v>
      </c>
      <c r="H484" t="s">
        <v>37</v>
      </c>
      <c r="I484">
        <v>2</v>
      </c>
      <c r="J484">
        <v>32697</v>
      </c>
      <c r="K484">
        <v>55584.9</v>
      </c>
      <c r="L484" t="s">
        <v>61</v>
      </c>
      <c r="M484">
        <v>15</v>
      </c>
      <c r="N484">
        <v>14445.56</v>
      </c>
    </row>
    <row r="485" spans="1:14" ht="14.25" customHeight="1" x14ac:dyDescent="0.3">
      <c r="A485">
        <v>1484</v>
      </c>
      <c r="B485" t="s">
        <v>202</v>
      </c>
      <c r="C485" t="s">
        <v>50</v>
      </c>
      <c r="D485" t="s">
        <v>58</v>
      </c>
      <c r="E485" t="s">
        <v>54</v>
      </c>
      <c r="F485" t="s">
        <v>51</v>
      </c>
      <c r="G485" t="s">
        <v>52</v>
      </c>
      <c r="H485" t="s">
        <v>42</v>
      </c>
      <c r="I485">
        <v>1</v>
      </c>
      <c r="J485">
        <v>44561</v>
      </c>
      <c r="K485">
        <v>44561</v>
      </c>
      <c r="L485" t="s">
        <v>38</v>
      </c>
      <c r="M485">
        <v>0</v>
      </c>
      <c r="N485">
        <v>4581.1899999999996</v>
      </c>
    </row>
    <row r="486" spans="1:14" ht="14.25" customHeight="1" x14ac:dyDescent="0.3">
      <c r="A486">
        <v>1485</v>
      </c>
      <c r="B486" t="s">
        <v>203</v>
      </c>
      <c r="C486" t="s">
        <v>32</v>
      </c>
      <c r="D486" t="s">
        <v>40</v>
      </c>
      <c r="E486" t="s">
        <v>41</v>
      </c>
      <c r="F486" t="s">
        <v>45</v>
      </c>
      <c r="G486" t="s">
        <v>69</v>
      </c>
      <c r="H486" t="s">
        <v>47</v>
      </c>
      <c r="I486">
        <v>4</v>
      </c>
      <c r="J486">
        <v>19496</v>
      </c>
      <c r="K486">
        <v>77984</v>
      </c>
      <c r="L486" t="s">
        <v>48</v>
      </c>
      <c r="M486">
        <v>0</v>
      </c>
      <c r="N486">
        <v>21766.67</v>
      </c>
    </row>
    <row r="487" spans="1:14" ht="14.25" customHeight="1" x14ac:dyDescent="0.3">
      <c r="A487">
        <v>1486</v>
      </c>
      <c r="B487" t="s">
        <v>203</v>
      </c>
      <c r="C487" t="s">
        <v>44</v>
      </c>
      <c r="D487" t="s">
        <v>66</v>
      </c>
      <c r="E487" t="s">
        <v>34</v>
      </c>
      <c r="F487" t="s">
        <v>35</v>
      </c>
      <c r="G487" t="s">
        <v>65</v>
      </c>
      <c r="H487" t="s">
        <v>37</v>
      </c>
      <c r="I487">
        <v>2</v>
      </c>
      <c r="J487">
        <v>29309</v>
      </c>
      <c r="K487">
        <v>49825.3</v>
      </c>
      <c r="L487" t="s">
        <v>43</v>
      </c>
      <c r="M487">
        <v>15</v>
      </c>
      <c r="N487">
        <v>9485.61</v>
      </c>
    </row>
    <row r="488" spans="1:14" ht="14.25" customHeight="1" x14ac:dyDescent="0.3">
      <c r="A488">
        <v>1487</v>
      </c>
      <c r="B488" t="s">
        <v>203</v>
      </c>
      <c r="C488" t="s">
        <v>32</v>
      </c>
      <c r="D488" t="s">
        <v>40</v>
      </c>
      <c r="E488" t="s">
        <v>41</v>
      </c>
      <c r="F488" t="s">
        <v>35</v>
      </c>
      <c r="G488" t="s">
        <v>67</v>
      </c>
      <c r="H488" t="s">
        <v>37</v>
      </c>
      <c r="I488">
        <v>1</v>
      </c>
      <c r="J488">
        <v>25054</v>
      </c>
      <c r="K488">
        <v>25054</v>
      </c>
      <c r="L488" t="s">
        <v>43</v>
      </c>
      <c r="M488">
        <v>0</v>
      </c>
      <c r="N488">
        <v>5399.52</v>
      </c>
    </row>
    <row r="489" spans="1:14" ht="14.25" customHeight="1" x14ac:dyDescent="0.3">
      <c r="A489">
        <v>1488</v>
      </c>
      <c r="B489" t="s">
        <v>203</v>
      </c>
      <c r="C489" t="s">
        <v>44</v>
      </c>
      <c r="D489" t="s">
        <v>66</v>
      </c>
      <c r="E489" t="s">
        <v>34</v>
      </c>
      <c r="F489" t="s">
        <v>45</v>
      </c>
      <c r="G489" t="s">
        <v>57</v>
      </c>
      <c r="H489" t="s">
        <v>42</v>
      </c>
      <c r="I489">
        <v>3</v>
      </c>
      <c r="J489">
        <v>42912</v>
      </c>
      <c r="K489">
        <v>128736</v>
      </c>
      <c r="L489" t="s">
        <v>38</v>
      </c>
      <c r="M489">
        <v>0</v>
      </c>
      <c r="N489">
        <v>24880.77</v>
      </c>
    </row>
    <row r="490" spans="1:14" ht="14.25" customHeight="1" x14ac:dyDescent="0.3">
      <c r="A490">
        <v>1489</v>
      </c>
      <c r="B490" t="s">
        <v>203</v>
      </c>
      <c r="C490" t="s">
        <v>39</v>
      </c>
      <c r="D490" t="s">
        <v>40</v>
      </c>
      <c r="E490" t="s">
        <v>41</v>
      </c>
      <c r="F490" t="s">
        <v>35</v>
      </c>
      <c r="G490" t="s">
        <v>65</v>
      </c>
      <c r="H490" t="s">
        <v>55</v>
      </c>
      <c r="I490">
        <v>2</v>
      </c>
      <c r="J490">
        <v>45689</v>
      </c>
      <c r="K490">
        <v>77671.3</v>
      </c>
      <c r="L490" t="s">
        <v>48</v>
      </c>
      <c r="M490">
        <v>15</v>
      </c>
      <c r="N490">
        <v>18349.61</v>
      </c>
    </row>
    <row r="491" spans="1:14" ht="14.25" customHeight="1" x14ac:dyDescent="0.3">
      <c r="A491">
        <v>1490</v>
      </c>
      <c r="B491" t="s">
        <v>204</v>
      </c>
      <c r="C491" t="s">
        <v>44</v>
      </c>
      <c r="D491" t="s">
        <v>66</v>
      </c>
      <c r="E491" t="s">
        <v>34</v>
      </c>
      <c r="F491" t="s">
        <v>45</v>
      </c>
      <c r="G491" t="s">
        <v>69</v>
      </c>
      <c r="H491" t="s">
        <v>55</v>
      </c>
      <c r="I491">
        <v>5</v>
      </c>
      <c r="J491">
        <v>18375</v>
      </c>
      <c r="K491">
        <v>91875</v>
      </c>
      <c r="L491" t="s">
        <v>38</v>
      </c>
      <c r="M491">
        <v>0</v>
      </c>
      <c r="N491">
        <v>25175.59</v>
      </c>
    </row>
    <row r="492" spans="1:14" ht="14.25" customHeight="1" x14ac:dyDescent="0.3">
      <c r="A492">
        <v>1491</v>
      </c>
      <c r="B492" t="s">
        <v>204</v>
      </c>
      <c r="C492" t="s">
        <v>39</v>
      </c>
      <c r="D492" t="s">
        <v>58</v>
      </c>
      <c r="E492" t="s">
        <v>54</v>
      </c>
      <c r="F492" t="s">
        <v>35</v>
      </c>
      <c r="G492" t="s">
        <v>36</v>
      </c>
      <c r="H492" t="s">
        <v>55</v>
      </c>
      <c r="I492">
        <v>2</v>
      </c>
      <c r="J492">
        <v>7016</v>
      </c>
      <c r="K492">
        <v>13330.4</v>
      </c>
      <c r="L492" t="s">
        <v>61</v>
      </c>
      <c r="M492">
        <v>5</v>
      </c>
      <c r="N492">
        <v>1488.41</v>
      </c>
    </row>
    <row r="493" spans="1:14" ht="14.25" customHeight="1" x14ac:dyDescent="0.3">
      <c r="A493">
        <v>1492</v>
      </c>
      <c r="B493" t="s">
        <v>205</v>
      </c>
      <c r="C493" t="s">
        <v>44</v>
      </c>
      <c r="D493" t="s">
        <v>40</v>
      </c>
      <c r="E493" t="s">
        <v>41</v>
      </c>
      <c r="F493" t="s">
        <v>35</v>
      </c>
      <c r="G493" t="s">
        <v>36</v>
      </c>
      <c r="H493" t="s">
        <v>55</v>
      </c>
      <c r="I493">
        <v>4</v>
      </c>
      <c r="J493">
        <v>19467</v>
      </c>
      <c r="K493">
        <v>73974.600000000006</v>
      </c>
      <c r="L493" t="s">
        <v>61</v>
      </c>
      <c r="M493">
        <v>5</v>
      </c>
      <c r="N493">
        <v>16719.37</v>
      </c>
    </row>
    <row r="494" spans="1:14" ht="14.25" customHeight="1" x14ac:dyDescent="0.3">
      <c r="A494">
        <v>1493</v>
      </c>
      <c r="B494" t="s">
        <v>205</v>
      </c>
      <c r="C494" t="s">
        <v>50</v>
      </c>
      <c r="D494" t="s">
        <v>40</v>
      </c>
      <c r="E494" t="s">
        <v>41</v>
      </c>
      <c r="F494" t="s">
        <v>45</v>
      </c>
      <c r="G494" t="s">
        <v>46</v>
      </c>
      <c r="H494" t="s">
        <v>37</v>
      </c>
      <c r="I494">
        <v>4</v>
      </c>
      <c r="J494">
        <v>44472</v>
      </c>
      <c r="K494">
        <v>168993.6</v>
      </c>
      <c r="L494" t="s">
        <v>48</v>
      </c>
      <c r="M494">
        <v>5</v>
      </c>
      <c r="N494">
        <v>36929.4</v>
      </c>
    </row>
    <row r="495" spans="1:14" ht="14.25" customHeight="1" x14ac:dyDescent="0.3">
      <c r="A495">
        <v>1494</v>
      </c>
      <c r="B495" t="s">
        <v>206</v>
      </c>
      <c r="C495" t="s">
        <v>60</v>
      </c>
      <c r="D495" t="s">
        <v>53</v>
      </c>
      <c r="E495" t="s">
        <v>54</v>
      </c>
      <c r="F495" t="s">
        <v>45</v>
      </c>
      <c r="G495" t="s">
        <v>69</v>
      </c>
      <c r="H495" t="s">
        <v>37</v>
      </c>
      <c r="I495">
        <v>3</v>
      </c>
      <c r="J495">
        <v>15843</v>
      </c>
      <c r="K495">
        <v>45152.55</v>
      </c>
      <c r="L495" t="s">
        <v>61</v>
      </c>
      <c r="M495">
        <v>5</v>
      </c>
      <c r="N495">
        <v>10903.57</v>
      </c>
    </row>
    <row r="496" spans="1:14" ht="14.25" customHeight="1" x14ac:dyDescent="0.3">
      <c r="A496">
        <v>1495</v>
      </c>
      <c r="B496" t="s">
        <v>206</v>
      </c>
      <c r="C496" t="s">
        <v>32</v>
      </c>
      <c r="D496" t="s">
        <v>33</v>
      </c>
      <c r="E496" t="s">
        <v>34</v>
      </c>
      <c r="F496" t="s">
        <v>45</v>
      </c>
      <c r="G496" t="s">
        <v>57</v>
      </c>
      <c r="H496" t="s">
        <v>42</v>
      </c>
      <c r="I496">
        <v>4</v>
      </c>
      <c r="J496">
        <v>44772</v>
      </c>
      <c r="K496">
        <v>152224.79999999999</v>
      </c>
      <c r="L496" t="s">
        <v>43</v>
      </c>
      <c r="M496">
        <v>15</v>
      </c>
      <c r="N496">
        <v>20989.439999999999</v>
      </c>
    </row>
    <row r="497" spans="1:14" ht="14.25" customHeight="1" x14ac:dyDescent="0.3">
      <c r="A497">
        <v>1496</v>
      </c>
      <c r="B497" t="s">
        <v>206</v>
      </c>
      <c r="C497" t="s">
        <v>60</v>
      </c>
      <c r="D497" t="s">
        <v>58</v>
      </c>
      <c r="E497" t="s">
        <v>54</v>
      </c>
      <c r="F497" t="s">
        <v>45</v>
      </c>
      <c r="G497" t="s">
        <v>46</v>
      </c>
      <c r="H497" t="s">
        <v>47</v>
      </c>
      <c r="I497">
        <v>3</v>
      </c>
      <c r="J497">
        <v>14360</v>
      </c>
      <c r="K497">
        <v>36618</v>
      </c>
      <c r="L497" t="s">
        <v>43</v>
      </c>
      <c r="M497">
        <v>15</v>
      </c>
      <c r="N497">
        <v>9471.3700000000008</v>
      </c>
    </row>
    <row r="498" spans="1:14" ht="14.25" customHeight="1" x14ac:dyDescent="0.3">
      <c r="A498">
        <v>1497</v>
      </c>
      <c r="B498" t="s">
        <v>207</v>
      </c>
      <c r="C498" t="s">
        <v>50</v>
      </c>
      <c r="D498" t="s">
        <v>33</v>
      </c>
      <c r="E498" t="s">
        <v>34</v>
      </c>
      <c r="F498" t="s">
        <v>45</v>
      </c>
      <c r="G498" t="s">
        <v>46</v>
      </c>
      <c r="H498" t="s">
        <v>42</v>
      </c>
      <c r="I498">
        <v>5</v>
      </c>
      <c r="J498">
        <v>37141</v>
      </c>
      <c r="K498">
        <v>176419.75</v>
      </c>
      <c r="L498" t="s">
        <v>48</v>
      </c>
      <c r="M498">
        <v>5</v>
      </c>
      <c r="N498">
        <v>23322.09</v>
      </c>
    </row>
    <row r="499" spans="1:14" ht="14.25" customHeight="1" x14ac:dyDescent="0.3">
      <c r="A499">
        <v>1498</v>
      </c>
      <c r="B499" t="s">
        <v>207</v>
      </c>
      <c r="C499" t="s">
        <v>44</v>
      </c>
      <c r="D499" t="s">
        <v>66</v>
      </c>
      <c r="E499" t="s">
        <v>34</v>
      </c>
      <c r="F499" t="s">
        <v>51</v>
      </c>
      <c r="G499" t="s">
        <v>63</v>
      </c>
      <c r="H499" t="s">
        <v>47</v>
      </c>
      <c r="I499">
        <v>5</v>
      </c>
      <c r="J499">
        <v>11056</v>
      </c>
      <c r="K499">
        <v>55280</v>
      </c>
      <c r="L499" t="s">
        <v>48</v>
      </c>
      <c r="M499">
        <v>0</v>
      </c>
      <c r="N499">
        <v>6979.73</v>
      </c>
    </row>
    <row r="500" spans="1:14" ht="14.25" customHeight="1" x14ac:dyDescent="0.3">
      <c r="A500">
        <v>1499</v>
      </c>
      <c r="B500" t="s">
        <v>207</v>
      </c>
      <c r="C500" t="s">
        <v>32</v>
      </c>
      <c r="D500" t="s">
        <v>40</v>
      </c>
      <c r="E500" t="s">
        <v>41</v>
      </c>
      <c r="F500" t="s">
        <v>51</v>
      </c>
      <c r="G500" t="s">
        <v>52</v>
      </c>
      <c r="H500" t="s">
        <v>37</v>
      </c>
      <c r="I500">
        <v>1</v>
      </c>
      <c r="J500">
        <v>39828</v>
      </c>
      <c r="K500">
        <v>39828</v>
      </c>
      <c r="L500" t="s">
        <v>43</v>
      </c>
      <c r="M500">
        <v>0</v>
      </c>
      <c r="N500">
        <v>4458.8599999999997</v>
      </c>
    </row>
    <row r="501" spans="1:14" ht="14.25" customHeight="1" x14ac:dyDescent="0.3">
      <c r="A501">
        <v>1500</v>
      </c>
      <c r="B501" t="s">
        <v>208</v>
      </c>
      <c r="C501" t="s">
        <v>60</v>
      </c>
      <c r="D501" t="s">
        <v>40</v>
      </c>
      <c r="E501" t="s">
        <v>41</v>
      </c>
      <c r="F501" t="s">
        <v>45</v>
      </c>
      <c r="G501" t="s">
        <v>57</v>
      </c>
      <c r="H501" t="s">
        <v>42</v>
      </c>
      <c r="I501">
        <v>5</v>
      </c>
      <c r="J501">
        <v>35538</v>
      </c>
      <c r="K501">
        <v>151036.5</v>
      </c>
      <c r="L501" t="s">
        <v>48</v>
      </c>
      <c r="M501">
        <v>15</v>
      </c>
      <c r="N501">
        <v>37558.300000000003</v>
      </c>
    </row>
    <row r="502" spans="1:14" ht="14.25" customHeight="1" x14ac:dyDescent="0.3">
      <c r="A502">
        <v>1501</v>
      </c>
      <c r="B502" t="s">
        <v>208</v>
      </c>
      <c r="C502" t="s">
        <v>39</v>
      </c>
      <c r="D502" t="s">
        <v>40</v>
      </c>
      <c r="E502" t="s">
        <v>41</v>
      </c>
      <c r="F502" t="s">
        <v>51</v>
      </c>
      <c r="G502" t="s">
        <v>62</v>
      </c>
      <c r="H502" t="s">
        <v>37</v>
      </c>
      <c r="I502">
        <v>5</v>
      </c>
      <c r="J502">
        <v>26091</v>
      </c>
      <c r="K502">
        <v>130455</v>
      </c>
      <c r="L502" t="s">
        <v>48</v>
      </c>
      <c r="M502">
        <v>0</v>
      </c>
      <c r="N502">
        <v>33029</v>
      </c>
    </row>
    <row r="503" spans="1:14" ht="14.25" customHeight="1" x14ac:dyDescent="0.3">
      <c r="A503">
        <v>1502</v>
      </c>
      <c r="B503" t="s">
        <v>209</v>
      </c>
      <c r="C503" t="s">
        <v>60</v>
      </c>
      <c r="D503" t="s">
        <v>33</v>
      </c>
      <c r="E503" t="s">
        <v>34</v>
      </c>
      <c r="F503" t="s">
        <v>35</v>
      </c>
      <c r="G503" t="s">
        <v>36</v>
      </c>
      <c r="H503" t="s">
        <v>47</v>
      </c>
      <c r="I503">
        <v>2</v>
      </c>
      <c r="J503">
        <v>35391</v>
      </c>
      <c r="K503">
        <v>60164.7</v>
      </c>
      <c r="L503" t="s">
        <v>48</v>
      </c>
      <c r="M503">
        <v>15</v>
      </c>
      <c r="N503">
        <v>7885.42</v>
      </c>
    </row>
    <row r="504" spans="1:14" ht="14.25" customHeight="1" x14ac:dyDescent="0.3">
      <c r="A504">
        <v>1503</v>
      </c>
      <c r="B504" t="s">
        <v>209</v>
      </c>
      <c r="C504" t="s">
        <v>39</v>
      </c>
      <c r="D504" t="s">
        <v>33</v>
      </c>
      <c r="E504" t="s">
        <v>34</v>
      </c>
      <c r="F504" t="s">
        <v>35</v>
      </c>
      <c r="G504" t="s">
        <v>65</v>
      </c>
      <c r="H504" t="s">
        <v>55</v>
      </c>
      <c r="I504">
        <v>5</v>
      </c>
      <c r="J504">
        <v>2591</v>
      </c>
      <c r="K504">
        <v>12955</v>
      </c>
      <c r="L504" t="s">
        <v>61</v>
      </c>
      <c r="M504">
        <v>0</v>
      </c>
      <c r="N504">
        <v>3866.37</v>
      </c>
    </row>
    <row r="505" spans="1:14" ht="14.25" customHeight="1" x14ac:dyDescent="0.3">
      <c r="A505">
        <v>1504</v>
      </c>
      <c r="B505" t="s">
        <v>209</v>
      </c>
      <c r="C505" t="s">
        <v>60</v>
      </c>
      <c r="D505" t="s">
        <v>33</v>
      </c>
      <c r="E505" t="s">
        <v>34</v>
      </c>
      <c r="F505" t="s">
        <v>45</v>
      </c>
      <c r="G505" t="s">
        <v>69</v>
      </c>
      <c r="H505" t="s">
        <v>55</v>
      </c>
      <c r="I505">
        <v>1</v>
      </c>
      <c r="J505">
        <v>37025</v>
      </c>
      <c r="K505">
        <v>31471.25</v>
      </c>
      <c r="L505" t="s">
        <v>48</v>
      </c>
      <c r="M505">
        <v>15</v>
      </c>
      <c r="N505">
        <v>4712.54</v>
      </c>
    </row>
    <row r="506" spans="1:14" ht="14.25" customHeight="1" x14ac:dyDescent="0.3">
      <c r="A506">
        <v>1505</v>
      </c>
      <c r="B506" t="s">
        <v>209</v>
      </c>
      <c r="C506" t="s">
        <v>32</v>
      </c>
      <c r="D506" t="s">
        <v>58</v>
      </c>
      <c r="E506" t="s">
        <v>54</v>
      </c>
      <c r="F506" t="s">
        <v>45</v>
      </c>
      <c r="G506" t="s">
        <v>46</v>
      </c>
      <c r="H506" t="s">
        <v>55</v>
      </c>
      <c r="I506">
        <v>3</v>
      </c>
      <c r="J506">
        <v>29718</v>
      </c>
      <c r="K506">
        <v>84696.3</v>
      </c>
      <c r="L506" t="s">
        <v>61</v>
      </c>
      <c r="M506">
        <v>5</v>
      </c>
      <c r="N506">
        <v>9605.01</v>
      </c>
    </row>
    <row r="507" spans="1:14" ht="14.25" customHeight="1" x14ac:dyDescent="0.3">
      <c r="A507">
        <v>1506</v>
      </c>
      <c r="B507" t="s">
        <v>210</v>
      </c>
      <c r="C507" t="s">
        <v>60</v>
      </c>
      <c r="D507" t="s">
        <v>33</v>
      </c>
      <c r="E507" t="s">
        <v>34</v>
      </c>
      <c r="F507" t="s">
        <v>45</v>
      </c>
      <c r="G507" t="s">
        <v>57</v>
      </c>
      <c r="H507" t="s">
        <v>37</v>
      </c>
      <c r="I507">
        <v>4</v>
      </c>
      <c r="J507">
        <v>47155</v>
      </c>
      <c r="K507">
        <v>160327</v>
      </c>
      <c r="L507" t="s">
        <v>61</v>
      </c>
      <c r="M507">
        <v>15</v>
      </c>
      <c r="N507">
        <v>25338.07</v>
      </c>
    </row>
    <row r="508" spans="1:14" ht="14.25" customHeight="1" x14ac:dyDescent="0.3">
      <c r="A508">
        <v>1507</v>
      </c>
      <c r="B508" t="s">
        <v>210</v>
      </c>
      <c r="C508" t="s">
        <v>60</v>
      </c>
      <c r="D508" t="s">
        <v>33</v>
      </c>
      <c r="E508" t="s">
        <v>34</v>
      </c>
      <c r="F508" t="s">
        <v>51</v>
      </c>
      <c r="G508" t="s">
        <v>52</v>
      </c>
      <c r="H508" t="s">
        <v>42</v>
      </c>
      <c r="I508">
        <v>1</v>
      </c>
      <c r="J508">
        <v>3762</v>
      </c>
      <c r="K508">
        <v>3197.7</v>
      </c>
      <c r="L508" t="s">
        <v>38</v>
      </c>
      <c r="M508">
        <v>15</v>
      </c>
      <c r="N508">
        <v>561.53</v>
      </c>
    </row>
    <row r="509" spans="1:14" ht="14.25" customHeight="1" x14ac:dyDescent="0.3">
      <c r="A509">
        <v>1508</v>
      </c>
      <c r="B509" t="s">
        <v>210</v>
      </c>
      <c r="C509" t="s">
        <v>44</v>
      </c>
      <c r="D509" t="s">
        <v>66</v>
      </c>
      <c r="E509" t="s">
        <v>34</v>
      </c>
      <c r="F509" t="s">
        <v>35</v>
      </c>
      <c r="G509" t="s">
        <v>36</v>
      </c>
      <c r="H509" t="s">
        <v>42</v>
      </c>
      <c r="I509">
        <v>5</v>
      </c>
      <c r="J509">
        <v>25425</v>
      </c>
      <c r="K509">
        <v>120768.75</v>
      </c>
      <c r="L509" t="s">
        <v>43</v>
      </c>
      <c r="M509">
        <v>5</v>
      </c>
      <c r="N509">
        <v>35790.69</v>
      </c>
    </row>
    <row r="510" spans="1:14" ht="14.25" customHeight="1" x14ac:dyDescent="0.3">
      <c r="A510">
        <v>1509</v>
      </c>
      <c r="B510" t="s">
        <v>211</v>
      </c>
      <c r="C510" t="s">
        <v>44</v>
      </c>
      <c r="D510" t="s">
        <v>58</v>
      </c>
      <c r="E510" t="s">
        <v>54</v>
      </c>
      <c r="F510" t="s">
        <v>35</v>
      </c>
      <c r="G510" t="s">
        <v>67</v>
      </c>
      <c r="H510" t="s">
        <v>37</v>
      </c>
      <c r="I510">
        <v>4</v>
      </c>
      <c r="J510">
        <v>13231</v>
      </c>
      <c r="K510">
        <v>52924</v>
      </c>
      <c r="L510" t="s">
        <v>38</v>
      </c>
      <c r="M510">
        <v>0</v>
      </c>
      <c r="N510">
        <v>15333.98</v>
      </c>
    </row>
    <row r="511" spans="1:14" ht="14.25" customHeight="1" x14ac:dyDescent="0.3">
      <c r="A511">
        <v>1510</v>
      </c>
      <c r="B511" t="s">
        <v>211</v>
      </c>
      <c r="C511" t="s">
        <v>44</v>
      </c>
      <c r="D511" t="s">
        <v>66</v>
      </c>
      <c r="E511" t="s">
        <v>34</v>
      </c>
      <c r="F511" t="s">
        <v>45</v>
      </c>
      <c r="G511" t="s">
        <v>46</v>
      </c>
      <c r="H511" t="s">
        <v>37</v>
      </c>
      <c r="I511">
        <v>3</v>
      </c>
      <c r="J511">
        <v>44580</v>
      </c>
      <c r="K511">
        <v>127053</v>
      </c>
      <c r="L511" t="s">
        <v>48</v>
      </c>
      <c r="M511">
        <v>5</v>
      </c>
      <c r="N511">
        <v>30196.59</v>
      </c>
    </row>
    <row r="512" spans="1:14" ht="14.25" customHeight="1" x14ac:dyDescent="0.3">
      <c r="A512">
        <v>1511</v>
      </c>
      <c r="B512" t="s">
        <v>211</v>
      </c>
      <c r="C512" t="s">
        <v>60</v>
      </c>
      <c r="D512" t="s">
        <v>58</v>
      </c>
      <c r="E512" t="s">
        <v>54</v>
      </c>
      <c r="F512" t="s">
        <v>45</v>
      </c>
      <c r="G512" t="s">
        <v>57</v>
      </c>
      <c r="H512" t="s">
        <v>42</v>
      </c>
      <c r="I512">
        <v>2</v>
      </c>
      <c r="J512">
        <v>46714</v>
      </c>
      <c r="K512">
        <v>84085.2</v>
      </c>
      <c r="L512" t="s">
        <v>43</v>
      </c>
      <c r="M512">
        <v>10</v>
      </c>
      <c r="N512">
        <v>12305.36</v>
      </c>
    </row>
    <row r="513" spans="1:14" ht="14.25" customHeight="1" x14ac:dyDescent="0.3">
      <c r="A513">
        <v>1512</v>
      </c>
      <c r="B513" t="s">
        <v>212</v>
      </c>
      <c r="C513" t="s">
        <v>39</v>
      </c>
      <c r="D513" t="s">
        <v>66</v>
      </c>
      <c r="E513" t="s">
        <v>34</v>
      </c>
      <c r="F513" t="s">
        <v>35</v>
      </c>
      <c r="G513" t="s">
        <v>65</v>
      </c>
      <c r="H513" t="s">
        <v>55</v>
      </c>
      <c r="I513">
        <v>3</v>
      </c>
      <c r="J513">
        <v>7966</v>
      </c>
      <c r="K513">
        <v>21508.2</v>
      </c>
      <c r="L513" t="s">
        <v>43</v>
      </c>
      <c r="M513">
        <v>10</v>
      </c>
      <c r="N513">
        <v>2375.63</v>
      </c>
    </row>
    <row r="514" spans="1:14" ht="14.25" customHeight="1" x14ac:dyDescent="0.3">
      <c r="A514">
        <v>1513</v>
      </c>
      <c r="B514" t="s">
        <v>212</v>
      </c>
      <c r="C514" t="s">
        <v>50</v>
      </c>
      <c r="D514" t="s">
        <v>58</v>
      </c>
      <c r="E514" t="s">
        <v>54</v>
      </c>
      <c r="F514" t="s">
        <v>51</v>
      </c>
      <c r="G514" t="s">
        <v>52</v>
      </c>
      <c r="H514" t="s">
        <v>47</v>
      </c>
      <c r="I514">
        <v>5</v>
      </c>
      <c r="J514">
        <v>24763</v>
      </c>
      <c r="K514">
        <v>111433.5</v>
      </c>
      <c r="L514" t="s">
        <v>48</v>
      </c>
      <c r="M514">
        <v>10</v>
      </c>
      <c r="N514">
        <v>22200.39</v>
      </c>
    </row>
    <row r="515" spans="1:14" ht="14.25" customHeight="1" x14ac:dyDescent="0.3">
      <c r="A515">
        <v>1514</v>
      </c>
      <c r="B515" t="s">
        <v>212</v>
      </c>
      <c r="C515" t="s">
        <v>44</v>
      </c>
      <c r="D515" t="s">
        <v>66</v>
      </c>
      <c r="E515" t="s">
        <v>34</v>
      </c>
      <c r="F515" t="s">
        <v>35</v>
      </c>
      <c r="G515" t="s">
        <v>67</v>
      </c>
      <c r="H515" t="s">
        <v>47</v>
      </c>
      <c r="I515">
        <v>4</v>
      </c>
      <c r="J515">
        <v>38817</v>
      </c>
      <c r="K515">
        <v>139741.20000000001</v>
      </c>
      <c r="L515" t="s">
        <v>61</v>
      </c>
      <c r="M515">
        <v>10</v>
      </c>
      <c r="N515">
        <v>28081.65</v>
      </c>
    </row>
    <row r="516" spans="1:14" ht="14.25" customHeight="1" x14ac:dyDescent="0.3">
      <c r="A516">
        <v>1515</v>
      </c>
      <c r="B516" t="s">
        <v>213</v>
      </c>
      <c r="C516" t="s">
        <v>32</v>
      </c>
      <c r="D516" t="s">
        <v>58</v>
      </c>
      <c r="E516" t="s">
        <v>54</v>
      </c>
      <c r="F516" t="s">
        <v>45</v>
      </c>
      <c r="G516" t="s">
        <v>57</v>
      </c>
      <c r="H516" t="s">
        <v>47</v>
      </c>
      <c r="I516">
        <v>2</v>
      </c>
      <c r="J516">
        <v>35184</v>
      </c>
      <c r="K516">
        <v>63331.199999999997</v>
      </c>
      <c r="L516" t="s">
        <v>48</v>
      </c>
      <c r="M516">
        <v>10</v>
      </c>
      <c r="N516">
        <v>10976.69</v>
      </c>
    </row>
    <row r="517" spans="1:14" ht="14.25" customHeight="1" x14ac:dyDescent="0.3">
      <c r="A517">
        <v>1516</v>
      </c>
      <c r="B517" t="s">
        <v>213</v>
      </c>
      <c r="C517" t="s">
        <v>44</v>
      </c>
      <c r="D517" t="s">
        <v>66</v>
      </c>
      <c r="E517" t="s">
        <v>34</v>
      </c>
      <c r="F517" t="s">
        <v>51</v>
      </c>
      <c r="G517" t="s">
        <v>62</v>
      </c>
      <c r="H517" t="s">
        <v>37</v>
      </c>
      <c r="I517">
        <v>3</v>
      </c>
      <c r="J517">
        <v>44763</v>
      </c>
      <c r="K517">
        <v>127574.55</v>
      </c>
      <c r="L517" t="s">
        <v>61</v>
      </c>
      <c r="M517">
        <v>5</v>
      </c>
      <c r="N517">
        <v>23687.64</v>
      </c>
    </row>
    <row r="518" spans="1:14" ht="14.25" customHeight="1" x14ac:dyDescent="0.3">
      <c r="A518">
        <v>1517</v>
      </c>
      <c r="B518" t="s">
        <v>213</v>
      </c>
      <c r="C518" t="s">
        <v>39</v>
      </c>
      <c r="D518" t="s">
        <v>53</v>
      </c>
      <c r="E518" t="s">
        <v>54</v>
      </c>
      <c r="F518" t="s">
        <v>35</v>
      </c>
      <c r="G518" t="s">
        <v>65</v>
      </c>
      <c r="H518" t="s">
        <v>55</v>
      </c>
      <c r="I518">
        <v>1</v>
      </c>
      <c r="J518">
        <v>5796</v>
      </c>
      <c r="K518">
        <v>5506.2</v>
      </c>
      <c r="L518" t="s">
        <v>61</v>
      </c>
      <c r="M518">
        <v>5</v>
      </c>
      <c r="N518">
        <v>1595.94</v>
      </c>
    </row>
    <row r="519" spans="1:14" ht="14.25" customHeight="1" x14ac:dyDescent="0.3">
      <c r="A519">
        <v>1518</v>
      </c>
      <c r="B519" t="s">
        <v>213</v>
      </c>
      <c r="C519" t="s">
        <v>32</v>
      </c>
      <c r="D519" t="s">
        <v>53</v>
      </c>
      <c r="E519" t="s">
        <v>54</v>
      </c>
      <c r="F519" t="s">
        <v>45</v>
      </c>
      <c r="G519" t="s">
        <v>46</v>
      </c>
      <c r="H519" t="s">
        <v>47</v>
      </c>
      <c r="I519">
        <v>4</v>
      </c>
      <c r="J519">
        <v>23339</v>
      </c>
      <c r="K519">
        <v>93356</v>
      </c>
      <c r="L519" t="s">
        <v>38</v>
      </c>
      <c r="M519">
        <v>0</v>
      </c>
      <c r="N519">
        <v>10579.61</v>
      </c>
    </row>
    <row r="520" spans="1:14" ht="14.25" customHeight="1" x14ac:dyDescent="0.3">
      <c r="A520">
        <v>1519</v>
      </c>
      <c r="B520" t="s">
        <v>213</v>
      </c>
      <c r="C520" t="s">
        <v>39</v>
      </c>
      <c r="D520" t="s">
        <v>58</v>
      </c>
      <c r="E520" t="s">
        <v>54</v>
      </c>
      <c r="F520" t="s">
        <v>45</v>
      </c>
      <c r="G520" t="s">
        <v>57</v>
      </c>
      <c r="H520" t="s">
        <v>37</v>
      </c>
      <c r="I520">
        <v>2</v>
      </c>
      <c r="J520">
        <v>45068</v>
      </c>
      <c r="K520">
        <v>90136</v>
      </c>
      <c r="L520" t="s">
        <v>48</v>
      </c>
      <c r="M520">
        <v>0</v>
      </c>
      <c r="N520">
        <v>11286.8</v>
      </c>
    </row>
    <row r="521" spans="1:14" ht="14.25" customHeight="1" x14ac:dyDescent="0.3">
      <c r="A521">
        <v>1520</v>
      </c>
      <c r="B521" t="s">
        <v>214</v>
      </c>
      <c r="C521" t="s">
        <v>32</v>
      </c>
      <c r="D521" t="s">
        <v>58</v>
      </c>
      <c r="E521" t="s">
        <v>54</v>
      </c>
      <c r="F521" t="s">
        <v>45</v>
      </c>
      <c r="G521" t="s">
        <v>57</v>
      </c>
      <c r="H521" t="s">
        <v>47</v>
      </c>
      <c r="I521">
        <v>1</v>
      </c>
      <c r="J521">
        <v>15551</v>
      </c>
      <c r="K521">
        <v>13995.9</v>
      </c>
      <c r="L521" t="s">
        <v>43</v>
      </c>
      <c r="M521">
        <v>10</v>
      </c>
      <c r="N521">
        <v>2912.27</v>
      </c>
    </row>
    <row r="522" spans="1:14" ht="14.25" customHeight="1" x14ac:dyDescent="0.3">
      <c r="A522">
        <v>1521</v>
      </c>
      <c r="B522" t="s">
        <v>214</v>
      </c>
      <c r="C522" t="s">
        <v>44</v>
      </c>
      <c r="D522" t="s">
        <v>40</v>
      </c>
      <c r="E522" t="s">
        <v>41</v>
      </c>
      <c r="F522" t="s">
        <v>35</v>
      </c>
      <c r="G522" t="s">
        <v>65</v>
      </c>
      <c r="H522" t="s">
        <v>42</v>
      </c>
      <c r="I522">
        <v>3</v>
      </c>
      <c r="J522">
        <v>4099</v>
      </c>
      <c r="K522">
        <v>11067.3</v>
      </c>
      <c r="L522" t="s">
        <v>43</v>
      </c>
      <c r="M522">
        <v>10</v>
      </c>
      <c r="N522">
        <v>1443.41</v>
      </c>
    </row>
    <row r="523" spans="1:14" ht="14.25" customHeight="1" x14ac:dyDescent="0.3">
      <c r="A523">
        <v>1522</v>
      </c>
      <c r="B523" t="s">
        <v>215</v>
      </c>
      <c r="C523" t="s">
        <v>60</v>
      </c>
      <c r="D523" t="s">
        <v>58</v>
      </c>
      <c r="E523" t="s">
        <v>54</v>
      </c>
      <c r="F523" t="s">
        <v>35</v>
      </c>
      <c r="G523" t="s">
        <v>36</v>
      </c>
      <c r="H523" t="s">
        <v>55</v>
      </c>
      <c r="I523">
        <v>1</v>
      </c>
      <c r="J523">
        <v>38234</v>
      </c>
      <c r="K523">
        <v>32498.9</v>
      </c>
      <c r="L523" t="s">
        <v>48</v>
      </c>
      <c r="M523">
        <v>15</v>
      </c>
      <c r="N523">
        <v>7780.16</v>
      </c>
    </row>
    <row r="524" spans="1:14" ht="14.25" customHeight="1" x14ac:dyDescent="0.3">
      <c r="A524">
        <v>1523</v>
      </c>
      <c r="B524" t="s">
        <v>215</v>
      </c>
      <c r="C524" t="s">
        <v>32</v>
      </c>
      <c r="D524" t="s">
        <v>40</v>
      </c>
      <c r="E524" t="s">
        <v>41</v>
      </c>
      <c r="F524" t="s">
        <v>51</v>
      </c>
      <c r="G524" t="s">
        <v>62</v>
      </c>
      <c r="H524" t="s">
        <v>55</v>
      </c>
      <c r="I524">
        <v>1</v>
      </c>
      <c r="J524">
        <v>24135</v>
      </c>
      <c r="K524">
        <v>24135</v>
      </c>
      <c r="L524" t="s">
        <v>61</v>
      </c>
      <c r="M524">
        <v>0</v>
      </c>
      <c r="N524">
        <v>4581.6499999999996</v>
      </c>
    </row>
    <row r="525" spans="1:14" ht="14.25" customHeight="1" x14ac:dyDescent="0.3">
      <c r="A525">
        <v>1524</v>
      </c>
      <c r="B525" t="s">
        <v>215</v>
      </c>
      <c r="C525" t="s">
        <v>44</v>
      </c>
      <c r="D525" t="s">
        <v>40</v>
      </c>
      <c r="E525" t="s">
        <v>41</v>
      </c>
      <c r="F525" t="s">
        <v>51</v>
      </c>
      <c r="G525" t="s">
        <v>52</v>
      </c>
      <c r="H525" t="s">
        <v>55</v>
      </c>
      <c r="I525">
        <v>2</v>
      </c>
      <c r="J525">
        <v>11819</v>
      </c>
      <c r="K525">
        <v>22456.1</v>
      </c>
      <c r="L525" t="s">
        <v>38</v>
      </c>
      <c r="M525">
        <v>5</v>
      </c>
      <c r="N525">
        <v>6697.43</v>
      </c>
    </row>
    <row r="526" spans="1:14" ht="14.25" customHeight="1" x14ac:dyDescent="0.3">
      <c r="A526">
        <v>1525</v>
      </c>
      <c r="B526" t="s">
        <v>215</v>
      </c>
      <c r="C526" t="s">
        <v>32</v>
      </c>
      <c r="D526" t="s">
        <v>66</v>
      </c>
      <c r="E526" t="s">
        <v>34</v>
      </c>
      <c r="F526" t="s">
        <v>51</v>
      </c>
      <c r="G526" t="s">
        <v>52</v>
      </c>
      <c r="H526" t="s">
        <v>42</v>
      </c>
      <c r="I526">
        <v>4</v>
      </c>
      <c r="J526">
        <v>9932</v>
      </c>
      <c r="K526">
        <v>39728</v>
      </c>
      <c r="L526" t="s">
        <v>61</v>
      </c>
      <c r="M526">
        <v>0</v>
      </c>
      <c r="N526">
        <v>7180.57</v>
      </c>
    </row>
    <row r="527" spans="1:14" ht="14.25" customHeight="1" x14ac:dyDescent="0.3">
      <c r="A527">
        <v>1526</v>
      </c>
      <c r="B527" t="s">
        <v>215</v>
      </c>
      <c r="C527" t="s">
        <v>60</v>
      </c>
      <c r="D527" t="s">
        <v>58</v>
      </c>
      <c r="E527" t="s">
        <v>54</v>
      </c>
      <c r="F527" t="s">
        <v>35</v>
      </c>
      <c r="G527" t="s">
        <v>67</v>
      </c>
      <c r="H527" t="s">
        <v>37</v>
      </c>
      <c r="I527">
        <v>1</v>
      </c>
      <c r="J527">
        <v>21722</v>
      </c>
      <c r="K527">
        <v>21722</v>
      </c>
      <c r="L527" t="s">
        <v>38</v>
      </c>
      <c r="M527">
        <v>0</v>
      </c>
      <c r="N527">
        <v>3397.26</v>
      </c>
    </row>
    <row r="528" spans="1:14" ht="14.25" customHeight="1" x14ac:dyDescent="0.3">
      <c r="A528">
        <v>1527</v>
      </c>
      <c r="B528" t="s">
        <v>216</v>
      </c>
      <c r="C528" t="s">
        <v>60</v>
      </c>
      <c r="D528" t="s">
        <v>53</v>
      </c>
      <c r="E528" t="s">
        <v>54</v>
      </c>
      <c r="F528" t="s">
        <v>51</v>
      </c>
      <c r="G528" t="s">
        <v>52</v>
      </c>
      <c r="H528" t="s">
        <v>55</v>
      </c>
      <c r="I528">
        <v>2</v>
      </c>
      <c r="J528">
        <v>37812</v>
      </c>
      <c r="K528">
        <v>68061.600000000006</v>
      </c>
      <c r="L528" t="s">
        <v>61</v>
      </c>
      <c r="M528">
        <v>10</v>
      </c>
      <c r="N528">
        <v>18699.63</v>
      </c>
    </row>
    <row r="529" spans="1:14" ht="14.25" customHeight="1" x14ac:dyDescent="0.3">
      <c r="A529">
        <v>1528</v>
      </c>
      <c r="B529" t="s">
        <v>216</v>
      </c>
      <c r="C529" t="s">
        <v>39</v>
      </c>
      <c r="D529" t="s">
        <v>66</v>
      </c>
      <c r="E529" t="s">
        <v>34</v>
      </c>
      <c r="F529" t="s">
        <v>51</v>
      </c>
      <c r="G529" t="s">
        <v>62</v>
      </c>
      <c r="H529" t="s">
        <v>55</v>
      </c>
      <c r="I529">
        <v>2</v>
      </c>
      <c r="J529">
        <v>21269</v>
      </c>
      <c r="K529">
        <v>36157.300000000003</v>
      </c>
      <c r="L529" t="s">
        <v>38</v>
      </c>
      <c r="M529">
        <v>15</v>
      </c>
      <c r="N529">
        <v>9403.64</v>
      </c>
    </row>
    <row r="530" spans="1:14" ht="14.25" customHeight="1" x14ac:dyDescent="0.3">
      <c r="A530">
        <v>1529</v>
      </c>
      <c r="B530" t="s">
        <v>216</v>
      </c>
      <c r="C530" t="s">
        <v>39</v>
      </c>
      <c r="D530" t="s">
        <v>33</v>
      </c>
      <c r="E530" t="s">
        <v>34</v>
      </c>
      <c r="F530" t="s">
        <v>45</v>
      </c>
      <c r="G530" t="s">
        <v>46</v>
      </c>
      <c r="H530" t="s">
        <v>42</v>
      </c>
      <c r="I530">
        <v>2</v>
      </c>
      <c r="J530">
        <v>22920</v>
      </c>
      <c r="K530">
        <v>45840</v>
      </c>
      <c r="L530" t="s">
        <v>61</v>
      </c>
      <c r="M530">
        <v>0</v>
      </c>
      <c r="N530">
        <v>5131.1099999999997</v>
      </c>
    </row>
    <row r="531" spans="1:14" ht="14.25" customHeight="1" x14ac:dyDescent="0.3">
      <c r="A531">
        <v>1530</v>
      </c>
      <c r="B531" t="s">
        <v>216</v>
      </c>
      <c r="C531" t="s">
        <v>60</v>
      </c>
      <c r="D531" t="s">
        <v>66</v>
      </c>
      <c r="E531" t="s">
        <v>34</v>
      </c>
      <c r="F531" t="s">
        <v>35</v>
      </c>
      <c r="G531" t="s">
        <v>36</v>
      </c>
      <c r="H531" t="s">
        <v>42</v>
      </c>
      <c r="I531">
        <v>3</v>
      </c>
      <c r="J531">
        <v>37890</v>
      </c>
      <c r="K531">
        <v>113670</v>
      </c>
      <c r="L531" t="s">
        <v>61</v>
      </c>
      <c r="M531">
        <v>0</v>
      </c>
      <c r="N531">
        <v>33605.58</v>
      </c>
    </row>
    <row r="532" spans="1:14" ht="14.25" customHeight="1" x14ac:dyDescent="0.3">
      <c r="A532">
        <v>1531</v>
      </c>
      <c r="B532" t="s">
        <v>217</v>
      </c>
      <c r="C532" t="s">
        <v>32</v>
      </c>
      <c r="D532" t="s">
        <v>53</v>
      </c>
      <c r="E532" t="s">
        <v>54</v>
      </c>
      <c r="F532" t="s">
        <v>45</v>
      </c>
      <c r="G532" t="s">
        <v>46</v>
      </c>
      <c r="H532" t="s">
        <v>37</v>
      </c>
      <c r="I532">
        <v>4</v>
      </c>
      <c r="J532">
        <v>47985</v>
      </c>
      <c r="K532">
        <v>182343</v>
      </c>
      <c r="L532" t="s">
        <v>43</v>
      </c>
      <c r="M532">
        <v>5</v>
      </c>
      <c r="N532">
        <v>28951.23</v>
      </c>
    </row>
    <row r="533" spans="1:14" ht="14.25" customHeight="1" x14ac:dyDescent="0.3">
      <c r="A533">
        <v>1532</v>
      </c>
      <c r="B533" t="s">
        <v>217</v>
      </c>
      <c r="C533" t="s">
        <v>44</v>
      </c>
      <c r="D533" t="s">
        <v>40</v>
      </c>
      <c r="E533" t="s">
        <v>41</v>
      </c>
      <c r="F533" t="s">
        <v>35</v>
      </c>
      <c r="G533" t="s">
        <v>65</v>
      </c>
      <c r="H533" t="s">
        <v>55</v>
      </c>
      <c r="I533">
        <v>5</v>
      </c>
      <c r="J533">
        <v>8568</v>
      </c>
      <c r="K533">
        <v>40698</v>
      </c>
      <c r="L533" t="s">
        <v>61</v>
      </c>
      <c r="M533">
        <v>5</v>
      </c>
      <c r="N533">
        <v>11032.65</v>
      </c>
    </row>
    <row r="534" spans="1:14" ht="14.25" customHeight="1" x14ac:dyDescent="0.3">
      <c r="A534">
        <v>1533</v>
      </c>
      <c r="B534" t="s">
        <v>217</v>
      </c>
      <c r="C534" t="s">
        <v>50</v>
      </c>
      <c r="D534" t="s">
        <v>66</v>
      </c>
      <c r="E534" t="s">
        <v>34</v>
      </c>
      <c r="F534" t="s">
        <v>45</v>
      </c>
      <c r="G534" t="s">
        <v>69</v>
      </c>
      <c r="H534" t="s">
        <v>42</v>
      </c>
      <c r="I534">
        <v>2</v>
      </c>
      <c r="J534">
        <v>39060</v>
      </c>
      <c r="K534">
        <v>70308</v>
      </c>
      <c r="L534" t="s">
        <v>61</v>
      </c>
      <c r="M534">
        <v>10</v>
      </c>
      <c r="N534">
        <v>11616.18</v>
      </c>
    </row>
    <row r="535" spans="1:14" ht="14.25" customHeight="1" x14ac:dyDescent="0.3">
      <c r="A535">
        <v>1534</v>
      </c>
      <c r="B535" t="s">
        <v>217</v>
      </c>
      <c r="C535" t="s">
        <v>50</v>
      </c>
      <c r="D535" t="s">
        <v>33</v>
      </c>
      <c r="E535" t="s">
        <v>34</v>
      </c>
      <c r="F535" t="s">
        <v>51</v>
      </c>
      <c r="G535" t="s">
        <v>52</v>
      </c>
      <c r="H535" t="s">
        <v>37</v>
      </c>
      <c r="I535">
        <v>5</v>
      </c>
      <c r="J535">
        <v>44519</v>
      </c>
      <c r="K535">
        <v>211465.25</v>
      </c>
      <c r="L535" t="s">
        <v>38</v>
      </c>
      <c r="M535">
        <v>5</v>
      </c>
      <c r="N535">
        <v>43376.1</v>
      </c>
    </row>
    <row r="536" spans="1:14" ht="14.25" customHeight="1" x14ac:dyDescent="0.3">
      <c r="A536">
        <v>1535</v>
      </c>
      <c r="B536" t="s">
        <v>217</v>
      </c>
      <c r="C536" t="s">
        <v>44</v>
      </c>
      <c r="D536" t="s">
        <v>58</v>
      </c>
      <c r="E536" t="s">
        <v>54</v>
      </c>
      <c r="F536" t="s">
        <v>51</v>
      </c>
      <c r="G536" t="s">
        <v>62</v>
      </c>
      <c r="H536" t="s">
        <v>37</v>
      </c>
      <c r="I536">
        <v>3</v>
      </c>
      <c r="J536">
        <v>45872</v>
      </c>
      <c r="K536">
        <v>130735.2</v>
      </c>
      <c r="L536" t="s">
        <v>43</v>
      </c>
      <c r="M536">
        <v>5</v>
      </c>
      <c r="N536">
        <v>25970.85</v>
      </c>
    </row>
    <row r="537" spans="1:14" ht="14.25" customHeight="1" x14ac:dyDescent="0.3">
      <c r="A537">
        <v>1536</v>
      </c>
      <c r="B537" t="s">
        <v>218</v>
      </c>
      <c r="C537" t="s">
        <v>44</v>
      </c>
      <c r="D537" t="s">
        <v>40</v>
      </c>
      <c r="E537" t="s">
        <v>41</v>
      </c>
      <c r="F537" t="s">
        <v>51</v>
      </c>
      <c r="G537" t="s">
        <v>62</v>
      </c>
      <c r="H537" t="s">
        <v>47</v>
      </c>
      <c r="I537">
        <v>3</v>
      </c>
      <c r="J537">
        <v>31587</v>
      </c>
      <c r="K537">
        <v>85284.9</v>
      </c>
      <c r="L537" t="s">
        <v>48</v>
      </c>
      <c r="M537">
        <v>10</v>
      </c>
      <c r="N537">
        <v>11613.11</v>
      </c>
    </row>
    <row r="538" spans="1:14" ht="14.25" customHeight="1" x14ac:dyDescent="0.3">
      <c r="A538">
        <v>1537</v>
      </c>
      <c r="B538" t="s">
        <v>218</v>
      </c>
      <c r="C538" t="s">
        <v>44</v>
      </c>
      <c r="D538" t="s">
        <v>66</v>
      </c>
      <c r="E538" t="s">
        <v>34</v>
      </c>
      <c r="F538" t="s">
        <v>45</v>
      </c>
      <c r="G538" t="s">
        <v>57</v>
      </c>
      <c r="H538" t="s">
        <v>55</v>
      </c>
      <c r="I538">
        <v>5</v>
      </c>
      <c r="J538">
        <v>34577</v>
      </c>
      <c r="K538">
        <v>172885</v>
      </c>
      <c r="L538" t="s">
        <v>38</v>
      </c>
      <c r="M538">
        <v>0</v>
      </c>
      <c r="N538">
        <v>31178.11</v>
      </c>
    </row>
    <row r="539" spans="1:14" ht="14.25" customHeight="1" x14ac:dyDescent="0.3">
      <c r="A539">
        <v>1538</v>
      </c>
      <c r="B539" t="s">
        <v>218</v>
      </c>
      <c r="C539" t="s">
        <v>60</v>
      </c>
      <c r="D539" t="s">
        <v>58</v>
      </c>
      <c r="E539" t="s">
        <v>54</v>
      </c>
      <c r="F539" t="s">
        <v>51</v>
      </c>
      <c r="G539" t="s">
        <v>62</v>
      </c>
      <c r="H539" t="s">
        <v>42</v>
      </c>
      <c r="I539">
        <v>4</v>
      </c>
      <c r="J539">
        <v>48402</v>
      </c>
      <c r="K539">
        <v>174247.2</v>
      </c>
      <c r="L539" t="s">
        <v>43</v>
      </c>
      <c r="M539">
        <v>10</v>
      </c>
      <c r="N539">
        <v>50108.35</v>
      </c>
    </row>
    <row r="540" spans="1:14" ht="14.25" customHeight="1" x14ac:dyDescent="0.3">
      <c r="A540">
        <v>1539</v>
      </c>
      <c r="B540" t="s">
        <v>219</v>
      </c>
      <c r="C540" t="s">
        <v>44</v>
      </c>
      <c r="D540" t="s">
        <v>33</v>
      </c>
      <c r="E540" t="s">
        <v>34</v>
      </c>
      <c r="F540" t="s">
        <v>35</v>
      </c>
      <c r="G540" t="s">
        <v>65</v>
      </c>
      <c r="H540" t="s">
        <v>42</v>
      </c>
      <c r="I540">
        <v>3</v>
      </c>
      <c r="J540">
        <v>15211</v>
      </c>
      <c r="K540">
        <v>38788.050000000003</v>
      </c>
      <c r="L540" t="s">
        <v>43</v>
      </c>
      <c r="M540">
        <v>15</v>
      </c>
      <c r="N540">
        <v>10973.57</v>
      </c>
    </row>
    <row r="541" spans="1:14" ht="14.25" customHeight="1" x14ac:dyDescent="0.3">
      <c r="A541">
        <v>1540</v>
      </c>
      <c r="B541" t="s">
        <v>219</v>
      </c>
      <c r="C541" t="s">
        <v>39</v>
      </c>
      <c r="D541" t="s">
        <v>66</v>
      </c>
      <c r="E541" t="s">
        <v>34</v>
      </c>
      <c r="F541" t="s">
        <v>45</v>
      </c>
      <c r="G541" t="s">
        <v>69</v>
      </c>
      <c r="H541" t="s">
        <v>47</v>
      </c>
      <c r="I541">
        <v>4</v>
      </c>
      <c r="J541">
        <v>21979</v>
      </c>
      <c r="K541">
        <v>83520.2</v>
      </c>
      <c r="L541" t="s">
        <v>48</v>
      </c>
      <c r="M541">
        <v>5</v>
      </c>
      <c r="N541">
        <v>19329.939999999999</v>
      </c>
    </row>
    <row r="542" spans="1:14" ht="14.25" customHeight="1" x14ac:dyDescent="0.3">
      <c r="A542">
        <v>1541</v>
      </c>
      <c r="B542" t="s">
        <v>219</v>
      </c>
      <c r="C542" t="s">
        <v>50</v>
      </c>
      <c r="D542" t="s">
        <v>66</v>
      </c>
      <c r="E542" t="s">
        <v>34</v>
      </c>
      <c r="F542" t="s">
        <v>51</v>
      </c>
      <c r="G542" t="s">
        <v>63</v>
      </c>
      <c r="H542" t="s">
        <v>37</v>
      </c>
      <c r="I542">
        <v>3</v>
      </c>
      <c r="J542">
        <v>13211</v>
      </c>
      <c r="K542">
        <v>39633</v>
      </c>
      <c r="L542" t="s">
        <v>38</v>
      </c>
      <c r="M542">
        <v>0</v>
      </c>
      <c r="N542">
        <v>4996.1000000000004</v>
      </c>
    </row>
    <row r="543" spans="1:14" ht="14.25" customHeight="1" x14ac:dyDescent="0.3">
      <c r="A543">
        <v>1542</v>
      </c>
      <c r="B543" t="s">
        <v>220</v>
      </c>
      <c r="C543" t="s">
        <v>60</v>
      </c>
      <c r="D543" t="s">
        <v>58</v>
      </c>
      <c r="E543" t="s">
        <v>54</v>
      </c>
      <c r="F543" t="s">
        <v>51</v>
      </c>
      <c r="G543" t="s">
        <v>63</v>
      </c>
      <c r="H543" t="s">
        <v>42</v>
      </c>
      <c r="I543">
        <v>1</v>
      </c>
      <c r="J543">
        <v>12901</v>
      </c>
      <c r="K543">
        <v>12901</v>
      </c>
      <c r="L543" t="s">
        <v>48</v>
      </c>
      <c r="M543">
        <v>0</v>
      </c>
      <c r="N543">
        <v>2409.35</v>
      </c>
    </row>
    <row r="544" spans="1:14" ht="14.25" customHeight="1" x14ac:dyDescent="0.3">
      <c r="A544">
        <v>1543</v>
      </c>
      <c r="B544" t="s">
        <v>220</v>
      </c>
      <c r="C544" t="s">
        <v>44</v>
      </c>
      <c r="D544" t="s">
        <v>58</v>
      </c>
      <c r="E544" t="s">
        <v>54</v>
      </c>
      <c r="F544" t="s">
        <v>51</v>
      </c>
      <c r="G544" t="s">
        <v>62</v>
      </c>
      <c r="H544" t="s">
        <v>47</v>
      </c>
      <c r="I544">
        <v>2</v>
      </c>
      <c r="J544">
        <v>24752</v>
      </c>
      <c r="K544">
        <v>49504</v>
      </c>
      <c r="L544" t="s">
        <v>38</v>
      </c>
      <c r="M544">
        <v>0</v>
      </c>
      <c r="N544">
        <v>5648.83</v>
      </c>
    </row>
    <row r="545" spans="1:14" ht="14.25" customHeight="1" x14ac:dyDescent="0.3">
      <c r="A545">
        <v>1544</v>
      </c>
      <c r="B545" t="s">
        <v>220</v>
      </c>
      <c r="C545" t="s">
        <v>50</v>
      </c>
      <c r="D545" t="s">
        <v>33</v>
      </c>
      <c r="E545" t="s">
        <v>34</v>
      </c>
      <c r="F545" t="s">
        <v>51</v>
      </c>
      <c r="G545" t="s">
        <v>62</v>
      </c>
      <c r="H545" t="s">
        <v>55</v>
      </c>
      <c r="I545">
        <v>2</v>
      </c>
      <c r="J545">
        <v>5409</v>
      </c>
      <c r="K545">
        <v>10277.1</v>
      </c>
      <c r="L545" t="s">
        <v>48</v>
      </c>
      <c r="M545">
        <v>5</v>
      </c>
      <c r="N545">
        <v>2200.9499999999998</v>
      </c>
    </row>
    <row r="546" spans="1:14" ht="14.25" customHeight="1" x14ac:dyDescent="0.3">
      <c r="A546">
        <v>1545</v>
      </c>
      <c r="B546" t="s">
        <v>220</v>
      </c>
      <c r="C546" t="s">
        <v>50</v>
      </c>
      <c r="D546" t="s">
        <v>33</v>
      </c>
      <c r="E546" t="s">
        <v>34</v>
      </c>
      <c r="F546" t="s">
        <v>45</v>
      </c>
      <c r="G546" t="s">
        <v>69</v>
      </c>
      <c r="H546" t="s">
        <v>42</v>
      </c>
      <c r="I546">
        <v>5</v>
      </c>
      <c r="J546">
        <v>20920</v>
      </c>
      <c r="K546">
        <v>94140</v>
      </c>
      <c r="L546" t="s">
        <v>61</v>
      </c>
      <c r="M546">
        <v>10</v>
      </c>
      <c r="N546">
        <v>15439.96</v>
      </c>
    </row>
    <row r="547" spans="1:14" ht="14.25" customHeight="1" x14ac:dyDescent="0.3">
      <c r="A547">
        <v>1546</v>
      </c>
      <c r="B547" t="s">
        <v>220</v>
      </c>
      <c r="C547" t="s">
        <v>39</v>
      </c>
      <c r="D547" t="s">
        <v>53</v>
      </c>
      <c r="E547" t="s">
        <v>54</v>
      </c>
      <c r="F547" t="s">
        <v>51</v>
      </c>
      <c r="G547" t="s">
        <v>63</v>
      </c>
      <c r="H547" t="s">
        <v>47</v>
      </c>
      <c r="I547">
        <v>1</v>
      </c>
      <c r="J547">
        <v>47035</v>
      </c>
      <c r="K547">
        <v>39979.75</v>
      </c>
      <c r="L547" t="s">
        <v>61</v>
      </c>
      <c r="M547">
        <v>15</v>
      </c>
      <c r="N547">
        <v>11224.96</v>
      </c>
    </row>
    <row r="548" spans="1:14" ht="14.25" customHeight="1" x14ac:dyDescent="0.3">
      <c r="A548">
        <v>1547</v>
      </c>
      <c r="B548" t="s">
        <v>221</v>
      </c>
      <c r="C548" t="s">
        <v>44</v>
      </c>
      <c r="D548" t="s">
        <v>53</v>
      </c>
      <c r="E548" t="s">
        <v>54</v>
      </c>
      <c r="F548" t="s">
        <v>35</v>
      </c>
      <c r="G548" t="s">
        <v>65</v>
      </c>
      <c r="H548" t="s">
        <v>37</v>
      </c>
      <c r="I548">
        <v>2</v>
      </c>
      <c r="J548">
        <v>41822</v>
      </c>
      <c r="K548">
        <v>75279.600000000006</v>
      </c>
      <c r="L548" t="s">
        <v>61</v>
      </c>
      <c r="M548">
        <v>10</v>
      </c>
      <c r="N548">
        <v>21356.04</v>
      </c>
    </row>
    <row r="549" spans="1:14" ht="14.25" customHeight="1" x14ac:dyDescent="0.3">
      <c r="A549">
        <v>1548</v>
      </c>
      <c r="B549" t="s">
        <v>221</v>
      </c>
      <c r="C549" t="s">
        <v>44</v>
      </c>
      <c r="D549" t="s">
        <v>58</v>
      </c>
      <c r="E549" t="s">
        <v>54</v>
      </c>
      <c r="F549" t="s">
        <v>51</v>
      </c>
      <c r="G549" t="s">
        <v>52</v>
      </c>
      <c r="H549" t="s">
        <v>47</v>
      </c>
      <c r="I549">
        <v>2</v>
      </c>
      <c r="J549">
        <v>16286</v>
      </c>
      <c r="K549">
        <v>27686.2</v>
      </c>
      <c r="L549" t="s">
        <v>48</v>
      </c>
      <c r="M549">
        <v>15</v>
      </c>
      <c r="N549">
        <v>3617.71</v>
      </c>
    </row>
    <row r="550" spans="1:14" ht="14.25" customHeight="1" x14ac:dyDescent="0.3">
      <c r="A550">
        <v>1549</v>
      </c>
      <c r="B550" t="s">
        <v>221</v>
      </c>
      <c r="C550" t="s">
        <v>50</v>
      </c>
      <c r="D550" t="s">
        <v>66</v>
      </c>
      <c r="E550" t="s">
        <v>34</v>
      </c>
      <c r="F550" t="s">
        <v>51</v>
      </c>
      <c r="G550" t="s">
        <v>62</v>
      </c>
      <c r="H550" t="s">
        <v>37</v>
      </c>
      <c r="I550">
        <v>5</v>
      </c>
      <c r="J550">
        <v>13667</v>
      </c>
      <c r="K550">
        <v>68335</v>
      </c>
      <c r="L550" t="s">
        <v>48</v>
      </c>
      <c r="M550">
        <v>0</v>
      </c>
      <c r="N550">
        <v>7749.08</v>
      </c>
    </row>
    <row r="551" spans="1:14" ht="14.25" customHeight="1" x14ac:dyDescent="0.3">
      <c r="A551">
        <v>1550</v>
      </c>
      <c r="B551" t="s">
        <v>221</v>
      </c>
      <c r="C551" t="s">
        <v>60</v>
      </c>
      <c r="D551" t="s">
        <v>58</v>
      </c>
      <c r="E551" t="s">
        <v>54</v>
      </c>
      <c r="F551" t="s">
        <v>51</v>
      </c>
      <c r="G551" t="s">
        <v>62</v>
      </c>
      <c r="H551" t="s">
        <v>47</v>
      </c>
      <c r="I551">
        <v>1</v>
      </c>
      <c r="J551">
        <v>39901</v>
      </c>
      <c r="K551">
        <v>37905.949999999997</v>
      </c>
      <c r="L551" t="s">
        <v>61</v>
      </c>
      <c r="M551">
        <v>5</v>
      </c>
      <c r="N551">
        <v>9568.0400000000009</v>
      </c>
    </row>
    <row r="552" spans="1:14" ht="14.25" customHeight="1" x14ac:dyDescent="0.3">
      <c r="A552">
        <v>1551</v>
      </c>
      <c r="B552" t="s">
        <v>222</v>
      </c>
      <c r="C552" t="s">
        <v>60</v>
      </c>
      <c r="D552" t="s">
        <v>66</v>
      </c>
      <c r="E552" t="s">
        <v>34</v>
      </c>
      <c r="F552" t="s">
        <v>45</v>
      </c>
      <c r="G552" t="s">
        <v>57</v>
      </c>
      <c r="H552" t="s">
        <v>55</v>
      </c>
      <c r="I552">
        <v>3</v>
      </c>
      <c r="J552">
        <v>15594</v>
      </c>
      <c r="K552">
        <v>46782</v>
      </c>
      <c r="L552" t="s">
        <v>48</v>
      </c>
      <c r="M552">
        <v>0</v>
      </c>
      <c r="N552">
        <v>9270.09</v>
      </c>
    </row>
    <row r="553" spans="1:14" ht="14.25" customHeight="1" x14ac:dyDescent="0.3">
      <c r="A553">
        <v>1552</v>
      </c>
      <c r="B553" t="s">
        <v>222</v>
      </c>
      <c r="C553" t="s">
        <v>50</v>
      </c>
      <c r="D553" t="s">
        <v>58</v>
      </c>
      <c r="E553" t="s">
        <v>54</v>
      </c>
      <c r="F553" t="s">
        <v>51</v>
      </c>
      <c r="G553" t="s">
        <v>52</v>
      </c>
      <c r="H553" t="s">
        <v>37</v>
      </c>
      <c r="I553">
        <v>3</v>
      </c>
      <c r="J553">
        <v>34166</v>
      </c>
      <c r="K553">
        <v>102498</v>
      </c>
      <c r="L553" t="s">
        <v>48</v>
      </c>
      <c r="M553">
        <v>0</v>
      </c>
      <c r="N553">
        <v>16081.36</v>
      </c>
    </row>
    <row r="554" spans="1:14" ht="14.25" customHeight="1" x14ac:dyDescent="0.3">
      <c r="A554">
        <v>1553</v>
      </c>
      <c r="B554" t="s">
        <v>222</v>
      </c>
      <c r="C554" t="s">
        <v>39</v>
      </c>
      <c r="D554" t="s">
        <v>53</v>
      </c>
      <c r="E554" t="s">
        <v>54</v>
      </c>
      <c r="F554" t="s">
        <v>35</v>
      </c>
      <c r="G554" t="s">
        <v>36</v>
      </c>
      <c r="H554" t="s">
        <v>37</v>
      </c>
      <c r="I554">
        <v>5</v>
      </c>
      <c r="J554">
        <v>24626</v>
      </c>
      <c r="K554">
        <v>116973.5</v>
      </c>
      <c r="L554" t="s">
        <v>48</v>
      </c>
      <c r="M554">
        <v>5</v>
      </c>
      <c r="N554">
        <v>28459.96</v>
      </c>
    </row>
    <row r="555" spans="1:14" ht="14.25" customHeight="1" x14ac:dyDescent="0.3">
      <c r="A555">
        <v>1554</v>
      </c>
      <c r="B555" t="s">
        <v>223</v>
      </c>
      <c r="C555" t="s">
        <v>32</v>
      </c>
      <c r="D555" t="s">
        <v>58</v>
      </c>
      <c r="E555" t="s">
        <v>54</v>
      </c>
      <c r="F555" t="s">
        <v>51</v>
      </c>
      <c r="G555" t="s">
        <v>62</v>
      </c>
      <c r="H555" t="s">
        <v>42</v>
      </c>
      <c r="I555">
        <v>4</v>
      </c>
      <c r="J555">
        <v>36697</v>
      </c>
      <c r="K555">
        <v>124769.8</v>
      </c>
      <c r="L555" t="s">
        <v>61</v>
      </c>
      <c r="M555">
        <v>15</v>
      </c>
      <c r="N555">
        <v>16112.05</v>
      </c>
    </row>
    <row r="556" spans="1:14" ht="14.25" customHeight="1" x14ac:dyDescent="0.3">
      <c r="A556">
        <v>1555</v>
      </c>
      <c r="B556" t="s">
        <v>223</v>
      </c>
      <c r="C556" t="s">
        <v>39</v>
      </c>
      <c r="D556" t="s">
        <v>66</v>
      </c>
      <c r="E556" t="s">
        <v>34</v>
      </c>
      <c r="F556" t="s">
        <v>51</v>
      </c>
      <c r="G556" t="s">
        <v>63</v>
      </c>
      <c r="H556" t="s">
        <v>55</v>
      </c>
      <c r="I556">
        <v>5</v>
      </c>
      <c r="J556">
        <v>43074</v>
      </c>
      <c r="K556">
        <v>215370</v>
      </c>
      <c r="L556" t="s">
        <v>43</v>
      </c>
      <c r="M556">
        <v>0</v>
      </c>
      <c r="N556">
        <v>30639.16</v>
      </c>
    </row>
    <row r="557" spans="1:14" ht="14.25" customHeight="1" x14ac:dyDescent="0.3">
      <c r="A557">
        <v>1556</v>
      </c>
      <c r="B557" t="s">
        <v>224</v>
      </c>
      <c r="C557" t="s">
        <v>39</v>
      </c>
      <c r="D557" t="s">
        <v>58</v>
      </c>
      <c r="E557" t="s">
        <v>54</v>
      </c>
      <c r="F557" t="s">
        <v>35</v>
      </c>
      <c r="G557" t="s">
        <v>67</v>
      </c>
      <c r="H557" t="s">
        <v>55</v>
      </c>
      <c r="I557">
        <v>2</v>
      </c>
      <c r="J557">
        <v>44629</v>
      </c>
      <c r="K557">
        <v>89258</v>
      </c>
      <c r="L557" t="s">
        <v>38</v>
      </c>
      <c r="M557">
        <v>0</v>
      </c>
      <c r="N557">
        <v>21101.61</v>
      </c>
    </row>
    <row r="558" spans="1:14" ht="14.25" customHeight="1" x14ac:dyDescent="0.3">
      <c r="A558">
        <v>1557</v>
      </c>
      <c r="B558" t="s">
        <v>224</v>
      </c>
      <c r="C558" t="s">
        <v>50</v>
      </c>
      <c r="D558" t="s">
        <v>66</v>
      </c>
      <c r="E558" t="s">
        <v>34</v>
      </c>
      <c r="F558" t="s">
        <v>51</v>
      </c>
      <c r="G558" t="s">
        <v>62</v>
      </c>
      <c r="H558" t="s">
        <v>55</v>
      </c>
      <c r="I558">
        <v>2</v>
      </c>
      <c r="J558">
        <v>8012</v>
      </c>
      <c r="K558">
        <v>13620.4</v>
      </c>
      <c r="L558" t="s">
        <v>61</v>
      </c>
      <c r="M558">
        <v>15</v>
      </c>
      <c r="N558">
        <v>2557.5700000000002</v>
      </c>
    </row>
    <row r="559" spans="1:14" ht="14.25" customHeight="1" x14ac:dyDescent="0.3">
      <c r="A559">
        <v>1558</v>
      </c>
      <c r="B559" t="s">
        <v>224</v>
      </c>
      <c r="C559" t="s">
        <v>44</v>
      </c>
      <c r="D559" t="s">
        <v>53</v>
      </c>
      <c r="E559" t="s">
        <v>54</v>
      </c>
      <c r="F559" t="s">
        <v>45</v>
      </c>
      <c r="G559" t="s">
        <v>46</v>
      </c>
      <c r="H559" t="s">
        <v>55</v>
      </c>
      <c r="I559">
        <v>3</v>
      </c>
      <c r="J559">
        <v>41621</v>
      </c>
      <c r="K559">
        <v>106133.55</v>
      </c>
      <c r="L559" t="s">
        <v>38</v>
      </c>
      <c r="M559">
        <v>15</v>
      </c>
      <c r="N559">
        <v>11199.52</v>
      </c>
    </row>
    <row r="560" spans="1:14" ht="14.25" customHeight="1" x14ac:dyDescent="0.3">
      <c r="A560">
        <v>1559</v>
      </c>
      <c r="B560" t="s">
        <v>225</v>
      </c>
      <c r="C560" t="s">
        <v>32</v>
      </c>
      <c r="D560" t="s">
        <v>40</v>
      </c>
      <c r="E560" t="s">
        <v>41</v>
      </c>
      <c r="F560" t="s">
        <v>51</v>
      </c>
      <c r="G560" t="s">
        <v>52</v>
      </c>
      <c r="H560" t="s">
        <v>55</v>
      </c>
      <c r="I560">
        <v>1</v>
      </c>
      <c r="J560">
        <v>21416</v>
      </c>
      <c r="K560">
        <v>19274.400000000001</v>
      </c>
      <c r="L560" t="s">
        <v>48</v>
      </c>
      <c r="M560">
        <v>10</v>
      </c>
      <c r="N560">
        <v>5546.07</v>
      </c>
    </row>
    <row r="561" spans="1:14" ht="14.25" customHeight="1" x14ac:dyDescent="0.3">
      <c r="A561">
        <v>1560</v>
      </c>
      <c r="B561" t="s">
        <v>225</v>
      </c>
      <c r="C561" t="s">
        <v>50</v>
      </c>
      <c r="D561" t="s">
        <v>53</v>
      </c>
      <c r="E561" t="s">
        <v>54</v>
      </c>
      <c r="F561" t="s">
        <v>45</v>
      </c>
      <c r="G561" t="s">
        <v>69</v>
      </c>
      <c r="H561" t="s">
        <v>55</v>
      </c>
      <c r="I561">
        <v>5</v>
      </c>
      <c r="J561">
        <v>19766</v>
      </c>
      <c r="K561">
        <v>93888.5</v>
      </c>
      <c r="L561" t="s">
        <v>61</v>
      </c>
      <c r="M561">
        <v>5</v>
      </c>
      <c r="N561">
        <v>10221.5</v>
      </c>
    </row>
    <row r="562" spans="1:14" ht="14.25" customHeight="1" x14ac:dyDescent="0.3">
      <c r="A562">
        <v>1561</v>
      </c>
      <c r="B562" t="s">
        <v>225</v>
      </c>
      <c r="C562" t="s">
        <v>32</v>
      </c>
      <c r="D562" t="s">
        <v>33</v>
      </c>
      <c r="E562" t="s">
        <v>34</v>
      </c>
      <c r="F562" t="s">
        <v>51</v>
      </c>
      <c r="G562" t="s">
        <v>52</v>
      </c>
      <c r="H562" t="s">
        <v>42</v>
      </c>
      <c r="I562">
        <v>1</v>
      </c>
      <c r="J562">
        <v>1331</v>
      </c>
      <c r="K562">
        <v>1264.45</v>
      </c>
      <c r="L562" t="s">
        <v>61</v>
      </c>
      <c r="M562">
        <v>5</v>
      </c>
      <c r="N562">
        <v>292.58</v>
      </c>
    </row>
    <row r="563" spans="1:14" ht="14.25" customHeight="1" x14ac:dyDescent="0.3">
      <c r="A563">
        <v>1562</v>
      </c>
      <c r="B563" t="s">
        <v>226</v>
      </c>
      <c r="C563" t="s">
        <v>44</v>
      </c>
      <c r="D563" t="s">
        <v>66</v>
      </c>
      <c r="E563" t="s">
        <v>34</v>
      </c>
      <c r="F563" t="s">
        <v>51</v>
      </c>
      <c r="G563" t="s">
        <v>63</v>
      </c>
      <c r="H563" t="s">
        <v>47</v>
      </c>
      <c r="I563">
        <v>1</v>
      </c>
      <c r="J563">
        <v>27511</v>
      </c>
      <c r="K563">
        <v>23384.35</v>
      </c>
      <c r="L563" t="s">
        <v>43</v>
      </c>
      <c r="M563">
        <v>15</v>
      </c>
      <c r="N563">
        <v>3019.21</v>
      </c>
    </row>
    <row r="564" spans="1:14" ht="14.25" customHeight="1" x14ac:dyDescent="0.3">
      <c r="A564">
        <v>1563</v>
      </c>
      <c r="B564" t="s">
        <v>226</v>
      </c>
      <c r="C564" t="s">
        <v>39</v>
      </c>
      <c r="D564" t="s">
        <v>40</v>
      </c>
      <c r="E564" t="s">
        <v>41</v>
      </c>
      <c r="F564" t="s">
        <v>35</v>
      </c>
      <c r="G564" t="s">
        <v>65</v>
      </c>
      <c r="H564" t="s">
        <v>42</v>
      </c>
      <c r="I564">
        <v>5</v>
      </c>
      <c r="J564">
        <v>42205</v>
      </c>
      <c r="K564">
        <v>179371.25</v>
      </c>
      <c r="L564" t="s">
        <v>48</v>
      </c>
      <c r="M564">
        <v>15</v>
      </c>
      <c r="N564">
        <v>30802.15</v>
      </c>
    </row>
    <row r="565" spans="1:14" ht="14.25" customHeight="1" x14ac:dyDescent="0.3">
      <c r="A565">
        <v>1564</v>
      </c>
      <c r="B565" t="s">
        <v>226</v>
      </c>
      <c r="C565" t="s">
        <v>39</v>
      </c>
      <c r="D565" t="s">
        <v>40</v>
      </c>
      <c r="E565" t="s">
        <v>41</v>
      </c>
      <c r="F565" t="s">
        <v>45</v>
      </c>
      <c r="G565" t="s">
        <v>69</v>
      </c>
      <c r="H565" t="s">
        <v>55</v>
      </c>
      <c r="I565">
        <v>1</v>
      </c>
      <c r="J565">
        <v>20725</v>
      </c>
      <c r="K565">
        <v>18652.5</v>
      </c>
      <c r="L565" t="s">
        <v>61</v>
      </c>
      <c r="M565">
        <v>10</v>
      </c>
      <c r="N565">
        <v>5168.43</v>
      </c>
    </row>
    <row r="566" spans="1:14" ht="14.25" customHeight="1" x14ac:dyDescent="0.3">
      <c r="A566">
        <v>1565</v>
      </c>
      <c r="B566" t="s">
        <v>226</v>
      </c>
      <c r="C566" t="s">
        <v>39</v>
      </c>
      <c r="D566" t="s">
        <v>66</v>
      </c>
      <c r="E566" t="s">
        <v>34</v>
      </c>
      <c r="F566" t="s">
        <v>45</v>
      </c>
      <c r="G566" t="s">
        <v>57</v>
      </c>
      <c r="H566" t="s">
        <v>37</v>
      </c>
      <c r="I566">
        <v>3</v>
      </c>
      <c r="J566">
        <v>30363</v>
      </c>
      <c r="K566">
        <v>77425.649999999994</v>
      </c>
      <c r="L566" t="s">
        <v>43</v>
      </c>
      <c r="M566">
        <v>15</v>
      </c>
      <c r="N566">
        <v>19078.86</v>
      </c>
    </row>
    <row r="567" spans="1:14" ht="14.25" customHeight="1" x14ac:dyDescent="0.3">
      <c r="A567">
        <v>1566</v>
      </c>
      <c r="B567" t="s">
        <v>226</v>
      </c>
      <c r="C567" t="s">
        <v>32</v>
      </c>
      <c r="D567" t="s">
        <v>58</v>
      </c>
      <c r="E567" t="s">
        <v>54</v>
      </c>
      <c r="F567" t="s">
        <v>35</v>
      </c>
      <c r="G567" t="s">
        <v>67</v>
      </c>
      <c r="H567" t="s">
        <v>55</v>
      </c>
      <c r="I567">
        <v>1</v>
      </c>
      <c r="J567">
        <v>30831</v>
      </c>
      <c r="K567">
        <v>27747.9</v>
      </c>
      <c r="L567" t="s">
        <v>43</v>
      </c>
      <c r="M567">
        <v>10</v>
      </c>
      <c r="N567">
        <v>4475.5200000000004</v>
      </c>
    </row>
    <row r="568" spans="1:14" ht="14.25" customHeight="1" x14ac:dyDescent="0.3">
      <c r="A568">
        <v>1567</v>
      </c>
      <c r="B568" t="s">
        <v>227</v>
      </c>
      <c r="C568" t="s">
        <v>39</v>
      </c>
      <c r="D568" t="s">
        <v>58</v>
      </c>
      <c r="E568" t="s">
        <v>54</v>
      </c>
      <c r="F568" t="s">
        <v>45</v>
      </c>
      <c r="G568" t="s">
        <v>46</v>
      </c>
      <c r="H568" t="s">
        <v>42</v>
      </c>
      <c r="I568">
        <v>1</v>
      </c>
      <c r="J568">
        <v>45923</v>
      </c>
      <c r="K568">
        <v>39034.550000000003</v>
      </c>
      <c r="L568" t="s">
        <v>48</v>
      </c>
      <c r="M568">
        <v>15</v>
      </c>
      <c r="N568">
        <v>4274.24</v>
      </c>
    </row>
    <row r="569" spans="1:14" ht="14.25" customHeight="1" x14ac:dyDescent="0.3">
      <c r="A569">
        <v>1568</v>
      </c>
      <c r="B569" t="s">
        <v>227</v>
      </c>
      <c r="C569" t="s">
        <v>50</v>
      </c>
      <c r="D569" t="s">
        <v>40</v>
      </c>
      <c r="E569" t="s">
        <v>41</v>
      </c>
      <c r="F569" t="s">
        <v>51</v>
      </c>
      <c r="G569" t="s">
        <v>52</v>
      </c>
      <c r="H569" t="s">
        <v>47</v>
      </c>
      <c r="I569">
        <v>2</v>
      </c>
      <c r="J569">
        <v>23372</v>
      </c>
      <c r="K569">
        <v>46744</v>
      </c>
      <c r="L569" t="s">
        <v>61</v>
      </c>
      <c r="M569">
        <v>0</v>
      </c>
      <c r="N569">
        <v>5913.68</v>
      </c>
    </row>
    <row r="570" spans="1:14" ht="14.25" customHeight="1" x14ac:dyDescent="0.3">
      <c r="A570">
        <v>1569</v>
      </c>
      <c r="B570" t="s">
        <v>227</v>
      </c>
      <c r="C570" t="s">
        <v>50</v>
      </c>
      <c r="D570" t="s">
        <v>66</v>
      </c>
      <c r="E570" t="s">
        <v>34</v>
      </c>
      <c r="F570" t="s">
        <v>45</v>
      </c>
      <c r="G570" t="s">
        <v>69</v>
      </c>
      <c r="H570" t="s">
        <v>37</v>
      </c>
      <c r="I570">
        <v>1</v>
      </c>
      <c r="J570">
        <v>38531</v>
      </c>
      <c r="K570">
        <v>38531</v>
      </c>
      <c r="L570" t="s">
        <v>61</v>
      </c>
      <c r="M570">
        <v>0</v>
      </c>
      <c r="N570">
        <v>10766.89</v>
      </c>
    </row>
    <row r="571" spans="1:14" ht="14.25" customHeight="1" x14ac:dyDescent="0.3">
      <c r="A571">
        <v>1570</v>
      </c>
      <c r="B571" t="s">
        <v>227</v>
      </c>
      <c r="C571" t="s">
        <v>50</v>
      </c>
      <c r="D571" t="s">
        <v>33</v>
      </c>
      <c r="E571" t="s">
        <v>34</v>
      </c>
      <c r="F571" t="s">
        <v>35</v>
      </c>
      <c r="G571" t="s">
        <v>36</v>
      </c>
      <c r="H571" t="s">
        <v>37</v>
      </c>
      <c r="I571">
        <v>3</v>
      </c>
      <c r="J571">
        <v>40065</v>
      </c>
      <c r="K571">
        <v>114185.25</v>
      </c>
      <c r="L571" t="s">
        <v>48</v>
      </c>
      <c r="M571">
        <v>5</v>
      </c>
      <c r="N571">
        <v>22451.77</v>
      </c>
    </row>
    <row r="572" spans="1:14" ht="14.25" customHeight="1" x14ac:dyDescent="0.3">
      <c r="A572">
        <v>1571</v>
      </c>
      <c r="B572" t="s">
        <v>227</v>
      </c>
      <c r="C572" t="s">
        <v>32</v>
      </c>
      <c r="D572" t="s">
        <v>40</v>
      </c>
      <c r="E572" t="s">
        <v>41</v>
      </c>
      <c r="F572" t="s">
        <v>45</v>
      </c>
      <c r="G572" t="s">
        <v>46</v>
      </c>
      <c r="H572" t="s">
        <v>55</v>
      </c>
      <c r="I572">
        <v>2</v>
      </c>
      <c r="J572">
        <v>2926</v>
      </c>
      <c r="K572">
        <v>5266.8</v>
      </c>
      <c r="L572" t="s">
        <v>43</v>
      </c>
      <c r="M572">
        <v>10</v>
      </c>
      <c r="N572">
        <v>1531.64</v>
      </c>
    </row>
    <row r="573" spans="1:14" ht="14.25" customHeight="1" x14ac:dyDescent="0.3">
      <c r="A573">
        <v>1572</v>
      </c>
      <c r="B573" t="s">
        <v>228</v>
      </c>
      <c r="C573" t="s">
        <v>39</v>
      </c>
      <c r="D573" t="s">
        <v>53</v>
      </c>
      <c r="E573" t="s">
        <v>54</v>
      </c>
      <c r="F573" t="s">
        <v>51</v>
      </c>
      <c r="G573" t="s">
        <v>62</v>
      </c>
      <c r="H573" t="s">
        <v>37</v>
      </c>
      <c r="I573">
        <v>2</v>
      </c>
      <c r="J573">
        <v>16106</v>
      </c>
      <c r="K573">
        <v>30601.4</v>
      </c>
      <c r="L573" t="s">
        <v>43</v>
      </c>
      <c r="M573">
        <v>5</v>
      </c>
      <c r="N573">
        <v>8203.93</v>
      </c>
    </row>
    <row r="574" spans="1:14" ht="14.25" customHeight="1" x14ac:dyDescent="0.3">
      <c r="A574">
        <v>1573</v>
      </c>
      <c r="B574" t="s">
        <v>228</v>
      </c>
      <c r="C574" t="s">
        <v>39</v>
      </c>
      <c r="D574" t="s">
        <v>40</v>
      </c>
      <c r="E574" t="s">
        <v>41</v>
      </c>
      <c r="F574" t="s">
        <v>45</v>
      </c>
      <c r="G574" t="s">
        <v>69</v>
      </c>
      <c r="H574" t="s">
        <v>55</v>
      </c>
      <c r="I574">
        <v>3</v>
      </c>
      <c r="J574">
        <v>12334</v>
      </c>
      <c r="K574">
        <v>37002</v>
      </c>
      <c r="L574" t="s">
        <v>43</v>
      </c>
      <c r="M574">
        <v>0</v>
      </c>
      <c r="N574">
        <v>7633.11</v>
      </c>
    </row>
    <row r="575" spans="1:14" ht="14.25" customHeight="1" x14ac:dyDescent="0.3">
      <c r="A575">
        <v>1574</v>
      </c>
      <c r="B575" t="s">
        <v>228</v>
      </c>
      <c r="C575" t="s">
        <v>32</v>
      </c>
      <c r="D575" t="s">
        <v>40</v>
      </c>
      <c r="E575" t="s">
        <v>41</v>
      </c>
      <c r="F575" t="s">
        <v>51</v>
      </c>
      <c r="G575" t="s">
        <v>62</v>
      </c>
      <c r="H575" t="s">
        <v>42</v>
      </c>
      <c r="I575">
        <v>5</v>
      </c>
      <c r="J575">
        <v>37493</v>
      </c>
      <c r="K575">
        <v>159345.25</v>
      </c>
      <c r="L575" t="s">
        <v>38</v>
      </c>
      <c r="M575">
        <v>15</v>
      </c>
      <c r="N575">
        <v>35756.32</v>
      </c>
    </row>
    <row r="576" spans="1:14" ht="14.25" customHeight="1" x14ac:dyDescent="0.3">
      <c r="A576">
        <v>1575</v>
      </c>
      <c r="B576" t="s">
        <v>228</v>
      </c>
      <c r="C576" t="s">
        <v>44</v>
      </c>
      <c r="D576" t="s">
        <v>40</v>
      </c>
      <c r="E576" t="s">
        <v>41</v>
      </c>
      <c r="F576" t="s">
        <v>51</v>
      </c>
      <c r="G576" t="s">
        <v>63</v>
      </c>
      <c r="H576" t="s">
        <v>42</v>
      </c>
      <c r="I576">
        <v>5</v>
      </c>
      <c r="J576">
        <v>43683</v>
      </c>
      <c r="K576">
        <v>207494.25</v>
      </c>
      <c r="L576" t="s">
        <v>48</v>
      </c>
      <c r="M576">
        <v>5</v>
      </c>
      <c r="N576">
        <v>26531.53</v>
      </c>
    </row>
    <row r="577" spans="1:14" ht="14.25" customHeight="1" x14ac:dyDescent="0.3">
      <c r="A577">
        <v>1576</v>
      </c>
      <c r="B577" t="s">
        <v>229</v>
      </c>
      <c r="C577" t="s">
        <v>39</v>
      </c>
      <c r="D577" t="s">
        <v>53</v>
      </c>
      <c r="E577" t="s">
        <v>54</v>
      </c>
      <c r="F577" t="s">
        <v>51</v>
      </c>
      <c r="G577" t="s">
        <v>62</v>
      </c>
      <c r="H577" t="s">
        <v>55</v>
      </c>
      <c r="I577">
        <v>1</v>
      </c>
      <c r="J577">
        <v>25071</v>
      </c>
      <c r="K577">
        <v>25071</v>
      </c>
      <c r="L577" t="s">
        <v>61</v>
      </c>
      <c r="M577">
        <v>0</v>
      </c>
      <c r="N577">
        <v>4774.1400000000003</v>
      </c>
    </row>
    <row r="578" spans="1:14" ht="14.25" customHeight="1" x14ac:dyDescent="0.3">
      <c r="A578">
        <v>1577</v>
      </c>
      <c r="B578" t="s">
        <v>229</v>
      </c>
      <c r="C578" t="s">
        <v>44</v>
      </c>
      <c r="D578" t="s">
        <v>58</v>
      </c>
      <c r="E578" t="s">
        <v>54</v>
      </c>
      <c r="F578" t="s">
        <v>35</v>
      </c>
      <c r="G578" t="s">
        <v>36</v>
      </c>
      <c r="H578" t="s">
        <v>55</v>
      </c>
      <c r="I578">
        <v>5</v>
      </c>
      <c r="J578">
        <v>32933</v>
      </c>
      <c r="K578">
        <v>156431.75</v>
      </c>
      <c r="L578" t="s">
        <v>61</v>
      </c>
      <c r="M578">
        <v>5</v>
      </c>
      <c r="N578">
        <v>36725.980000000003</v>
      </c>
    </row>
    <row r="579" spans="1:14" ht="14.25" customHeight="1" x14ac:dyDescent="0.3">
      <c r="A579">
        <v>1578</v>
      </c>
      <c r="B579" t="s">
        <v>229</v>
      </c>
      <c r="C579" t="s">
        <v>50</v>
      </c>
      <c r="D579" t="s">
        <v>53</v>
      </c>
      <c r="E579" t="s">
        <v>54</v>
      </c>
      <c r="F579" t="s">
        <v>51</v>
      </c>
      <c r="G579" t="s">
        <v>52</v>
      </c>
      <c r="H579" t="s">
        <v>37</v>
      </c>
      <c r="I579">
        <v>1</v>
      </c>
      <c r="J579">
        <v>34216</v>
      </c>
      <c r="K579">
        <v>30794.400000000001</v>
      </c>
      <c r="L579" t="s">
        <v>61</v>
      </c>
      <c r="M579">
        <v>10</v>
      </c>
      <c r="N579">
        <v>8995.07</v>
      </c>
    </row>
    <row r="580" spans="1:14" ht="14.25" customHeight="1" x14ac:dyDescent="0.3">
      <c r="A580">
        <v>1579</v>
      </c>
      <c r="B580" t="s">
        <v>230</v>
      </c>
      <c r="C580" t="s">
        <v>50</v>
      </c>
      <c r="D580" t="s">
        <v>66</v>
      </c>
      <c r="E580" t="s">
        <v>34</v>
      </c>
      <c r="F580" t="s">
        <v>51</v>
      </c>
      <c r="G580" t="s">
        <v>63</v>
      </c>
      <c r="H580" t="s">
        <v>42</v>
      </c>
      <c r="I580">
        <v>5</v>
      </c>
      <c r="J580">
        <v>49104</v>
      </c>
      <c r="K580">
        <v>233244</v>
      </c>
      <c r="L580" t="s">
        <v>48</v>
      </c>
      <c r="M580">
        <v>5</v>
      </c>
      <c r="N580">
        <v>28453.54</v>
      </c>
    </row>
    <row r="581" spans="1:14" ht="14.25" customHeight="1" x14ac:dyDescent="0.3">
      <c r="A581">
        <v>1580</v>
      </c>
      <c r="B581" t="s">
        <v>230</v>
      </c>
      <c r="C581" t="s">
        <v>50</v>
      </c>
      <c r="D581" t="s">
        <v>66</v>
      </c>
      <c r="E581" t="s">
        <v>34</v>
      </c>
      <c r="F581" t="s">
        <v>35</v>
      </c>
      <c r="G581" t="s">
        <v>67</v>
      </c>
      <c r="H581" t="s">
        <v>42</v>
      </c>
      <c r="I581">
        <v>5</v>
      </c>
      <c r="J581">
        <v>39453</v>
      </c>
      <c r="K581">
        <v>187401.75</v>
      </c>
      <c r="L581" t="s">
        <v>38</v>
      </c>
      <c r="M581">
        <v>5</v>
      </c>
      <c r="N581">
        <v>35634.29</v>
      </c>
    </row>
    <row r="582" spans="1:14" ht="14.25" customHeight="1" x14ac:dyDescent="0.3">
      <c r="A582">
        <v>1581</v>
      </c>
      <c r="B582" t="s">
        <v>230</v>
      </c>
      <c r="C582" t="s">
        <v>44</v>
      </c>
      <c r="D582" t="s">
        <v>53</v>
      </c>
      <c r="E582" t="s">
        <v>54</v>
      </c>
      <c r="F582" t="s">
        <v>51</v>
      </c>
      <c r="G582" t="s">
        <v>62</v>
      </c>
      <c r="H582" t="s">
        <v>47</v>
      </c>
      <c r="I582">
        <v>2</v>
      </c>
      <c r="J582">
        <v>44088</v>
      </c>
      <c r="K582">
        <v>74949.600000000006</v>
      </c>
      <c r="L582" t="s">
        <v>38</v>
      </c>
      <c r="M582">
        <v>15</v>
      </c>
      <c r="N582">
        <v>18606.18</v>
      </c>
    </row>
    <row r="583" spans="1:14" ht="14.25" customHeight="1" x14ac:dyDescent="0.3">
      <c r="A583">
        <v>1582</v>
      </c>
      <c r="B583" t="s">
        <v>231</v>
      </c>
      <c r="C583" t="s">
        <v>44</v>
      </c>
      <c r="D583" t="s">
        <v>58</v>
      </c>
      <c r="E583" t="s">
        <v>54</v>
      </c>
      <c r="F583" t="s">
        <v>51</v>
      </c>
      <c r="G583" t="s">
        <v>62</v>
      </c>
      <c r="H583" t="s">
        <v>47</v>
      </c>
      <c r="I583">
        <v>5</v>
      </c>
      <c r="J583">
        <v>40872</v>
      </c>
      <c r="K583">
        <v>173706</v>
      </c>
      <c r="L583" t="s">
        <v>61</v>
      </c>
      <c r="M583">
        <v>15</v>
      </c>
      <c r="N583">
        <v>51631.43</v>
      </c>
    </row>
    <row r="584" spans="1:14" ht="14.25" customHeight="1" x14ac:dyDescent="0.3">
      <c r="A584">
        <v>1583</v>
      </c>
      <c r="B584" t="s">
        <v>231</v>
      </c>
      <c r="C584" t="s">
        <v>50</v>
      </c>
      <c r="D584" t="s">
        <v>53</v>
      </c>
      <c r="E584" t="s">
        <v>54</v>
      </c>
      <c r="F584" t="s">
        <v>35</v>
      </c>
      <c r="G584" t="s">
        <v>36</v>
      </c>
      <c r="H584" t="s">
        <v>47</v>
      </c>
      <c r="I584">
        <v>3</v>
      </c>
      <c r="J584">
        <v>45147</v>
      </c>
      <c r="K584">
        <v>135441</v>
      </c>
      <c r="L584" t="s">
        <v>43</v>
      </c>
      <c r="M584">
        <v>0</v>
      </c>
      <c r="N584">
        <v>36980.589999999997</v>
      </c>
    </row>
    <row r="585" spans="1:14" ht="14.25" customHeight="1" x14ac:dyDescent="0.3">
      <c r="A585">
        <v>1584</v>
      </c>
      <c r="B585" t="s">
        <v>231</v>
      </c>
      <c r="C585" t="s">
        <v>44</v>
      </c>
      <c r="D585" t="s">
        <v>53</v>
      </c>
      <c r="E585" t="s">
        <v>54</v>
      </c>
      <c r="F585" t="s">
        <v>45</v>
      </c>
      <c r="G585" t="s">
        <v>46</v>
      </c>
      <c r="H585" t="s">
        <v>47</v>
      </c>
      <c r="I585">
        <v>1</v>
      </c>
      <c r="J585">
        <v>39040</v>
      </c>
      <c r="K585">
        <v>37088</v>
      </c>
      <c r="L585" t="s">
        <v>61</v>
      </c>
      <c r="M585">
        <v>5</v>
      </c>
      <c r="N585">
        <v>5196.47</v>
      </c>
    </row>
    <row r="586" spans="1:14" ht="14.25" customHeight="1" x14ac:dyDescent="0.3">
      <c r="A586">
        <v>1585</v>
      </c>
      <c r="B586" t="s">
        <v>232</v>
      </c>
      <c r="C586" t="s">
        <v>44</v>
      </c>
      <c r="D586" t="s">
        <v>53</v>
      </c>
      <c r="E586" t="s">
        <v>54</v>
      </c>
      <c r="F586" t="s">
        <v>35</v>
      </c>
      <c r="G586" t="s">
        <v>67</v>
      </c>
      <c r="H586" t="s">
        <v>37</v>
      </c>
      <c r="I586">
        <v>5</v>
      </c>
      <c r="J586">
        <v>8404</v>
      </c>
      <c r="K586">
        <v>37818</v>
      </c>
      <c r="L586" t="s">
        <v>48</v>
      </c>
      <c r="M586">
        <v>10</v>
      </c>
      <c r="N586">
        <v>11024.69</v>
      </c>
    </row>
    <row r="587" spans="1:14" ht="14.25" customHeight="1" x14ac:dyDescent="0.3">
      <c r="A587">
        <v>1586</v>
      </c>
      <c r="B587" t="s">
        <v>232</v>
      </c>
      <c r="C587" t="s">
        <v>50</v>
      </c>
      <c r="D587" t="s">
        <v>33</v>
      </c>
      <c r="E587" t="s">
        <v>34</v>
      </c>
      <c r="F587" t="s">
        <v>35</v>
      </c>
      <c r="G587" t="s">
        <v>65</v>
      </c>
      <c r="H587" t="s">
        <v>55</v>
      </c>
      <c r="I587">
        <v>1</v>
      </c>
      <c r="J587">
        <v>22544</v>
      </c>
      <c r="K587">
        <v>19162.400000000001</v>
      </c>
      <c r="L587" t="s">
        <v>48</v>
      </c>
      <c r="M587">
        <v>15</v>
      </c>
      <c r="N587">
        <v>5059.82</v>
      </c>
    </row>
    <row r="588" spans="1:14" ht="14.25" customHeight="1" x14ac:dyDescent="0.3">
      <c r="A588">
        <v>1587</v>
      </c>
      <c r="B588" t="s">
        <v>233</v>
      </c>
      <c r="C588" t="s">
        <v>60</v>
      </c>
      <c r="D588" t="s">
        <v>66</v>
      </c>
      <c r="E588" t="s">
        <v>34</v>
      </c>
      <c r="F588" t="s">
        <v>51</v>
      </c>
      <c r="G588" t="s">
        <v>52</v>
      </c>
      <c r="H588" t="s">
        <v>37</v>
      </c>
      <c r="I588">
        <v>1</v>
      </c>
      <c r="J588">
        <v>19648</v>
      </c>
      <c r="K588">
        <v>18665.599999999999</v>
      </c>
      <c r="L588" t="s">
        <v>48</v>
      </c>
      <c r="M588">
        <v>5</v>
      </c>
      <c r="N588">
        <v>3992.2</v>
      </c>
    </row>
    <row r="589" spans="1:14" ht="14.25" customHeight="1" x14ac:dyDescent="0.3">
      <c r="A589">
        <v>1588</v>
      </c>
      <c r="B589" t="s">
        <v>233</v>
      </c>
      <c r="C589" t="s">
        <v>39</v>
      </c>
      <c r="D589" t="s">
        <v>40</v>
      </c>
      <c r="E589" t="s">
        <v>41</v>
      </c>
      <c r="F589" t="s">
        <v>35</v>
      </c>
      <c r="G589" t="s">
        <v>36</v>
      </c>
      <c r="H589" t="s">
        <v>47</v>
      </c>
      <c r="I589">
        <v>5</v>
      </c>
      <c r="J589">
        <v>34145</v>
      </c>
      <c r="K589">
        <v>145116.25</v>
      </c>
      <c r="L589" t="s">
        <v>43</v>
      </c>
      <c r="M589">
        <v>15</v>
      </c>
      <c r="N589">
        <v>28897.89</v>
      </c>
    </row>
    <row r="590" spans="1:14" ht="14.25" customHeight="1" x14ac:dyDescent="0.3">
      <c r="A590">
        <v>1589</v>
      </c>
      <c r="B590" t="s">
        <v>233</v>
      </c>
      <c r="C590" t="s">
        <v>50</v>
      </c>
      <c r="D590" t="s">
        <v>53</v>
      </c>
      <c r="E590" t="s">
        <v>54</v>
      </c>
      <c r="F590" t="s">
        <v>35</v>
      </c>
      <c r="G590" t="s">
        <v>65</v>
      </c>
      <c r="H590" t="s">
        <v>55</v>
      </c>
      <c r="I590">
        <v>4</v>
      </c>
      <c r="J590">
        <v>23218</v>
      </c>
      <c r="K590">
        <v>83584.800000000003</v>
      </c>
      <c r="L590" t="s">
        <v>38</v>
      </c>
      <c r="M590">
        <v>10</v>
      </c>
      <c r="N590">
        <v>11323.52</v>
      </c>
    </row>
    <row r="591" spans="1:14" ht="14.25" customHeight="1" x14ac:dyDescent="0.3">
      <c r="A591">
        <v>1590</v>
      </c>
      <c r="B591" t="s">
        <v>233</v>
      </c>
      <c r="C591" t="s">
        <v>32</v>
      </c>
      <c r="D591" t="s">
        <v>40</v>
      </c>
      <c r="E591" t="s">
        <v>41</v>
      </c>
      <c r="F591" t="s">
        <v>51</v>
      </c>
      <c r="G591" t="s">
        <v>63</v>
      </c>
      <c r="H591" t="s">
        <v>55</v>
      </c>
      <c r="I591">
        <v>5</v>
      </c>
      <c r="J591">
        <v>19975</v>
      </c>
      <c r="K591">
        <v>84893.75</v>
      </c>
      <c r="L591" t="s">
        <v>38</v>
      </c>
      <c r="M591">
        <v>15</v>
      </c>
      <c r="N591">
        <v>17100.580000000002</v>
      </c>
    </row>
    <row r="592" spans="1:14" ht="14.25" customHeight="1" x14ac:dyDescent="0.3">
      <c r="A592">
        <v>1591</v>
      </c>
      <c r="B592" t="s">
        <v>234</v>
      </c>
      <c r="C592" t="s">
        <v>50</v>
      </c>
      <c r="D592" t="s">
        <v>58</v>
      </c>
      <c r="E592" t="s">
        <v>54</v>
      </c>
      <c r="F592" t="s">
        <v>51</v>
      </c>
      <c r="G592" t="s">
        <v>62</v>
      </c>
      <c r="H592" t="s">
        <v>47</v>
      </c>
      <c r="I592">
        <v>3</v>
      </c>
      <c r="J592">
        <v>46813</v>
      </c>
      <c r="K592">
        <v>133417.04999999999</v>
      </c>
      <c r="L592" t="s">
        <v>43</v>
      </c>
      <c r="M592">
        <v>5</v>
      </c>
      <c r="N592">
        <v>24014.04</v>
      </c>
    </row>
    <row r="593" spans="1:14" ht="14.25" customHeight="1" x14ac:dyDescent="0.3">
      <c r="A593">
        <v>1592</v>
      </c>
      <c r="B593" t="s">
        <v>234</v>
      </c>
      <c r="C593" t="s">
        <v>44</v>
      </c>
      <c r="D593" t="s">
        <v>40</v>
      </c>
      <c r="E593" t="s">
        <v>41</v>
      </c>
      <c r="F593" t="s">
        <v>51</v>
      </c>
      <c r="G593" t="s">
        <v>63</v>
      </c>
      <c r="H593" t="s">
        <v>42</v>
      </c>
      <c r="I593">
        <v>3</v>
      </c>
      <c r="J593">
        <v>35039</v>
      </c>
      <c r="K593">
        <v>105117</v>
      </c>
      <c r="L593" t="s">
        <v>38</v>
      </c>
      <c r="M593">
        <v>0</v>
      </c>
      <c r="N593">
        <v>24844.21</v>
      </c>
    </row>
    <row r="594" spans="1:14" ht="14.25" customHeight="1" x14ac:dyDescent="0.3">
      <c r="A594">
        <v>1593</v>
      </c>
      <c r="B594" t="s">
        <v>235</v>
      </c>
      <c r="C594" t="s">
        <v>60</v>
      </c>
      <c r="D594" t="s">
        <v>66</v>
      </c>
      <c r="E594" t="s">
        <v>34</v>
      </c>
      <c r="F594" t="s">
        <v>35</v>
      </c>
      <c r="G594" t="s">
        <v>67</v>
      </c>
      <c r="H594" t="s">
        <v>42</v>
      </c>
      <c r="I594">
        <v>5</v>
      </c>
      <c r="J594">
        <v>11705</v>
      </c>
      <c r="K594">
        <v>52672.5</v>
      </c>
      <c r="L594" t="s">
        <v>43</v>
      </c>
      <c r="M594">
        <v>10</v>
      </c>
      <c r="N594">
        <v>13646.91</v>
      </c>
    </row>
    <row r="595" spans="1:14" ht="14.25" customHeight="1" x14ac:dyDescent="0.3">
      <c r="A595">
        <v>1594</v>
      </c>
      <c r="B595" t="s">
        <v>235</v>
      </c>
      <c r="C595" t="s">
        <v>39</v>
      </c>
      <c r="D595" t="s">
        <v>53</v>
      </c>
      <c r="E595" t="s">
        <v>54</v>
      </c>
      <c r="F595" t="s">
        <v>51</v>
      </c>
      <c r="G595" t="s">
        <v>62</v>
      </c>
      <c r="H595" t="s">
        <v>42</v>
      </c>
      <c r="I595">
        <v>3</v>
      </c>
      <c r="J595">
        <v>811</v>
      </c>
      <c r="K595">
        <v>2068.0500000000002</v>
      </c>
      <c r="L595" t="s">
        <v>38</v>
      </c>
      <c r="M595">
        <v>15</v>
      </c>
      <c r="N595">
        <v>343.68</v>
      </c>
    </row>
    <row r="596" spans="1:14" ht="14.25" customHeight="1" x14ac:dyDescent="0.3">
      <c r="A596">
        <v>1595</v>
      </c>
      <c r="B596" t="s">
        <v>235</v>
      </c>
      <c r="C596" t="s">
        <v>39</v>
      </c>
      <c r="D596" t="s">
        <v>33</v>
      </c>
      <c r="E596" t="s">
        <v>34</v>
      </c>
      <c r="F596" t="s">
        <v>35</v>
      </c>
      <c r="G596" t="s">
        <v>36</v>
      </c>
      <c r="H596" t="s">
        <v>47</v>
      </c>
      <c r="I596">
        <v>5</v>
      </c>
      <c r="J596">
        <v>42460</v>
      </c>
      <c r="K596">
        <v>180455</v>
      </c>
      <c r="L596" t="s">
        <v>61</v>
      </c>
      <c r="M596">
        <v>15</v>
      </c>
      <c r="N596">
        <v>40798.9</v>
      </c>
    </row>
    <row r="597" spans="1:14" ht="14.25" customHeight="1" x14ac:dyDescent="0.3">
      <c r="A597">
        <v>1596</v>
      </c>
      <c r="B597" t="s">
        <v>235</v>
      </c>
      <c r="C597" t="s">
        <v>44</v>
      </c>
      <c r="D597" t="s">
        <v>58</v>
      </c>
      <c r="E597" t="s">
        <v>54</v>
      </c>
      <c r="F597" t="s">
        <v>35</v>
      </c>
      <c r="G597" t="s">
        <v>36</v>
      </c>
      <c r="H597" t="s">
        <v>47</v>
      </c>
      <c r="I597">
        <v>1</v>
      </c>
      <c r="J597">
        <v>35074</v>
      </c>
      <c r="K597">
        <v>31566.6</v>
      </c>
      <c r="L597" t="s">
        <v>61</v>
      </c>
      <c r="M597">
        <v>10</v>
      </c>
      <c r="N597">
        <v>7452.91</v>
      </c>
    </row>
    <row r="598" spans="1:14" ht="14.25" customHeight="1" x14ac:dyDescent="0.3">
      <c r="A598">
        <v>1597</v>
      </c>
      <c r="B598" t="s">
        <v>236</v>
      </c>
      <c r="C598" t="s">
        <v>50</v>
      </c>
      <c r="D598" t="s">
        <v>53</v>
      </c>
      <c r="E598" t="s">
        <v>54</v>
      </c>
      <c r="F598" t="s">
        <v>35</v>
      </c>
      <c r="G598" t="s">
        <v>65</v>
      </c>
      <c r="H598" t="s">
        <v>55</v>
      </c>
      <c r="I598">
        <v>5</v>
      </c>
      <c r="J598">
        <v>12754</v>
      </c>
      <c r="K598">
        <v>60581.5</v>
      </c>
      <c r="L598" t="s">
        <v>38</v>
      </c>
      <c r="M598">
        <v>5</v>
      </c>
      <c r="N598">
        <v>12137.89</v>
      </c>
    </row>
    <row r="599" spans="1:14" ht="14.25" customHeight="1" x14ac:dyDescent="0.3">
      <c r="A599">
        <v>1598</v>
      </c>
      <c r="B599" t="s">
        <v>236</v>
      </c>
      <c r="C599" t="s">
        <v>60</v>
      </c>
      <c r="D599" t="s">
        <v>58</v>
      </c>
      <c r="E599" t="s">
        <v>54</v>
      </c>
      <c r="F599" t="s">
        <v>51</v>
      </c>
      <c r="G599" t="s">
        <v>52</v>
      </c>
      <c r="H599" t="s">
        <v>37</v>
      </c>
      <c r="I599">
        <v>2</v>
      </c>
      <c r="J599">
        <v>36627</v>
      </c>
      <c r="K599">
        <v>69591.3</v>
      </c>
      <c r="L599" t="s">
        <v>38</v>
      </c>
      <c r="M599">
        <v>5</v>
      </c>
      <c r="N599">
        <v>13449.14</v>
      </c>
    </row>
    <row r="600" spans="1:14" ht="14.25" customHeight="1" x14ac:dyDescent="0.3">
      <c r="A600">
        <v>1599</v>
      </c>
      <c r="B600" t="s">
        <v>236</v>
      </c>
      <c r="C600" t="s">
        <v>39</v>
      </c>
      <c r="D600" t="s">
        <v>33</v>
      </c>
      <c r="E600" t="s">
        <v>34</v>
      </c>
      <c r="F600" t="s">
        <v>35</v>
      </c>
      <c r="G600" t="s">
        <v>36</v>
      </c>
      <c r="H600" t="s">
        <v>42</v>
      </c>
      <c r="I600">
        <v>4</v>
      </c>
      <c r="J600">
        <v>5949</v>
      </c>
      <c r="K600">
        <v>21416.400000000001</v>
      </c>
      <c r="L600" t="s">
        <v>38</v>
      </c>
      <c r="M600">
        <v>10</v>
      </c>
      <c r="N600">
        <v>4647.42</v>
      </c>
    </row>
    <row r="601" spans="1:14" ht="14.25" customHeight="1" x14ac:dyDescent="0.3">
      <c r="A601">
        <v>1600</v>
      </c>
      <c r="B601" t="s">
        <v>236</v>
      </c>
      <c r="C601" t="s">
        <v>32</v>
      </c>
      <c r="D601" t="s">
        <v>33</v>
      </c>
      <c r="E601" t="s">
        <v>34</v>
      </c>
      <c r="F601" t="s">
        <v>51</v>
      </c>
      <c r="G601" t="s">
        <v>63</v>
      </c>
      <c r="H601" t="s">
        <v>55</v>
      </c>
      <c r="I601">
        <v>1</v>
      </c>
      <c r="J601">
        <v>2908</v>
      </c>
      <c r="K601">
        <v>2617.1999999999998</v>
      </c>
      <c r="L601" t="s">
        <v>48</v>
      </c>
      <c r="M601">
        <v>10</v>
      </c>
      <c r="N601">
        <v>676.01</v>
      </c>
    </row>
    <row r="602" spans="1:14" ht="14.25" customHeight="1" x14ac:dyDescent="0.3">
      <c r="A602">
        <v>1601</v>
      </c>
      <c r="B602" t="s">
        <v>237</v>
      </c>
      <c r="C602" t="s">
        <v>32</v>
      </c>
      <c r="D602" t="s">
        <v>66</v>
      </c>
      <c r="E602" t="s">
        <v>34</v>
      </c>
      <c r="F602" t="s">
        <v>45</v>
      </c>
      <c r="G602" t="s">
        <v>57</v>
      </c>
      <c r="H602" t="s">
        <v>47</v>
      </c>
      <c r="I602">
        <v>1</v>
      </c>
      <c r="J602">
        <v>5955</v>
      </c>
      <c r="K602">
        <v>5359.5</v>
      </c>
      <c r="L602" t="s">
        <v>38</v>
      </c>
      <c r="M602">
        <v>10</v>
      </c>
      <c r="N602">
        <v>716.56</v>
      </c>
    </row>
    <row r="603" spans="1:14" ht="14.25" customHeight="1" x14ac:dyDescent="0.3">
      <c r="A603">
        <v>1602</v>
      </c>
      <c r="B603" t="s">
        <v>237</v>
      </c>
      <c r="C603" t="s">
        <v>44</v>
      </c>
      <c r="D603" t="s">
        <v>40</v>
      </c>
      <c r="E603" t="s">
        <v>41</v>
      </c>
      <c r="F603" t="s">
        <v>45</v>
      </c>
      <c r="G603" t="s">
        <v>46</v>
      </c>
      <c r="H603" t="s">
        <v>47</v>
      </c>
      <c r="I603">
        <v>5</v>
      </c>
      <c r="J603">
        <v>27383</v>
      </c>
      <c r="K603">
        <v>136915</v>
      </c>
      <c r="L603" t="s">
        <v>43</v>
      </c>
      <c r="M603">
        <v>0</v>
      </c>
      <c r="N603">
        <v>29252.560000000001</v>
      </c>
    </row>
    <row r="604" spans="1:14" ht="14.25" customHeight="1" x14ac:dyDescent="0.3">
      <c r="A604">
        <v>1603</v>
      </c>
      <c r="B604" t="s">
        <v>237</v>
      </c>
      <c r="C604" t="s">
        <v>60</v>
      </c>
      <c r="D604" t="s">
        <v>58</v>
      </c>
      <c r="E604" t="s">
        <v>54</v>
      </c>
      <c r="F604" t="s">
        <v>45</v>
      </c>
      <c r="G604" t="s">
        <v>57</v>
      </c>
      <c r="H604" t="s">
        <v>42</v>
      </c>
      <c r="I604">
        <v>1</v>
      </c>
      <c r="J604">
        <v>6147</v>
      </c>
      <c r="K604">
        <v>5532.3</v>
      </c>
      <c r="L604" t="s">
        <v>38</v>
      </c>
      <c r="M604">
        <v>10</v>
      </c>
      <c r="N604">
        <v>1385.57</v>
      </c>
    </row>
    <row r="605" spans="1:14" ht="14.25" customHeight="1" x14ac:dyDescent="0.3">
      <c r="A605">
        <v>1604</v>
      </c>
      <c r="B605" t="s">
        <v>237</v>
      </c>
      <c r="C605" t="s">
        <v>50</v>
      </c>
      <c r="D605" t="s">
        <v>58</v>
      </c>
      <c r="E605" t="s">
        <v>54</v>
      </c>
      <c r="F605" t="s">
        <v>45</v>
      </c>
      <c r="G605" t="s">
        <v>46</v>
      </c>
      <c r="H605" t="s">
        <v>42</v>
      </c>
      <c r="I605">
        <v>4</v>
      </c>
      <c r="J605">
        <v>675</v>
      </c>
      <c r="K605">
        <v>2565</v>
      </c>
      <c r="L605" t="s">
        <v>43</v>
      </c>
      <c r="M605">
        <v>5</v>
      </c>
      <c r="N605">
        <v>506.31</v>
      </c>
    </row>
    <row r="606" spans="1:14" ht="14.25" customHeight="1" x14ac:dyDescent="0.3">
      <c r="A606">
        <v>1605</v>
      </c>
      <c r="B606" t="s">
        <v>238</v>
      </c>
      <c r="C606" t="s">
        <v>50</v>
      </c>
      <c r="D606" t="s">
        <v>66</v>
      </c>
      <c r="E606" t="s">
        <v>34</v>
      </c>
      <c r="F606" t="s">
        <v>35</v>
      </c>
      <c r="G606" t="s">
        <v>36</v>
      </c>
      <c r="H606" t="s">
        <v>42</v>
      </c>
      <c r="I606">
        <v>1</v>
      </c>
      <c r="J606">
        <v>22982</v>
      </c>
      <c r="K606">
        <v>22982</v>
      </c>
      <c r="L606" t="s">
        <v>61</v>
      </c>
      <c r="M606">
        <v>0</v>
      </c>
      <c r="N606">
        <v>5416.22</v>
      </c>
    </row>
    <row r="607" spans="1:14" ht="14.25" customHeight="1" x14ac:dyDescent="0.3">
      <c r="A607">
        <v>1606</v>
      </c>
      <c r="B607" t="s">
        <v>238</v>
      </c>
      <c r="C607" t="s">
        <v>39</v>
      </c>
      <c r="D607" t="s">
        <v>53</v>
      </c>
      <c r="E607" t="s">
        <v>54</v>
      </c>
      <c r="F607" t="s">
        <v>35</v>
      </c>
      <c r="G607" t="s">
        <v>36</v>
      </c>
      <c r="H607" t="s">
        <v>37</v>
      </c>
      <c r="I607">
        <v>5</v>
      </c>
      <c r="J607">
        <v>31062</v>
      </c>
      <c r="K607">
        <v>132013.5</v>
      </c>
      <c r="L607" t="s">
        <v>48</v>
      </c>
      <c r="M607">
        <v>15</v>
      </c>
      <c r="N607">
        <v>32063.34</v>
      </c>
    </row>
    <row r="608" spans="1:14" ht="14.25" customHeight="1" x14ac:dyDescent="0.3">
      <c r="A608">
        <v>1607</v>
      </c>
      <c r="B608" t="s">
        <v>238</v>
      </c>
      <c r="C608" t="s">
        <v>60</v>
      </c>
      <c r="D608" t="s">
        <v>58</v>
      </c>
      <c r="E608" t="s">
        <v>54</v>
      </c>
      <c r="F608" t="s">
        <v>51</v>
      </c>
      <c r="G608" t="s">
        <v>52</v>
      </c>
      <c r="H608" t="s">
        <v>55</v>
      </c>
      <c r="I608">
        <v>5</v>
      </c>
      <c r="J608">
        <v>9234</v>
      </c>
      <c r="K608">
        <v>39244.5</v>
      </c>
      <c r="L608" t="s">
        <v>48</v>
      </c>
      <c r="M608">
        <v>15</v>
      </c>
      <c r="N608">
        <v>11430.69</v>
      </c>
    </row>
    <row r="609" spans="1:14" ht="14.25" customHeight="1" x14ac:dyDescent="0.3">
      <c r="A609">
        <v>1608</v>
      </c>
      <c r="B609" t="s">
        <v>239</v>
      </c>
      <c r="C609" t="s">
        <v>60</v>
      </c>
      <c r="D609" t="s">
        <v>66</v>
      </c>
      <c r="E609" t="s">
        <v>34</v>
      </c>
      <c r="F609" t="s">
        <v>35</v>
      </c>
      <c r="G609" t="s">
        <v>67</v>
      </c>
      <c r="H609" t="s">
        <v>37</v>
      </c>
      <c r="I609">
        <v>3</v>
      </c>
      <c r="J609">
        <v>14551</v>
      </c>
      <c r="K609">
        <v>39287.699999999997</v>
      </c>
      <c r="L609" t="s">
        <v>38</v>
      </c>
      <c r="M609">
        <v>10</v>
      </c>
      <c r="N609">
        <v>11459.56</v>
      </c>
    </row>
    <row r="610" spans="1:14" ht="14.25" customHeight="1" x14ac:dyDescent="0.3">
      <c r="A610">
        <v>1609</v>
      </c>
      <c r="B610" t="s">
        <v>239</v>
      </c>
      <c r="C610" t="s">
        <v>39</v>
      </c>
      <c r="D610" t="s">
        <v>66</v>
      </c>
      <c r="E610" t="s">
        <v>34</v>
      </c>
      <c r="F610" t="s">
        <v>35</v>
      </c>
      <c r="G610" t="s">
        <v>67</v>
      </c>
      <c r="H610" t="s">
        <v>37</v>
      </c>
      <c r="I610">
        <v>3</v>
      </c>
      <c r="J610">
        <v>31842</v>
      </c>
      <c r="K610">
        <v>90749.7</v>
      </c>
      <c r="L610" t="s">
        <v>43</v>
      </c>
      <c r="M610">
        <v>5</v>
      </c>
      <c r="N610">
        <v>26548.94</v>
      </c>
    </row>
    <row r="611" spans="1:14" ht="14.25" customHeight="1" x14ac:dyDescent="0.3">
      <c r="A611">
        <v>1610</v>
      </c>
      <c r="B611" t="s">
        <v>239</v>
      </c>
      <c r="C611" t="s">
        <v>60</v>
      </c>
      <c r="D611" t="s">
        <v>40</v>
      </c>
      <c r="E611" t="s">
        <v>41</v>
      </c>
      <c r="F611" t="s">
        <v>35</v>
      </c>
      <c r="G611" t="s">
        <v>36</v>
      </c>
      <c r="H611" t="s">
        <v>37</v>
      </c>
      <c r="I611">
        <v>1</v>
      </c>
      <c r="J611">
        <v>31937</v>
      </c>
      <c r="K611">
        <v>30340.15</v>
      </c>
      <c r="L611" t="s">
        <v>61</v>
      </c>
      <c r="M611">
        <v>5</v>
      </c>
      <c r="N611">
        <v>5447.17</v>
      </c>
    </row>
    <row r="612" spans="1:14" ht="14.25" customHeight="1" x14ac:dyDescent="0.3">
      <c r="A612">
        <v>1611</v>
      </c>
      <c r="B612" t="s">
        <v>240</v>
      </c>
      <c r="C612" t="s">
        <v>39</v>
      </c>
      <c r="D612" t="s">
        <v>33</v>
      </c>
      <c r="E612" t="s">
        <v>34</v>
      </c>
      <c r="F612" t="s">
        <v>35</v>
      </c>
      <c r="G612" t="s">
        <v>67</v>
      </c>
      <c r="H612" t="s">
        <v>55</v>
      </c>
      <c r="I612">
        <v>5</v>
      </c>
      <c r="J612">
        <v>22773</v>
      </c>
      <c r="K612">
        <v>96785.25</v>
      </c>
      <c r="L612" t="s">
        <v>61</v>
      </c>
      <c r="M612">
        <v>15</v>
      </c>
      <c r="N612">
        <v>13457.17</v>
      </c>
    </row>
    <row r="613" spans="1:14" ht="14.25" customHeight="1" x14ac:dyDescent="0.3">
      <c r="A613">
        <v>1612</v>
      </c>
      <c r="B613" t="s">
        <v>240</v>
      </c>
      <c r="C613" t="s">
        <v>60</v>
      </c>
      <c r="D613" t="s">
        <v>58</v>
      </c>
      <c r="E613" t="s">
        <v>54</v>
      </c>
      <c r="F613" t="s">
        <v>45</v>
      </c>
      <c r="G613" t="s">
        <v>57</v>
      </c>
      <c r="H613" t="s">
        <v>42</v>
      </c>
      <c r="I613">
        <v>4</v>
      </c>
      <c r="J613">
        <v>41270</v>
      </c>
      <c r="K613">
        <v>156826</v>
      </c>
      <c r="L613" t="s">
        <v>48</v>
      </c>
      <c r="M613">
        <v>5</v>
      </c>
      <c r="N613">
        <v>46318.64</v>
      </c>
    </row>
    <row r="614" spans="1:14" ht="14.25" customHeight="1" x14ac:dyDescent="0.3">
      <c r="A614">
        <v>1613</v>
      </c>
      <c r="B614" t="s">
        <v>240</v>
      </c>
      <c r="C614" t="s">
        <v>39</v>
      </c>
      <c r="D614" t="s">
        <v>66</v>
      </c>
      <c r="E614" t="s">
        <v>34</v>
      </c>
      <c r="F614" t="s">
        <v>35</v>
      </c>
      <c r="G614" t="s">
        <v>36</v>
      </c>
      <c r="H614" t="s">
        <v>47</v>
      </c>
      <c r="I614">
        <v>3</v>
      </c>
      <c r="J614">
        <v>10107</v>
      </c>
      <c r="K614">
        <v>27288.9</v>
      </c>
      <c r="L614" t="s">
        <v>48</v>
      </c>
      <c r="M614">
        <v>10</v>
      </c>
      <c r="N614">
        <v>4592.1099999999997</v>
      </c>
    </row>
    <row r="615" spans="1:14" ht="14.25" customHeight="1" x14ac:dyDescent="0.3">
      <c r="A615">
        <v>1614</v>
      </c>
      <c r="B615" t="s">
        <v>240</v>
      </c>
      <c r="C615" t="s">
        <v>32</v>
      </c>
      <c r="D615" t="s">
        <v>40</v>
      </c>
      <c r="E615" t="s">
        <v>41</v>
      </c>
      <c r="F615" t="s">
        <v>35</v>
      </c>
      <c r="G615" t="s">
        <v>36</v>
      </c>
      <c r="H615" t="s">
        <v>47</v>
      </c>
      <c r="I615">
        <v>1</v>
      </c>
      <c r="J615">
        <v>18705</v>
      </c>
      <c r="K615">
        <v>17769.75</v>
      </c>
      <c r="L615" t="s">
        <v>48</v>
      </c>
      <c r="M615">
        <v>5</v>
      </c>
      <c r="N615">
        <v>4660.37</v>
      </c>
    </row>
    <row r="616" spans="1:14" ht="14.25" customHeight="1" x14ac:dyDescent="0.3">
      <c r="A616">
        <v>1615</v>
      </c>
      <c r="B616" t="s">
        <v>241</v>
      </c>
      <c r="C616" t="s">
        <v>39</v>
      </c>
      <c r="D616" t="s">
        <v>33</v>
      </c>
      <c r="E616" t="s">
        <v>34</v>
      </c>
      <c r="F616" t="s">
        <v>51</v>
      </c>
      <c r="G616" t="s">
        <v>62</v>
      </c>
      <c r="H616" t="s">
        <v>47</v>
      </c>
      <c r="I616">
        <v>4</v>
      </c>
      <c r="J616">
        <v>15373</v>
      </c>
      <c r="K616">
        <v>61492</v>
      </c>
      <c r="L616" t="s">
        <v>48</v>
      </c>
      <c r="M616">
        <v>0</v>
      </c>
      <c r="N616">
        <v>8998.3700000000008</v>
      </c>
    </row>
    <row r="617" spans="1:14" ht="14.25" customHeight="1" x14ac:dyDescent="0.3">
      <c r="A617">
        <v>1616</v>
      </c>
      <c r="B617" t="s">
        <v>241</v>
      </c>
      <c r="C617" t="s">
        <v>32</v>
      </c>
      <c r="D617" t="s">
        <v>53</v>
      </c>
      <c r="E617" t="s">
        <v>54</v>
      </c>
      <c r="F617" t="s">
        <v>45</v>
      </c>
      <c r="G617" t="s">
        <v>57</v>
      </c>
      <c r="H617" t="s">
        <v>42</v>
      </c>
      <c r="I617">
        <v>1</v>
      </c>
      <c r="J617">
        <v>27205</v>
      </c>
      <c r="K617">
        <v>25844.75</v>
      </c>
      <c r="L617" t="s">
        <v>43</v>
      </c>
      <c r="M617">
        <v>5</v>
      </c>
      <c r="N617">
        <v>3323.47</v>
      </c>
    </row>
    <row r="618" spans="1:14" ht="14.25" customHeight="1" x14ac:dyDescent="0.3">
      <c r="A618">
        <v>1617</v>
      </c>
      <c r="B618" t="s">
        <v>241</v>
      </c>
      <c r="C618" t="s">
        <v>32</v>
      </c>
      <c r="D618" t="s">
        <v>40</v>
      </c>
      <c r="E618" t="s">
        <v>41</v>
      </c>
      <c r="F618" t="s">
        <v>45</v>
      </c>
      <c r="G618" t="s">
        <v>57</v>
      </c>
      <c r="H618" t="s">
        <v>55</v>
      </c>
      <c r="I618">
        <v>4</v>
      </c>
      <c r="J618">
        <v>3903</v>
      </c>
      <c r="K618">
        <v>14831.4</v>
      </c>
      <c r="L618" t="s">
        <v>43</v>
      </c>
      <c r="M618">
        <v>5</v>
      </c>
      <c r="N618">
        <v>4261.83</v>
      </c>
    </row>
    <row r="619" spans="1:14" ht="14.25" customHeight="1" x14ac:dyDescent="0.3">
      <c r="A619">
        <v>1618</v>
      </c>
      <c r="B619" t="s">
        <v>242</v>
      </c>
      <c r="C619" t="s">
        <v>50</v>
      </c>
      <c r="D619" t="s">
        <v>58</v>
      </c>
      <c r="E619" t="s">
        <v>54</v>
      </c>
      <c r="F619" t="s">
        <v>45</v>
      </c>
      <c r="G619" t="s">
        <v>57</v>
      </c>
      <c r="H619" t="s">
        <v>42</v>
      </c>
      <c r="I619">
        <v>2</v>
      </c>
      <c r="J619">
        <v>9455</v>
      </c>
      <c r="K619">
        <v>17964.5</v>
      </c>
      <c r="L619" t="s">
        <v>61</v>
      </c>
      <c r="M619">
        <v>5</v>
      </c>
      <c r="N619">
        <v>4842.13</v>
      </c>
    </row>
    <row r="620" spans="1:14" ht="14.25" customHeight="1" x14ac:dyDescent="0.3">
      <c r="A620">
        <v>1619</v>
      </c>
      <c r="B620" t="s">
        <v>242</v>
      </c>
      <c r="C620" t="s">
        <v>39</v>
      </c>
      <c r="D620" t="s">
        <v>33</v>
      </c>
      <c r="E620" t="s">
        <v>34</v>
      </c>
      <c r="F620" t="s">
        <v>45</v>
      </c>
      <c r="G620" t="s">
        <v>46</v>
      </c>
      <c r="H620" t="s">
        <v>42</v>
      </c>
      <c r="I620">
        <v>3</v>
      </c>
      <c r="J620">
        <v>8280</v>
      </c>
      <c r="K620">
        <v>23598</v>
      </c>
      <c r="L620" t="s">
        <v>38</v>
      </c>
      <c r="M620">
        <v>5</v>
      </c>
      <c r="N620">
        <v>5917.61</v>
      </c>
    </row>
    <row r="621" spans="1:14" ht="14.25" customHeight="1" x14ac:dyDescent="0.3">
      <c r="A621">
        <v>1620</v>
      </c>
      <c r="B621" t="s">
        <v>242</v>
      </c>
      <c r="C621" t="s">
        <v>32</v>
      </c>
      <c r="D621" t="s">
        <v>58</v>
      </c>
      <c r="E621" t="s">
        <v>54</v>
      </c>
      <c r="F621" t="s">
        <v>45</v>
      </c>
      <c r="G621" t="s">
        <v>69</v>
      </c>
      <c r="H621" t="s">
        <v>42</v>
      </c>
      <c r="I621">
        <v>1</v>
      </c>
      <c r="J621">
        <v>10989</v>
      </c>
      <c r="K621">
        <v>10989</v>
      </c>
      <c r="L621" t="s">
        <v>43</v>
      </c>
      <c r="M621">
        <v>0</v>
      </c>
      <c r="N621">
        <v>2527.73</v>
      </c>
    </row>
    <row r="622" spans="1:14" ht="14.25" customHeight="1" x14ac:dyDescent="0.3">
      <c r="A622">
        <v>1621</v>
      </c>
      <c r="B622" t="s">
        <v>243</v>
      </c>
      <c r="C622" t="s">
        <v>44</v>
      </c>
      <c r="D622" t="s">
        <v>66</v>
      </c>
      <c r="E622" t="s">
        <v>34</v>
      </c>
      <c r="F622" t="s">
        <v>35</v>
      </c>
      <c r="G622" t="s">
        <v>36</v>
      </c>
      <c r="H622" t="s">
        <v>42</v>
      </c>
      <c r="I622">
        <v>3</v>
      </c>
      <c r="J622">
        <v>9736</v>
      </c>
      <c r="K622">
        <v>24826.799999999999</v>
      </c>
      <c r="L622" t="s">
        <v>48</v>
      </c>
      <c r="M622">
        <v>15</v>
      </c>
      <c r="N622">
        <v>4597.03</v>
      </c>
    </row>
    <row r="623" spans="1:14" ht="14.25" customHeight="1" x14ac:dyDescent="0.3">
      <c r="A623">
        <v>1622</v>
      </c>
      <c r="B623" t="s">
        <v>243</v>
      </c>
      <c r="C623" t="s">
        <v>39</v>
      </c>
      <c r="D623" t="s">
        <v>53</v>
      </c>
      <c r="E623" t="s">
        <v>54</v>
      </c>
      <c r="F623" t="s">
        <v>35</v>
      </c>
      <c r="G623" t="s">
        <v>67</v>
      </c>
      <c r="H623" t="s">
        <v>37</v>
      </c>
      <c r="I623">
        <v>2</v>
      </c>
      <c r="J623">
        <v>6839</v>
      </c>
      <c r="K623">
        <v>12310.2</v>
      </c>
      <c r="L623" t="s">
        <v>38</v>
      </c>
      <c r="M623">
        <v>10</v>
      </c>
      <c r="N623">
        <v>2854.4</v>
      </c>
    </row>
    <row r="624" spans="1:14" ht="14.25" customHeight="1" x14ac:dyDescent="0.3">
      <c r="A624">
        <v>1623</v>
      </c>
      <c r="B624" t="s">
        <v>243</v>
      </c>
      <c r="C624" t="s">
        <v>39</v>
      </c>
      <c r="D624" t="s">
        <v>33</v>
      </c>
      <c r="E624" t="s">
        <v>34</v>
      </c>
      <c r="F624" t="s">
        <v>45</v>
      </c>
      <c r="G624" t="s">
        <v>69</v>
      </c>
      <c r="H624" t="s">
        <v>42</v>
      </c>
      <c r="I624">
        <v>2</v>
      </c>
      <c r="J624">
        <v>37097</v>
      </c>
      <c r="K624">
        <v>74194</v>
      </c>
      <c r="L624" t="s">
        <v>38</v>
      </c>
      <c r="M624">
        <v>0</v>
      </c>
      <c r="N624">
        <v>19107.189999999999</v>
      </c>
    </row>
    <row r="625" spans="1:14" ht="14.25" customHeight="1" x14ac:dyDescent="0.3">
      <c r="A625">
        <v>1624</v>
      </c>
      <c r="B625" t="s">
        <v>243</v>
      </c>
      <c r="C625" t="s">
        <v>39</v>
      </c>
      <c r="D625" t="s">
        <v>53</v>
      </c>
      <c r="E625" t="s">
        <v>54</v>
      </c>
      <c r="F625" t="s">
        <v>45</v>
      </c>
      <c r="G625" t="s">
        <v>57</v>
      </c>
      <c r="H625" t="s">
        <v>47</v>
      </c>
      <c r="I625">
        <v>3</v>
      </c>
      <c r="J625">
        <v>16965</v>
      </c>
      <c r="K625">
        <v>43260.75</v>
      </c>
      <c r="L625" t="s">
        <v>48</v>
      </c>
      <c r="M625">
        <v>15</v>
      </c>
      <c r="N625">
        <v>11770.27</v>
      </c>
    </row>
    <row r="626" spans="1:14" ht="14.25" customHeight="1" x14ac:dyDescent="0.3">
      <c r="A626">
        <v>1625</v>
      </c>
      <c r="B626" t="s">
        <v>244</v>
      </c>
      <c r="C626" t="s">
        <v>32</v>
      </c>
      <c r="D626" t="s">
        <v>58</v>
      </c>
      <c r="E626" t="s">
        <v>54</v>
      </c>
      <c r="F626" t="s">
        <v>51</v>
      </c>
      <c r="G626" t="s">
        <v>62</v>
      </c>
      <c r="H626" t="s">
        <v>47</v>
      </c>
      <c r="I626">
        <v>2</v>
      </c>
      <c r="J626">
        <v>33531</v>
      </c>
      <c r="K626">
        <v>57002.7</v>
      </c>
      <c r="L626" t="s">
        <v>43</v>
      </c>
      <c r="M626">
        <v>15</v>
      </c>
      <c r="N626">
        <v>16382.17</v>
      </c>
    </row>
    <row r="627" spans="1:14" ht="14.25" customHeight="1" x14ac:dyDescent="0.3">
      <c r="A627">
        <v>1626</v>
      </c>
      <c r="B627" t="s">
        <v>244</v>
      </c>
      <c r="C627" t="s">
        <v>50</v>
      </c>
      <c r="D627" t="s">
        <v>66</v>
      </c>
      <c r="E627" t="s">
        <v>34</v>
      </c>
      <c r="F627" t="s">
        <v>51</v>
      </c>
      <c r="G627" t="s">
        <v>63</v>
      </c>
      <c r="H627" t="s">
        <v>47</v>
      </c>
      <c r="I627">
        <v>1</v>
      </c>
      <c r="J627">
        <v>2034</v>
      </c>
      <c r="K627">
        <v>2034</v>
      </c>
      <c r="L627" t="s">
        <v>38</v>
      </c>
      <c r="M627">
        <v>0</v>
      </c>
      <c r="N627">
        <v>573.71</v>
      </c>
    </row>
    <row r="628" spans="1:14" ht="14.25" customHeight="1" x14ac:dyDescent="0.3">
      <c r="A628">
        <v>1627</v>
      </c>
      <c r="B628" t="s">
        <v>245</v>
      </c>
      <c r="C628" t="s">
        <v>44</v>
      </c>
      <c r="D628" t="s">
        <v>58</v>
      </c>
      <c r="E628" t="s">
        <v>54</v>
      </c>
      <c r="F628" t="s">
        <v>45</v>
      </c>
      <c r="G628" t="s">
        <v>46</v>
      </c>
      <c r="H628" t="s">
        <v>42</v>
      </c>
      <c r="I628">
        <v>4</v>
      </c>
      <c r="J628">
        <v>46969</v>
      </c>
      <c r="K628">
        <v>159694.6</v>
      </c>
      <c r="L628" t="s">
        <v>61</v>
      </c>
      <c r="M628">
        <v>15</v>
      </c>
      <c r="N628">
        <v>41466.74</v>
      </c>
    </row>
    <row r="629" spans="1:14" ht="14.25" customHeight="1" x14ac:dyDescent="0.3">
      <c r="A629">
        <v>1628</v>
      </c>
      <c r="B629" t="s">
        <v>245</v>
      </c>
      <c r="C629" t="s">
        <v>50</v>
      </c>
      <c r="D629" t="s">
        <v>58</v>
      </c>
      <c r="E629" t="s">
        <v>54</v>
      </c>
      <c r="F629" t="s">
        <v>45</v>
      </c>
      <c r="G629" t="s">
        <v>57</v>
      </c>
      <c r="H629" t="s">
        <v>42</v>
      </c>
      <c r="I629">
        <v>1</v>
      </c>
      <c r="J629">
        <v>43839</v>
      </c>
      <c r="K629">
        <v>43839</v>
      </c>
      <c r="L629" t="s">
        <v>61</v>
      </c>
      <c r="M629">
        <v>0</v>
      </c>
      <c r="N629">
        <v>6816.05</v>
      </c>
    </row>
    <row r="630" spans="1:14" ht="14.25" customHeight="1" x14ac:dyDescent="0.3">
      <c r="A630">
        <v>1629</v>
      </c>
      <c r="B630" t="s">
        <v>245</v>
      </c>
      <c r="C630" t="s">
        <v>44</v>
      </c>
      <c r="D630" t="s">
        <v>33</v>
      </c>
      <c r="E630" t="s">
        <v>34</v>
      </c>
      <c r="F630" t="s">
        <v>35</v>
      </c>
      <c r="G630" t="s">
        <v>65</v>
      </c>
      <c r="H630" t="s">
        <v>37</v>
      </c>
      <c r="I630">
        <v>3</v>
      </c>
      <c r="J630">
        <v>25473</v>
      </c>
      <c r="K630">
        <v>68777.100000000006</v>
      </c>
      <c r="L630" t="s">
        <v>61</v>
      </c>
      <c r="M630">
        <v>10</v>
      </c>
      <c r="N630">
        <v>17315.22</v>
      </c>
    </row>
    <row r="631" spans="1:14" ht="14.25" customHeight="1" x14ac:dyDescent="0.3">
      <c r="A631">
        <v>1630</v>
      </c>
      <c r="B631" t="s">
        <v>245</v>
      </c>
      <c r="C631" t="s">
        <v>44</v>
      </c>
      <c r="D631" t="s">
        <v>33</v>
      </c>
      <c r="E631" t="s">
        <v>34</v>
      </c>
      <c r="F631" t="s">
        <v>35</v>
      </c>
      <c r="G631" t="s">
        <v>36</v>
      </c>
      <c r="H631" t="s">
        <v>42</v>
      </c>
      <c r="I631">
        <v>2</v>
      </c>
      <c r="J631">
        <v>3699</v>
      </c>
      <c r="K631">
        <v>7028.1</v>
      </c>
      <c r="L631" t="s">
        <v>48</v>
      </c>
      <c r="M631">
        <v>5</v>
      </c>
      <c r="N631">
        <v>795.27</v>
      </c>
    </row>
    <row r="632" spans="1:14" ht="14.25" customHeight="1" x14ac:dyDescent="0.3">
      <c r="A632">
        <v>1631</v>
      </c>
      <c r="B632" t="s">
        <v>245</v>
      </c>
      <c r="C632" t="s">
        <v>44</v>
      </c>
      <c r="D632" t="s">
        <v>66</v>
      </c>
      <c r="E632" t="s">
        <v>34</v>
      </c>
      <c r="F632" t="s">
        <v>51</v>
      </c>
      <c r="G632" t="s">
        <v>63</v>
      </c>
      <c r="H632" t="s">
        <v>47</v>
      </c>
      <c r="I632">
        <v>1</v>
      </c>
      <c r="J632">
        <v>48282</v>
      </c>
      <c r="K632">
        <v>45867.9</v>
      </c>
      <c r="L632" t="s">
        <v>43</v>
      </c>
      <c r="M632">
        <v>5</v>
      </c>
      <c r="N632">
        <v>7442.87</v>
      </c>
    </row>
    <row r="633" spans="1:14" ht="14.25" customHeight="1" x14ac:dyDescent="0.3">
      <c r="A633">
        <v>1632</v>
      </c>
      <c r="B633" t="s">
        <v>246</v>
      </c>
      <c r="C633" t="s">
        <v>60</v>
      </c>
      <c r="D633" t="s">
        <v>58</v>
      </c>
      <c r="E633" t="s">
        <v>54</v>
      </c>
      <c r="F633" t="s">
        <v>45</v>
      </c>
      <c r="G633" t="s">
        <v>46</v>
      </c>
      <c r="H633" t="s">
        <v>42</v>
      </c>
      <c r="I633">
        <v>3</v>
      </c>
      <c r="J633">
        <v>1663</v>
      </c>
      <c r="K633">
        <v>4240.6499999999996</v>
      </c>
      <c r="L633" t="s">
        <v>43</v>
      </c>
      <c r="M633">
        <v>15</v>
      </c>
      <c r="N633">
        <v>559.35</v>
      </c>
    </row>
    <row r="634" spans="1:14" ht="14.25" customHeight="1" x14ac:dyDescent="0.3">
      <c r="A634">
        <v>1633</v>
      </c>
      <c r="B634" t="s">
        <v>246</v>
      </c>
      <c r="C634" t="s">
        <v>60</v>
      </c>
      <c r="D634" t="s">
        <v>66</v>
      </c>
      <c r="E634" t="s">
        <v>34</v>
      </c>
      <c r="F634" t="s">
        <v>45</v>
      </c>
      <c r="G634" t="s">
        <v>69</v>
      </c>
      <c r="H634" t="s">
        <v>42</v>
      </c>
      <c r="I634">
        <v>4</v>
      </c>
      <c r="J634">
        <v>32950</v>
      </c>
      <c r="K634">
        <v>112030</v>
      </c>
      <c r="L634" t="s">
        <v>43</v>
      </c>
      <c r="M634">
        <v>15</v>
      </c>
      <c r="N634">
        <v>26695.89</v>
      </c>
    </row>
    <row r="635" spans="1:14" ht="14.25" customHeight="1" x14ac:dyDescent="0.3">
      <c r="A635">
        <v>1634</v>
      </c>
      <c r="B635" t="s">
        <v>246</v>
      </c>
      <c r="C635" t="s">
        <v>44</v>
      </c>
      <c r="D635" t="s">
        <v>33</v>
      </c>
      <c r="E635" t="s">
        <v>34</v>
      </c>
      <c r="F635" t="s">
        <v>45</v>
      </c>
      <c r="G635" t="s">
        <v>46</v>
      </c>
      <c r="H635" t="s">
        <v>47</v>
      </c>
      <c r="I635">
        <v>3</v>
      </c>
      <c r="J635">
        <v>22865</v>
      </c>
      <c r="K635">
        <v>68595</v>
      </c>
      <c r="L635" t="s">
        <v>38</v>
      </c>
      <c r="M635">
        <v>0</v>
      </c>
      <c r="N635">
        <v>14844.72</v>
      </c>
    </row>
    <row r="636" spans="1:14" ht="14.25" customHeight="1" x14ac:dyDescent="0.3">
      <c r="A636">
        <v>1635</v>
      </c>
      <c r="B636" t="s">
        <v>246</v>
      </c>
      <c r="C636" t="s">
        <v>60</v>
      </c>
      <c r="D636" t="s">
        <v>66</v>
      </c>
      <c r="E636" t="s">
        <v>34</v>
      </c>
      <c r="F636" t="s">
        <v>51</v>
      </c>
      <c r="G636" t="s">
        <v>52</v>
      </c>
      <c r="H636" t="s">
        <v>47</v>
      </c>
      <c r="I636">
        <v>3</v>
      </c>
      <c r="J636">
        <v>11324</v>
      </c>
      <c r="K636">
        <v>33972</v>
      </c>
      <c r="L636" t="s">
        <v>38</v>
      </c>
      <c r="M636">
        <v>0</v>
      </c>
      <c r="N636">
        <v>3807.54</v>
      </c>
    </row>
    <row r="637" spans="1:14" ht="14.25" customHeight="1" x14ac:dyDescent="0.3">
      <c r="A637">
        <v>1636</v>
      </c>
      <c r="B637" t="s">
        <v>246</v>
      </c>
      <c r="C637" t="s">
        <v>32</v>
      </c>
      <c r="D637" t="s">
        <v>33</v>
      </c>
      <c r="E637" t="s">
        <v>34</v>
      </c>
      <c r="F637" t="s">
        <v>51</v>
      </c>
      <c r="G637" t="s">
        <v>62</v>
      </c>
      <c r="H637" t="s">
        <v>55</v>
      </c>
      <c r="I637">
        <v>3</v>
      </c>
      <c r="J637">
        <v>43956</v>
      </c>
      <c r="K637">
        <v>118681.2</v>
      </c>
      <c r="L637" t="s">
        <v>43</v>
      </c>
      <c r="M637">
        <v>10</v>
      </c>
      <c r="N637">
        <v>34662.949999999997</v>
      </c>
    </row>
    <row r="638" spans="1:14" ht="14.25" customHeight="1" x14ac:dyDescent="0.3">
      <c r="A638">
        <v>1637</v>
      </c>
      <c r="B638" t="s">
        <v>247</v>
      </c>
      <c r="C638" t="s">
        <v>50</v>
      </c>
      <c r="D638" t="s">
        <v>33</v>
      </c>
      <c r="E638" t="s">
        <v>34</v>
      </c>
      <c r="F638" t="s">
        <v>51</v>
      </c>
      <c r="G638" t="s">
        <v>63</v>
      </c>
      <c r="H638" t="s">
        <v>55</v>
      </c>
      <c r="I638">
        <v>1</v>
      </c>
      <c r="J638">
        <v>26414</v>
      </c>
      <c r="K638">
        <v>25093.3</v>
      </c>
      <c r="L638" t="s">
        <v>43</v>
      </c>
      <c r="M638">
        <v>5</v>
      </c>
      <c r="N638">
        <v>7272.97</v>
      </c>
    </row>
    <row r="639" spans="1:14" ht="14.25" customHeight="1" x14ac:dyDescent="0.3">
      <c r="A639">
        <v>1638</v>
      </c>
      <c r="B639" t="s">
        <v>247</v>
      </c>
      <c r="C639" t="s">
        <v>32</v>
      </c>
      <c r="D639" t="s">
        <v>66</v>
      </c>
      <c r="E639" t="s">
        <v>34</v>
      </c>
      <c r="F639" t="s">
        <v>51</v>
      </c>
      <c r="G639" t="s">
        <v>62</v>
      </c>
      <c r="H639" t="s">
        <v>42</v>
      </c>
      <c r="I639">
        <v>2</v>
      </c>
      <c r="J639">
        <v>10283</v>
      </c>
      <c r="K639">
        <v>20566</v>
      </c>
      <c r="L639" t="s">
        <v>48</v>
      </c>
      <c r="M639">
        <v>0</v>
      </c>
      <c r="N639">
        <v>2298.61</v>
      </c>
    </row>
    <row r="640" spans="1:14" ht="14.25" customHeight="1" x14ac:dyDescent="0.3">
      <c r="A640">
        <v>1639</v>
      </c>
      <c r="B640" t="s">
        <v>247</v>
      </c>
      <c r="C640" t="s">
        <v>50</v>
      </c>
      <c r="D640" t="s">
        <v>53</v>
      </c>
      <c r="E640" t="s">
        <v>54</v>
      </c>
      <c r="F640" t="s">
        <v>51</v>
      </c>
      <c r="G640" t="s">
        <v>62</v>
      </c>
      <c r="H640" t="s">
        <v>42</v>
      </c>
      <c r="I640">
        <v>1</v>
      </c>
      <c r="J640">
        <v>13416</v>
      </c>
      <c r="K640">
        <v>12074.4</v>
      </c>
      <c r="L640" t="s">
        <v>61</v>
      </c>
      <c r="M640">
        <v>10</v>
      </c>
      <c r="N640">
        <v>1488.04</v>
      </c>
    </row>
    <row r="641" spans="1:14" ht="14.25" customHeight="1" x14ac:dyDescent="0.3">
      <c r="A641">
        <v>1640</v>
      </c>
      <c r="B641" t="s">
        <v>247</v>
      </c>
      <c r="C641" t="s">
        <v>60</v>
      </c>
      <c r="D641" t="s">
        <v>58</v>
      </c>
      <c r="E641" t="s">
        <v>54</v>
      </c>
      <c r="F641" t="s">
        <v>45</v>
      </c>
      <c r="G641" t="s">
        <v>69</v>
      </c>
      <c r="H641" t="s">
        <v>42</v>
      </c>
      <c r="I641">
        <v>1</v>
      </c>
      <c r="J641">
        <v>27868</v>
      </c>
      <c r="K641">
        <v>25081.200000000001</v>
      </c>
      <c r="L641" t="s">
        <v>61</v>
      </c>
      <c r="M641">
        <v>10</v>
      </c>
      <c r="N641">
        <v>3894.73</v>
      </c>
    </row>
    <row r="642" spans="1:14" ht="14.25" customHeight="1" x14ac:dyDescent="0.3">
      <c r="A642">
        <v>1641</v>
      </c>
      <c r="B642" t="s">
        <v>247</v>
      </c>
      <c r="C642" t="s">
        <v>50</v>
      </c>
      <c r="D642" t="s">
        <v>66</v>
      </c>
      <c r="E642" t="s">
        <v>34</v>
      </c>
      <c r="F642" t="s">
        <v>45</v>
      </c>
      <c r="G642" t="s">
        <v>57</v>
      </c>
      <c r="H642" t="s">
        <v>37</v>
      </c>
      <c r="I642">
        <v>1</v>
      </c>
      <c r="J642">
        <v>5754</v>
      </c>
      <c r="K642">
        <v>5754</v>
      </c>
      <c r="L642" t="s">
        <v>38</v>
      </c>
      <c r="M642">
        <v>0</v>
      </c>
      <c r="N642">
        <v>929.01</v>
      </c>
    </row>
    <row r="643" spans="1:14" ht="14.25" customHeight="1" x14ac:dyDescent="0.3">
      <c r="A643">
        <v>1642</v>
      </c>
      <c r="B643" t="s">
        <v>248</v>
      </c>
      <c r="C643" t="s">
        <v>50</v>
      </c>
      <c r="D643" t="s">
        <v>33</v>
      </c>
      <c r="E643" t="s">
        <v>34</v>
      </c>
      <c r="F643" t="s">
        <v>35</v>
      </c>
      <c r="G643" t="s">
        <v>65</v>
      </c>
      <c r="H643" t="s">
        <v>47</v>
      </c>
      <c r="I643">
        <v>5</v>
      </c>
      <c r="J643">
        <v>9037</v>
      </c>
      <c r="K643">
        <v>40666.5</v>
      </c>
      <c r="L643" t="s">
        <v>38</v>
      </c>
      <c r="M643">
        <v>10</v>
      </c>
      <c r="N643">
        <v>12189.55</v>
      </c>
    </row>
    <row r="644" spans="1:14" ht="14.25" customHeight="1" x14ac:dyDescent="0.3">
      <c r="A644">
        <v>1643</v>
      </c>
      <c r="B644" t="s">
        <v>248</v>
      </c>
      <c r="C644" t="s">
        <v>39</v>
      </c>
      <c r="D644" t="s">
        <v>58</v>
      </c>
      <c r="E644" t="s">
        <v>54</v>
      </c>
      <c r="F644" t="s">
        <v>35</v>
      </c>
      <c r="G644" t="s">
        <v>65</v>
      </c>
      <c r="H644" t="s">
        <v>37</v>
      </c>
      <c r="I644">
        <v>4</v>
      </c>
      <c r="J644">
        <v>31821</v>
      </c>
      <c r="K644">
        <v>114555.6</v>
      </c>
      <c r="L644" t="s">
        <v>38</v>
      </c>
      <c r="M644">
        <v>10</v>
      </c>
      <c r="N644">
        <v>22601.14</v>
      </c>
    </row>
    <row r="645" spans="1:14" ht="14.25" customHeight="1" x14ac:dyDescent="0.3">
      <c r="A645">
        <v>1644</v>
      </c>
      <c r="B645" t="s">
        <v>248</v>
      </c>
      <c r="C645" t="s">
        <v>50</v>
      </c>
      <c r="D645" t="s">
        <v>33</v>
      </c>
      <c r="E645" t="s">
        <v>34</v>
      </c>
      <c r="F645" t="s">
        <v>35</v>
      </c>
      <c r="G645" t="s">
        <v>67</v>
      </c>
      <c r="H645" t="s">
        <v>47</v>
      </c>
      <c r="I645">
        <v>5</v>
      </c>
      <c r="J645">
        <v>49987</v>
      </c>
      <c r="K645">
        <v>224941.5</v>
      </c>
      <c r="L645" t="s">
        <v>48</v>
      </c>
      <c r="M645">
        <v>10</v>
      </c>
      <c r="N645">
        <v>54977.46</v>
      </c>
    </row>
    <row r="646" spans="1:14" ht="14.25" customHeight="1" x14ac:dyDescent="0.3">
      <c r="A646">
        <v>1645</v>
      </c>
      <c r="B646" t="s">
        <v>248</v>
      </c>
      <c r="C646" t="s">
        <v>44</v>
      </c>
      <c r="D646" t="s">
        <v>53</v>
      </c>
      <c r="E646" t="s">
        <v>54</v>
      </c>
      <c r="F646" t="s">
        <v>51</v>
      </c>
      <c r="G646" t="s">
        <v>52</v>
      </c>
      <c r="H646" t="s">
        <v>37</v>
      </c>
      <c r="I646">
        <v>5</v>
      </c>
      <c r="J646">
        <v>28761</v>
      </c>
      <c r="K646">
        <v>136614.75</v>
      </c>
      <c r="L646" t="s">
        <v>43</v>
      </c>
      <c r="M646">
        <v>5</v>
      </c>
      <c r="N646">
        <v>33236.32</v>
      </c>
    </row>
    <row r="647" spans="1:14" ht="14.25" customHeight="1" x14ac:dyDescent="0.3">
      <c r="A647">
        <v>1646</v>
      </c>
      <c r="B647" t="s">
        <v>249</v>
      </c>
      <c r="C647" t="s">
        <v>60</v>
      </c>
      <c r="D647" t="s">
        <v>53</v>
      </c>
      <c r="E647" t="s">
        <v>54</v>
      </c>
      <c r="F647" t="s">
        <v>45</v>
      </c>
      <c r="G647" t="s">
        <v>69</v>
      </c>
      <c r="H647" t="s">
        <v>47</v>
      </c>
      <c r="I647">
        <v>1</v>
      </c>
      <c r="J647">
        <v>12597</v>
      </c>
      <c r="K647">
        <v>10707.45</v>
      </c>
      <c r="L647" t="s">
        <v>38</v>
      </c>
      <c r="M647">
        <v>15</v>
      </c>
      <c r="N647">
        <v>2546.89</v>
      </c>
    </row>
    <row r="648" spans="1:14" ht="14.25" customHeight="1" x14ac:dyDescent="0.3">
      <c r="A648">
        <v>1647</v>
      </c>
      <c r="B648" t="s">
        <v>249</v>
      </c>
      <c r="C648" t="s">
        <v>32</v>
      </c>
      <c r="D648" t="s">
        <v>40</v>
      </c>
      <c r="E648" t="s">
        <v>41</v>
      </c>
      <c r="F648" t="s">
        <v>35</v>
      </c>
      <c r="G648" t="s">
        <v>65</v>
      </c>
      <c r="H648" t="s">
        <v>47</v>
      </c>
      <c r="I648">
        <v>3</v>
      </c>
      <c r="J648">
        <v>37626</v>
      </c>
      <c r="K648">
        <v>107234.1</v>
      </c>
      <c r="L648" t="s">
        <v>43</v>
      </c>
      <c r="M648">
        <v>5</v>
      </c>
      <c r="N648">
        <v>28369.11</v>
      </c>
    </row>
    <row r="649" spans="1:14" ht="14.25" customHeight="1" x14ac:dyDescent="0.3">
      <c r="A649">
        <v>1648</v>
      </c>
      <c r="B649" t="s">
        <v>249</v>
      </c>
      <c r="C649" t="s">
        <v>60</v>
      </c>
      <c r="D649" t="s">
        <v>33</v>
      </c>
      <c r="E649" t="s">
        <v>34</v>
      </c>
      <c r="F649" t="s">
        <v>45</v>
      </c>
      <c r="G649" t="s">
        <v>57</v>
      </c>
      <c r="H649" t="s">
        <v>47</v>
      </c>
      <c r="I649">
        <v>4</v>
      </c>
      <c r="J649">
        <v>4581</v>
      </c>
      <c r="K649">
        <v>16491.599999999999</v>
      </c>
      <c r="L649" t="s">
        <v>43</v>
      </c>
      <c r="M649">
        <v>10</v>
      </c>
      <c r="N649">
        <v>4689.91</v>
      </c>
    </row>
    <row r="650" spans="1:14" ht="14.25" customHeight="1" x14ac:dyDescent="0.3">
      <c r="A650">
        <v>1649</v>
      </c>
      <c r="B650" t="s">
        <v>249</v>
      </c>
      <c r="C650" t="s">
        <v>50</v>
      </c>
      <c r="D650" t="s">
        <v>40</v>
      </c>
      <c r="E650" t="s">
        <v>41</v>
      </c>
      <c r="F650" t="s">
        <v>35</v>
      </c>
      <c r="G650" t="s">
        <v>67</v>
      </c>
      <c r="H650" t="s">
        <v>42</v>
      </c>
      <c r="I650">
        <v>5</v>
      </c>
      <c r="J650">
        <v>1549</v>
      </c>
      <c r="K650">
        <v>6583.25</v>
      </c>
      <c r="L650" t="s">
        <v>61</v>
      </c>
      <c r="M650">
        <v>15</v>
      </c>
      <c r="N650">
        <v>692.37</v>
      </c>
    </row>
    <row r="651" spans="1:14" ht="14.25" customHeight="1" x14ac:dyDescent="0.3">
      <c r="A651">
        <v>1650</v>
      </c>
      <c r="B651" t="s">
        <v>250</v>
      </c>
      <c r="C651" t="s">
        <v>32</v>
      </c>
      <c r="D651" t="s">
        <v>40</v>
      </c>
      <c r="E651" t="s">
        <v>41</v>
      </c>
      <c r="F651" t="s">
        <v>45</v>
      </c>
      <c r="G651" t="s">
        <v>69</v>
      </c>
      <c r="H651" t="s">
        <v>47</v>
      </c>
      <c r="I651">
        <v>3</v>
      </c>
      <c r="J651">
        <v>9857</v>
      </c>
      <c r="K651">
        <v>26613.9</v>
      </c>
      <c r="L651" t="s">
        <v>61</v>
      </c>
      <c r="M651">
        <v>10</v>
      </c>
      <c r="N651">
        <v>3170.77</v>
      </c>
    </row>
    <row r="652" spans="1:14" ht="14.25" customHeight="1" x14ac:dyDescent="0.3">
      <c r="A652">
        <v>1651</v>
      </c>
      <c r="B652" t="s">
        <v>250</v>
      </c>
      <c r="C652" t="s">
        <v>32</v>
      </c>
      <c r="D652" t="s">
        <v>40</v>
      </c>
      <c r="E652" t="s">
        <v>41</v>
      </c>
      <c r="F652" t="s">
        <v>51</v>
      </c>
      <c r="G652" t="s">
        <v>62</v>
      </c>
      <c r="H652" t="s">
        <v>47</v>
      </c>
      <c r="I652">
        <v>3</v>
      </c>
      <c r="J652">
        <v>49381</v>
      </c>
      <c r="K652">
        <v>125921.55</v>
      </c>
      <c r="L652" t="s">
        <v>48</v>
      </c>
      <c r="M652">
        <v>15</v>
      </c>
      <c r="N652">
        <v>15885.94</v>
      </c>
    </row>
    <row r="653" spans="1:14" ht="14.25" customHeight="1" x14ac:dyDescent="0.3">
      <c r="A653">
        <v>1652</v>
      </c>
      <c r="B653" t="s">
        <v>250</v>
      </c>
      <c r="C653" t="s">
        <v>39</v>
      </c>
      <c r="D653" t="s">
        <v>33</v>
      </c>
      <c r="E653" t="s">
        <v>34</v>
      </c>
      <c r="F653" t="s">
        <v>35</v>
      </c>
      <c r="G653" t="s">
        <v>36</v>
      </c>
      <c r="H653" t="s">
        <v>55</v>
      </c>
      <c r="I653">
        <v>5</v>
      </c>
      <c r="J653">
        <v>41890</v>
      </c>
      <c r="K653">
        <v>178032.5</v>
      </c>
      <c r="L653" t="s">
        <v>43</v>
      </c>
      <c r="M653">
        <v>15</v>
      </c>
      <c r="N653">
        <v>36653.31</v>
      </c>
    </row>
    <row r="654" spans="1:14" ht="14.25" customHeight="1" x14ac:dyDescent="0.3">
      <c r="A654">
        <v>1653</v>
      </c>
      <c r="B654" t="s">
        <v>250</v>
      </c>
      <c r="C654" t="s">
        <v>60</v>
      </c>
      <c r="D654" t="s">
        <v>33</v>
      </c>
      <c r="E654" t="s">
        <v>34</v>
      </c>
      <c r="F654" t="s">
        <v>51</v>
      </c>
      <c r="G654" t="s">
        <v>62</v>
      </c>
      <c r="H654" t="s">
        <v>55</v>
      </c>
      <c r="I654">
        <v>4</v>
      </c>
      <c r="J654">
        <v>40762</v>
      </c>
      <c r="K654">
        <v>163048</v>
      </c>
      <c r="L654" t="s">
        <v>61</v>
      </c>
      <c r="M654">
        <v>0</v>
      </c>
      <c r="N654">
        <v>24862.54</v>
      </c>
    </row>
    <row r="655" spans="1:14" ht="14.25" customHeight="1" x14ac:dyDescent="0.3">
      <c r="A655">
        <v>1654</v>
      </c>
      <c r="B655" t="s">
        <v>251</v>
      </c>
      <c r="C655" t="s">
        <v>44</v>
      </c>
      <c r="D655" t="s">
        <v>33</v>
      </c>
      <c r="E655" t="s">
        <v>34</v>
      </c>
      <c r="F655" t="s">
        <v>45</v>
      </c>
      <c r="G655" t="s">
        <v>46</v>
      </c>
      <c r="H655" t="s">
        <v>37</v>
      </c>
      <c r="I655">
        <v>5</v>
      </c>
      <c r="J655">
        <v>7191</v>
      </c>
      <c r="K655">
        <v>30561.75</v>
      </c>
      <c r="L655" t="s">
        <v>43</v>
      </c>
      <c r="M655">
        <v>15</v>
      </c>
      <c r="N655">
        <v>8275.5400000000009</v>
      </c>
    </row>
    <row r="656" spans="1:14" ht="14.25" customHeight="1" x14ac:dyDescent="0.3">
      <c r="A656">
        <v>1655</v>
      </c>
      <c r="B656" t="s">
        <v>251</v>
      </c>
      <c r="C656" t="s">
        <v>39</v>
      </c>
      <c r="D656" t="s">
        <v>58</v>
      </c>
      <c r="E656" t="s">
        <v>54</v>
      </c>
      <c r="F656" t="s">
        <v>35</v>
      </c>
      <c r="G656" t="s">
        <v>65</v>
      </c>
      <c r="H656" t="s">
        <v>42</v>
      </c>
      <c r="I656">
        <v>5</v>
      </c>
      <c r="J656">
        <v>33281</v>
      </c>
      <c r="K656">
        <v>158084.75</v>
      </c>
      <c r="L656" t="s">
        <v>43</v>
      </c>
      <c r="M656">
        <v>5</v>
      </c>
      <c r="N656">
        <v>31756.66</v>
      </c>
    </row>
    <row r="657" spans="1:14" ht="14.25" customHeight="1" x14ac:dyDescent="0.3">
      <c r="A657">
        <v>1656</v>
      </c>
      <c r="B657" t="s">
        <v>251</v>
      </c>
      <c r="C657" t="s">
        <v>39</v>
      </c>
      <c r="D657" t="s">
        <v>58</v>
      </c>
      <c r="E657" t="s">
        <v>54</v>
      </c>
      <c r="F657" t="s">
        <v>35</v>
      </c>
      <c r="G657" t="s">
        <v>36</v>
      </c>
      <c r="H657" t="s">
        <v>47</v>
      </c>
      <c r="I657">
        <v>2</v>
      </c>
      <c r="J657">
        <v>34160</v>
      </c>
      <c r="K657">
        <v>61488</v>
      </c>
      <c r="L657" t="s">
        <v>61</v>
      </c>
      <c r="M657">
        <v>10</v>
      </c>
      <c r="N657">
        <v>15610.82</v>
      </c>
    </row>
    <row r="658" spans="1:14" ht="14.25" customHeight="1" x14ac:dyDescent="0.3">
      <c r="A658">
        <v>1657</v>
      </c>
      <c r="B658" t="s">
        <v>251</v>
      </c>
      <c r="C658" t="s">
        <v>60</v>
      </c>
      <c r="D658" t="s">
        <v>40</v>
      </c>
      <c r="E658" t="s">
        <v>41</v>
      </c>
      <c r="F658" t="s">
        <v>35</v>
      </c>
      <c r="G658" t="s">
        <v>67</v>
      </c>
      <c r="H658" t="s">
        <v>37</v>
      </c>
      <c r="I658">
        <v>1</v>
      </c>
      <c r="J658">
        <v>19596</v>
      </c>
      <c r="K658">
        <v>19596</v>
      </c>
      <c r="L658" t="s">
        <v>38</v>
      </c>
      <c r="M658">
        <v>0</v>
      </c>
      <c r="N658">
        <v>3656.33</v>
      </c>
    </row>
    <row r="659" spans="1:14" ht="14.25" customHeight="1" x14ac:dyDescent="0.3">
      <c r="A659">
        <v>1658</v>
      </c>
      <c r="B659" t="s">
        <v>252</v>
      </c>
      <c r="C659" t="s">
        <v>32</v>
      </c>
      <c r="D659" t="s">
        <v>53</v>
      </c>
      <c r="E659" t="s">
        <v>54</v>
      </c>
      <c r="F659" t="s">
        <v>45</v>
      </c>
      <c r="G659" t="s">
        <v>46</v>
      </c>
      <c r="H659" t="s">
        <v>37</v>
      </c>
      <c r="I659">
        <v>4</v>
      </c>
      <c r="J659">
        <v>18244</v>
      </c>
      <c r="K659">
        <v>69327.199999999997</v>
      </c>
      <c r="L659" t="s">
        <v>38</v>
      </c>
      <c r="M659">
        <v>5</v>
      </c>
      <c r="N659">
        <v>16205.6</v>
      </c>
    </row>
    <row r="660" spans="1:14" ht="14.25" customHeight="1" x14ac:dyDescent="0.3">
      <c r="A660">
        <v>1659</v>
      </c>
      <c r="B660" t="s">
        <v>252</v>
      </c>
      <c r="C660" t="s">
        <v>32</v>
      </c>
      <c r="D660" t="s">
        <v>58</v>
      </c>
      <c r="E660" t="s">
        <v>54</v>
      </c>
      <c r="F660" t="s">
        <v>35</v>
      </c>
      <c r="G660" t="s">
        <v>67</v>
      </c>
      <c r="H660" t="s">
        <v>55</v>
      </c>
      <c r="I660">
        <v>4</v>
      </c>
      <c r="J660">
        <v>34657</v>
      </c>
      <c r="K660">
        <v>124765.2</v>
      </c>
      <c r="L660" t="s">
        <v>61</v>
      </c>
      <c r="M660">
        <v>10</v>
      </c>
      <c r="N660">
        <v>15960.25</v>
      </c>
    </row>
    <row r="661" spans="1:14" ht="14.25" customHeight="1" x14ac:dyDescent="0.3">
      <c r="A661">
        <v>1660</v>
      </c>
      <c r="B661" t="s">
        <v>252</v>
      </c>
      <c r="C661" t="s">
        <v>44</v>
      </c>
      <c r="D661" t="s">
        <v>58</v>
      </c>
      <c r="E661" t="s">
        <v>54</v>
      </c>
      <c r="F661" t="s">
        <v>45</v>
      </c>
      <c r="G661" t="s">
        <v>46</v>
      </c>
      <c r="H661" t="s">
        <v>42</v>
      </c>
      <c r="I661">
        <v>1</v>
      </c>
      <c r="J661">
        <v>21567</v>
      </c>
      <c r="K661">
        <v>18331.95</v>
      </c>
      <c r="L661" t="s">
        <v>43</v>
      </c>
      <c r="M661">
        <v>15</v>
      </c>
      <c r="N661">
        <v>2384.31</v>
      </c>
    </row>
    <row r="662" spans="1:14" ht="14.25" customHeight="1" x14ac:dyDescent="0.3">
      <c r="A662">
        <v>1661</v>
      </c>
      <c r="B662" t="s">
        <v>252</v>
      </c>
      <c r="C662" t="s">
        <v>39</v>
      </c>
      <c r="D662" t="s">
        <v>58</v>
      </c>
      <c r="E662" t="s">
        <v>54</v>
      </c>
      <c r="F662" t="s">
        <v>45</v>
      </c>
      <c r="G662" t="s">
        <v>46</v>
      </c>
      <c r="H662" t="s">
        <v>55</v>
      </c>
      <c r="I662">
        <v>2</v>
      </c>
      <c r="J662">
        <v>38031</v>
      </c>
      <c r="K662">
        <v>64652.7</v>
      </c>
      <c r="L662" t="s">
        <v>61</v>
      </c>
      <c r="M662">
        <v>15</v>
      </c>
      <c r="N662">
        <v>6663.98</v>
      </c>
    </row>
    <row r="663" spans="1:14" ht="14.25" customHeight="1" x14ac:dyDescent="0.3">
      <c r="A663">
        <v>1662</v>
      </c>
      <c r="B663" t="s">
        <v>252</v>
      </c>
      <c r="C663" t="s">
        <v>50</v>
      </c>
      <c r="D663" t="s">
        <v>53</v>
      </c>
      <c r="E663" t="s">
        <v>54</v>
      </c>
      <c r="F663" t="s">
        <v>45</v>
      </c>
      <c r="G663" t="s">
        <v>69</v>
      </c>
      <c r="H663" t="s">
        <v>47</v>
      </c>
      <c r="I663">
        <v>5</v>
      </c>
      <c r="J663">
        <v>49519</v>
      </c>
      <c r="K663">
        <v>235215.25</v>
      </c>
      <c r="L663" t="s">
        <v>38</v>
      </c>
      <c r="M663">
        <v>5</v>
      </c>
      <c r="N663">
        <v>56205.42</v>
      </c>
    </row>
    <row r="664" spans="1:14" ht="14.25" customHeight="1" x14ac:dyDescent="0.3">
      <c r="A664">
        <v>1663</v>
      </c>
      <c r="B664" t="s">
        <v>253</v>
      </c>
      <c r="C664" t="s">
        <v>32</v>
      </c>
      <c r="D664" t="s">
        <v>40</v>
      </c>
      <c r="E664" t="s">
        <v>41</v>
      </c>
      <c r="F664" t="s">
        <v>51</v>
      </c>
      <c r="G664" t="s">
        <v>52</v>
      </c>
      <c r="H664" t="s">
        <v>37</v>
      </c>
      <c r="I664">
        <v>5</v>
      </c>
      <c r="J664">
        <v>24409</v>
      </c>
      <c r="K664">
        <v>109840.5</v>
      </c>
      <c r="L664" t="s">
        <v>38</v>
      </c>
      <c r="M664">
        <v>10</v>
      </c>
      <c r="N664">
        <v>20509.599999999999</v>
      </c>
    </row>
    <row r="665" spans="1:14" ht="14.25" customHeight="1" x14ac:dyDescent="0.3">
      <c r="A665">
        <v>1664</v>
      </c>
      <c r="B665" t="s">
        <v>253</v>
      </c>
      <c r="C665" t="s">
        <v>39</v>
      </c>
      <c r="D665" t="s">
        <v>33</v>
      </c>
      <c r="E665" t="s">
        <v>34</v>
      </c>
      <c r="F665" t="s">
        <v>35</v>
      </c>
      <c r="G665" t="s">
        <v>36</v>
      </c>
      <c r="H665" t="s">
        <v>42</v>
      </c>
      <c r="I665">
        <v>3</v>
      </c>
      <c r="J665">
        <v>20088</v>
      </c>
      <c r="K665">
        <v>57250.8</v>
      </c>
      <c r="L665" t="s">
        <v>38</v>
      </c>
      <c r="M665">
        <v>5</v>
      </c>
      <c r="N665">
        <v>13098.14</v>
      </c>
    </row>
    <row r="666" spans="1:14" ht="14.25" customHeight="1" x14ac:dyDescent="0.3">
      <c r="A666">
        <v>1665</v>
      </c>
      <c r="B666" t="s">
        <v>253</v>
      </c>
      <c r="C666" t="s">
        <v>60</v>
      </c>
      <c r="D666" t="s">
        <v>58</v>
      </c>
      <c r="E666" t="s">
        <v>54</v>
      </c>
      <c r="F666" t="s">
        <v>45</v>
      </c>
      <c r="G666" t="s">
        <v>69</v>
      </c>
      <c r="H666" t="s">
        <v>42</v>
      </c>
      <c r="I666">
        <v>4</v>
      </c>
      <c r="J666">
        <v>21698</v>
      </c>
      <c r="K666">
        <v>73773.2</v>
      </c>
      <c r="L666" t="s">
        <v>43</v>
      </c>
      <c r="M666">
        <v>15</v>
      </c>
      <c r="N666">
        <v>19701.28</v>
      </c>
    </row>
    <row r="667" spans="1:14" ht="14.25" customHeight="1" x14ac:dyDescent="0.3">
      <c r="A667">
        <v>1666</v>
      </c>
      <c r="B667" t="s">
        <v>253</v>
      </c>
      <c r="C667" t="s">
        <v>39</v>
      </c>
      <c r="D667" t="s">
        <v>58</v>
      </c>
      <c r="E667" t="s">
        <v>54</v>
      </c>
      <c r="F667" t="s">
        <v>45</v>
      </c>
      <c r="G667" t="s">
        <v>69</v>
      </c>
      <c r="H667" t="s">
        <v>42</v>
      </c>
      <c r="I667">
        <v>3</v>
      </c>
      <c r="J667">
        <v>37900</v>
      </c>
      <c r="K667">
        <v>113700</v>
      </c>
      <c r="L667" t="s">
        <v>43</v>
      </c>
      <c r="M667">
        <v>0</v>
      </c>
      <c r="N667">
        <v>24743.360000000001</v>
      </c>
    </row>
    <row r="668" spans="1:14" ht="14.25" customHeight="1" x14ac:dyDescent="0.3">
      <c r="A668">
        <v>1667</v>
      </c>
      <c r="B668" t="s">
        <v>253</v>
      </c>
      <c r="C668" t="s">
        <v>44</v>
      </c>
      <c r="D668" t="s">
        <v>53</v>
      </c>
      <c r="E668" t="s">
        <v>54</v>
      </c>
      <c r="F668" t="s">
        <v>45</v>
      </c>
      <c r="G668" t="s">
        <v>69</v>
      </c>
      <c r="H668" t="s">
        <v>42</v>
      </c>
      <c r="I668">
        <v>2</v>
      </c>
      <c r="J668">
        <v>15102</v>
      </c>
      <c r="K668">
        <v>27183.599999999999</v>
      </c>
      <c r="L668" t="s">
        <v>48</v>
      </c>
      <c r="M668">
        <v>10</v>
      </c>
      <c r="N668">
        <v>3549.75</v>
      </c>
    </row>
    <row r="669" spans="1:14" ht="14.25" customHeight="1" x14ac:dyDescent="0.3">
      <c r="A669">
        <v>1668</v>
      </c>
      <c r="B669" t="s">
        <v>254</v>
      </c>
      <c r="C669" t="s">
        <v>32</v>
      </c>
      <c r="D669" t="s">
        <v>40</v>
      </c>
      <c r="E669" t="s">
        <v>41</v>
      </c>
      <c r="F669" t="s">
        <v>35</v>
      </c>
      <c r="G669" t="s">
        <v>65</v>
      </c>
      <c r="H669" t="s">
        <v>47</v>
      </c>
      <c r="I669">
        <v>4</v>
      </c>
      <c r="J669">
        <v>38529</v>
      </c>
      <c r="K669">
        <v>146410.20000000001</v>
      </c>
      <c r="L669" t="s">
        <v>38</v>
      </c>
      <c r="M669">
        <v>5</v>
      </c>
      <c r="N669">
        <v>16996.34</v>
      </c>
    </row>
    <row r="670" spans="1:14" ht="14.25" customHeight="1" x14ac:dyDescent="0.3">
      <c r="A670">
        <v>1669</v>
      </c>
      <c r="B670" t="s">
        <v>254</v>
      </c>
      <c r="C670" t="s">
        <v>50</v>
      </c>
      <c r="D670" t="s">
        <v>40</v>
      </c>
      <c r="E670" t="s">
        <v>41</v>
      </c>
      <c r="F670" t="s">
        <v>35</v>
      </c>
      <c r="G670" t="s">
        <v>65</v>
      </c>
      <c r="H670" t="s">
        <v>42</v>
      </c>
      <c r="I670">
        <v>5</v>
      </c>
      <c r="J670">
        <v>37015</v>
      </c>
      <c r="K670">
        <v>166567.5</v>
      </c>
      <c r="L670" t="s">
        <v>48</v>
      </c>
      <c r="M670">
        <v>10</v>
      </c>
      <c r="N670">
        <v>42179.73</v>
      </c>
    </row>
    <row r="671" spans="1:14" ht="14.25" customHeight="1" x14ac:dyDescent="0.3">
      <c r="A671">
        <v>1670</v>
      </c>
      <c r="B671" t="s">
        <v>254</v>
      </c>
      <c r="C671" t="s">
        <v>32</v>
      </c>
      <c r="D671" t="s">
        <v>40</v>
      </c>
      <c r="E671" t="s">
        <v>41</v>
      </c>
      <c r="F671" t="s">
        <v>45</v>
      </c>
      <c r="G671" t="s">
        <v>57</v>
      </c>
      <c r="H671" t="s">
        <v>55</v>
      </c>
      <c r="I671">
        <v>4</v>
      </c>
      <c r="J671">
        <v>36789</v>
      </c>
      <c r="K671">
        <v>139798.20000000001</v>
      </c>
      <c r="L671" t="s">
        <v>43</v>
      </c>
      <c r="M671">
        <v>5</v>
      </c>
      <c r="N671">
        <v>39450.730000000003</v>
      </c>
    </row>
    <row r="672" spans="1:14" ht="14.25" customHeight="1" x14ac:dyDescent="0.3">
      <c r="A672">
        <v>1671</v>
      </c>
      <c r="B672" t="s">
        <v>254</v>
      </c>
      <c r="C672" t="s">
        <v>44</v>
      </c>
      <c r="D672" t="s">
        <v>66</v>
      </c>
      <c r="E672" t="s">
        <v>34</v>
      </c>
      <c r="F672" t="s">
        <v>51</v>
      </c>
      <c r="G672" t="s">
        <v>52</v>
      </c>
      <c r="H672" t="s">
        <v>55</v>
      </c>
      <c r="I672">
        <v>5</v>
      </c>
      <c r="J672">
        <v>27064</v>
      </c>
      <c r="K672">
        <v>115022</v>
      </c>
      <c r="L672" t="s">
        <v>43</v>
      </c>
      <c r="M672">
        <v>15</v>
      </c>
      <c r="N672">
        <v>29832.12</v>
      </c>
    </row>
    <row r="673" spans="1:14" ht="14.25" customHeight="1" x14ac:dyDescent="0.3">
      <c r="A673">
        <v>1672</v>
      </c>
      <c r="B673" t="s">
        <v>254</v>
      </c>
      <c r="C673" t="s">
        <v>60</v>
      </c>
      <c r="D673" t="s">
        <v>58</v>
      </c>
      <c r="E673" t="s">
        <v>54</v>
      </c>
      <c r="F673" t="s">
        <v>35</v>
      </c>
      <c r="G673" t="s">
        <v>36</v>
      </c>
      <c r="H673" t="s">
        <v>47</v>
      </c>
      <c r="I673">
        <v>4</v>
      </c>
      <c r="J673">
        <v>44997</v>
      </c>
      <c r="K673">
        <v>152989.79999999999</v>
      </c>
      <c r="L673" t="s">
        <v>48</v>
      </c>
      <c r="M673">
        <v>15</v>
      </c>
      <c r="N673">
        <v>24986.33</v>
      </c>
    </row>
    <row r="674" spans="1:14" ht="14.25" customHeight="1" x14ac:dyDescent="0.3">
      <c r="A674">
        <v>1673</v>
      </c>
      <c r="B674" t="s">
        <v>255</v>
      </c>
      <c r="C674" t="s">
        <v>50</v>
      </c>
      <c r="D674" t="s">
        <v>66</v>
      </c>
      <c r="E674" t="s">
        <v>34</v>
      </c>
      <c r="F674" t="s">
        <v>51</v>
      </c>
      <c r="G674" t="s">
        <v>62</v>
      </c>
      <c r="H674" t="s">
        <v>42</v>
      </c>
      <c r="I674">
        <v>3</v>
      </c>
      <c r="J674">
        <v>4521</v>
      </c>
      <c r="K674">
        <v>12206.7</v>
      </c>
      <c r="L674" t="s">
        <v>61</v>
      </c>
      <c r="M674">
        <v>10</v>
      </c>
      <c r="N674">
        <v>3623.16</v>
      </c>
    </row>
    <row r="675" spans="1:14" ht="14.25" customHeight="1" x14ac:dyDescent="0.3">
      <c r="A675">
        <v>1674</v>
      </c>
      <c r="B675" t="s">
        <v>255</v>
      </c>
      <c r="C675" t="s">
        <v>60</v>
      </c>
      <c r="D675" t="s">
        <v>40</v>
      </c>
      <c r="E675" t="s">
        <v>41</v>
      </c>
      <c r="F675" t="s">
        <v>45</v>
      </c>
      <c r="G675" t="s">
        <v>57</v>
      </c>
      <c r="H675" t="s">
        <v>55</v>
      </c>
      <c r="I675">
        <v>2</v>
      </c>
      <c r="J675">
        <v>36534</v>
      </c>
      <c r="K675">
        <v>73068</v>
      </c>
      <c r="L675" t="s">
        <v>48</v>
      </c>
      <c r="M675">
        <v>0</v>
      </c>
      <c r="N675">
        <v>7354.59</v>
      </c>
    </row>
    <row r="676" spans="1:14" ht="14.25" customHeight="1" x14ac:dyDescent="0.3">
      <c r="A676">
        <v>1675</v>
      </c>
      <c r="B676" t="s">
        <v>255</v>
      </c>
      <c r="C676" t="s">
        <v>39</v>
      </c>
      <c r="D676" t="s">
        <v>66</v>
      </c>
      <c r="E676" t="s">
        <v>34</v>
      </c>
      <c r="F676" t="s">
        <v>35</v>
      </c>
      <c r="G676" t="s">
        <v>65</v>
      </c>
      <c r="H676" t="s">
        <v>47</v>
      </c>
      <c r="I676">
        <v>3</v>
      </c>
      <c r="J676">
        <v>8586</v>
      </c>
      <c r="K676">
        <v>25758</v>
      </c>
      <c r="L676" t="s">
        <v>43</v>
      </c>
      <c r="M676">
        <v>0</v>
      </c>
      <c r="N676">
        <v>6381.95</v>
      </c>
    </row>
    <row r="677" spans="1:14" ht="14.25" customHeight="1" x14ac:dyDescent="0.3">
      <c r="A677">
        <v>1676</v>
      </c>
      <c r="B677" t="s">
        <v>255</v>
      </c>
      <c r="C677" t="s">
        <v>60</v>
      </c>
      <c r="D677" t="s">
        <v>58</v>
      </c>
      <c r="E677" t="s">
        <v>54</v>
      </c>
      <c r="F677" t="s">
        <v>51</v>
      </c>
      <c r="G677" t="s">
        <v>52</v>
      </c>
      <c r="H677" t="s">
        <v>55</v>
      </c>
      <c r="I677">
        <v>3</v>
      </c>
      <c r="J677">
        <v>9583</v>
      </c>
      <c r="K677">
        <v>24436.65</v>
      </c>
      <c r="L677" t="s">
        <v>61</v>
      </c>
      <c r="M677">
        <v>15</v>
      </c>
      <c r="N677">
        <v>2609.39</v>
      </c>
    </row>
    <row r="678" spans="1:14" ht="14.25" customHeight="1" x14ac:dyDescent="0.3">
      <c r="A678">
        <v>1677</v>
      </c>
      <c r="B678" t="s">
        <v>255</v>
      </c>
      <c r="C678" t="s">
        <v>39</v>
      </c>
      <c r="D678" t="s">
        <v>58</v>
      </c>
      <c r="E678" t="s">
        <v>54</v>
      </c>
      <c r="F678" t="s">
        <v>45</v>
      </c>
      <c r="G678" t="s">
        <v>69</v>
      </c>
      <c r="H678" t="s">
        <v>42</v>
      </c>
      <c r="I678">
        <v>1</v>
      </c>
      <c r="J678">
        <v>14417</v>
      </c>
      <c r="K678">
        <v>13696.15</v>
      </c>
      <c r="L678" t="s">
        <v>48</v>
      </c>
      <c r="M678">
        <v>5</v>
      </c>
      <c r="N678">
        <v>1790.7</v>
      </c>
    </row>
    <row r="679" spans="1:14" ht="14.25" customHeight="1" x14ac:dyDescent="0.3">
      <c r="A679">
        <v>1678</v>
      </c>
      <c r="B679" t="s">
        <v>256</v>
      </c>
      <c r="C679" t="s">
        <v>60</v>
      </c>
      <c r="D679" t="s">
        <v>40</v>
      </c>
      <c r="E679" t="s">
        <v>41</v>
      </c>
      <c r="F679" t="s">
        <v>51</v>
      </c>
      <c r="G679" t="s">
        <v>63</v>
      </c>
      <c r="H679" t="s">
        <v>47</v>
      </c>
      <c r="I679">
        <v>3</v>
      </c>
      <c r="J679">
        <v>38366</v>
      </c>
      <c r="K679">
        <v>109343.1</v>
      </c>
      <c r="L679" t="s">
        <v>48</v>
      </c>
      <c r="M679">
        <v>5</v>
      </c>
      <c r="N679">
        <v>11302.91</v>
      </c>
    </row>
    <row r="680" spans="1:14" ht="14.25" customHeight="1" x14ac:dyDescent="0.3">
      <c r="A680">
        <v>1679</v>
      </c>
      <c r="B680" t="s">
        <v>256</v>
      </c>
      <c r="C680" t="s">
        <v>32</v>
      </c>
      <c r="D680" t="s">
        <v>33</v>
      </c>
      <c r="E680" t="s">
        <v>34</v>
      </c>
      <c r="F680" t="s">
        <v>45</v>
      </c>
      <c r="G680" t="s">
        <v>46</v>
      </c>
      <c r="H680" t="s">
        <v>37</v>
      </c>
      <c r="I680">
        <v>1</v>
      </c>
      <c r="J680">
        <v>8667</v>
      </c>
      <c r="K680">
        <v>7800.3</v>
      </c>
      <c r="L680" t="s">
        <v>61</v>
      </c>
      <c r="M680">
        <v>10</v>
      </c>
      <c r="N680">
        <v>1588.64</v>
      </c>
    </row>
    <row r="681" spans="1:14" ht="14.25" customHeight="1" x14ac:dyDescent="0.3">
      <c r="A681">
        <v>1680</v>
      </c>
      <c r="B681" t="s">
        <v>257</v>
      </c>
      <c r="C681" t="s">
        <v>39</v>
      </c>
      <c r="D681" t="s">
        <v>53</v>
      </c>
      <c r="E681" t="s">
        <v>54</v>
      </c>
      <c r="F681" t="s">
        <v>35</v>
      </c>
      <c r="G681" t="s">
        <v>65</v>
      </c>
      <c r="H681" t="s">
        <v>55</v>
      </c>
      <c r="I681">
        <v>5</v>
      </c>
      <c r="J681">
        <v>40582</v>
      </c>
      <c r="K681">
        <v>192764.5</v>
      </c>
      <c r="L681" t="s">
        <v>43</v>
      </c>
      <c r="M681">
        <v>5</v>
      </c>
      <c r="N681">
        <v>44053.120000000003</v>
      </c>
    </row>
    <row r="682" spans="1:14" ht="14.25" customHeight="1" x14ac:dyDescent="0.3">
      <c r="A682">
        <v>1681</v>
      </c>
      <c r="B682" t="s">
        <v>257</v>
      </c>
      <c r="C682" t="s">
        <v>60</v>
      </c>
      <c r="D682" t="s">
        <v>33</v>
      </c>
      <c r="E682" t="s">
        <v>34</v>
      </c>
      <c r="F682" t="s">
        <v>35</v>
      </c>
      <c r="G682" t="s">
        <v>36</v>
      </c>
      <c r="H682" t="s">
        <v>47</v>
      </c>
      <c r="I682">
        <v>2</v>
      </c>
      <c r="J682">
        <v>26519</v>
      </c>
      <c r="K682">
        <v>50386.1</v>
      </c>
      <c r="L682" t="s">
        <v>61</v>
      </c>
      <c r="M682">
        <v>5</v>
      </c>
      <c r="N682">
        <v>7451.1</v>
      </c>
    </row>
    <row r="683" spans="1:14" ht="14.25" customHeight="1" x14ac:dyDescent="0.3">
      <c r="A683">
        <v>1682</v>
      </c>
      <c r="B683" t="s">
        <v>257</v>
      </c>
      <c r="C683" t="s">
        <v>44</v>
      </c>
      <c r="D683" t="s">
        <v>53</v>
      </c>
      <c r="E683" t="s">
        <v>54</v>
      </c>
      <c r="F683" t="s">
        <v>45</v>
      </c>
      <c r="G683" t="s">
        <v>69</v>
      </c>
      <c r="H683" t="s">
        <v>42</v>
      </c>
      <c r="I683">
        <v>4</v>
      </c>
      <c r="J683">
        <v>22288</v>
      </c>
      <c r="K683">
        <v>89152</v>
      </c>
      <c r="L683" t="s">
        <v>38</v>
      </c>
      <c r="M683">
        <v>0</v>
      </c>
      <c r="N683">
        <v>15732.57</v>
      </c>
    </row>
    <row r="684" spans="1:14" ht="14.25" customHeight="1" x14ac:dyDescent="0.3">
      <c r="A684">
        <v>1683</v>
      </c>
      <c r="B684" t="s">
        <v>257</v>
      </c>
      <c r="C684" t="s">
        <v>50</v>
      </c>
      <c r="D684" t="s">
        <v>33</v>
      </c>
      <c r="E684" t="s">
        <v>34</v>
      </c>
      <c r="F684" t="s">
        <v>51</v>
      </c>
      <c r="G684" t="s">
        <v>62</v>
      </c>
      <c r="H684" t="s">
        <v>55</v>
      </c>
      <c r="I684">
        <v>5</v>
      </c>
      <c r="J684">
        <v>37432</v>
      </c>
      <c r="K684">
        <v>177802</v>
      </c>
      <c r="L684" t="s">
        <v>61</v>
      </c>
      <c r="M684">
        <v>5</v>
      </c>
      <c r="N684">
        <v>24050.3</v>
      </c>
    </row>
    <row r="685" spans="1:14" ht="14.25" customHeight="1" x14ac:dyDescent="0.3">
      <c r="A685">
        <v>1684</v>
      </c>
      <c r="B685" t="s">
        <v>258</v>
      </c>
      <c r="C685" t="s">
        <v>44</v>
      </c>
      <c r="D685" t="s">
        <v>58</v>
      </c>
      <c r="E685" t="s">
        <v>54</v>
      </c>
      <c r="F685" t="s">
        <v>35</v>
      </c>
      <c r="G685" t="s">
        <v>65</v>
      </c>
      <c r="H685" t="s">
        <v>55</v>
      </c>
      <c r="I685">
        <v>5</v>
      </c>
      <c r="J685">
        <v>16128</v>
      </c>
      <c r="K685">
        <v>80640</v>
      </c>
      <c r="L685" t="s">
        <v>48</v>
      </c>
      <c r="M685">
        <v>0</v>
      </c>
      <c r="N685">
        <v>9902.39</v>
      </c>
    </row>
    <row r="686" spans="1:14" ht="14.25" customHeight="1" x14ac:dyDescent="0.3">
      <c r="A686">
        <v>1685</v>
      </c>
      <c r="B686" t="s">
        <v>258</v>
      </c>
      <c r="C686" t="s">
        <v>32</v>
      </c>
      <c r="D686" t="s">
        <v>33</v>
      </c>
      <c r="E686" t="s">
        <v>34</v>
      </c>
      <c r="F686" t="s">
        <v>45</v>
      </c>
      <c r="G686" t="s">
        <v>46</v>
      </c>
      <c r="H686" t="s">
        <v>47</v>
      </c>
      <c r="I686">
        <v>2</v>
      </c>
      <c r="J686">
        <v>23611</v>
      </c>
      <c r="K686">
        <v>42499.8</v>
      </c>
      <c r="L686" t="s">
        <v>48</v>
      </c>
      <c r="M686">
        <v>10</v>
      </c>
      <c r="N686">
        <v>10251.16</v>
      </c>
    </row>
    <row r="687" spans="1:14" ht="14.25" customHeight="1" x14ac:dyDescent="0.3">
      <c r="A687">
        <v>1686</v>
      </c>
      <c r="B687" t="s">
        <v>259</v>
      </c>
      <c r="C687" t="s">
        <v>44</v>
      </c>
      <c r="D687" t="s">
        <v>53</v>
      </c>
      <c r="E687" t="s">
        <v>54</v>
      </c>
      <c r="F687" t="s">
        <v>51</v>
      </c>
      <c r="G687" t="s">
        <v>63</v>
      </c>
      <c r="H687" t="s">
        <v>37</v>
      </c>
      <c r="I687">
        <v>3</v>
      </c>
      <c r="J687">
        <v>24866</v>
      </c>
      <c r="K687">
        <v>63408.3</v>
      </c>
      <c r="L687" t="s">
        <v>61</v>
      </c>
      <c r="M687">
        <v>15</v>
      </c>
      <c r="N687">
        <v>16998.919999999998</v>
      </c>
    </row>
    <row r="688" spans="1:14" ht="14.25" customHeight="1" x14ac:dyDescent="0.3">
      <c r="A688">
        <v>1687</v>
      </c>
      <c r="B688" t="s">
        <v>259</v>
      </c>
      <c r="C688" t="s">
        <v>44</v>
      </c>
      <c r="D688" t="s">
        <v>58</v>
      </c>
      <c r="E688" t="s">
        <v>54</v>
      </c>
      <c r="F688" t="s">
        <v>51</v>
      </c>
      <c r="G688" t="s">
        <v>52</v>
      </c>
      <c r="H688" t="s">
        <v>47</v>
      </c>
      <c r="I688">
        <v>2</v>
      </c>
      <c r="J688">
        <v>35149</v>
      </c>
      <c r="K688">
        <v>63268.2</v>
      </c>
      <c r="L688" t="s">
        <v>38</v>
      </c>
      <c r="M688">
        <v>10</v>
      </c>
      <c r="N688">
        <v>17413.330000000002</v>
      </c>
    </row>
    <row r="689" spans="1:14" ht="14.25" customHeight="1" x14ac:dyDescent="0.3">
      <c r="A689">
        <v>1688</v>
      </c>
      <c r="B689" t="s">
        <v>259</v>
      </c>
      <c r="C689" t="s">
        <v>50</v>
      </c>
      <c r="D689" t="s">
        <v>66</v>
      </c>
      <c r="E689" t="s">
        <v>34</v>
      </c>
      <c r="F689" t="s">
        <v>51</v>
      </c>
      <c r="G689" t="s">
        <v>63</v>
      </c>
      <c r="H689" t="s">
        <v>47</v>
      </c>
      <c r="I689">
        <v>5</v>
      </c>
      <c r="J689">
        <v>23587</v>
      </c>
      <c r="K689">
        <v>106141.5</v>
      </c>
      <c r="L689" t="s">
        <v>38</v>
      </c>
      <c r="M689">
        <v>10</v>
      </c>
      <c r="N689">
        <v>26768.67</v>
      </c>
    </row>
    <row r="690" spans="1:14" ht="14.25" customHeight="1" x14ac:dyDescent="0.3">
      <c r="A690">
        <v>1689</v>
      </c>
      <c r="B690" t="s">
        <v>259</v>
      </c>
      <c r="C690" t="s">
        <v>50</v>
      </c>
      <c r="D690" t="s">
        <v>53</v>
      </c>
      <c r="E690" t="s">
        <v>54</v>
      </c>
      <c r="F690" t="s">
        <v>51</v>
      </c>
      <c r="G690" t="s">
        <v>63</v>
      </c>
      <c r="H690" t="s">
        <v>37</v>
      </c>
      <c r="I690">
        <v>2</v>
      </c>
      <c r="J690">
        <v>8359</v>
      </c>
      <c r="K690">
        <v>15882.1</v>
      </c>
      <c r="L690" t="s">
        <v>43</v>
      </c>
      <c r="M690">
        <v>5</v>
      </c>
      <c r="N690">
        <v>3684.36</v>
      </c>
    </row>
    <row r="691" spans="1:14" ht="14.25" customHeight="1" x14ac:dyDescent="0.3">
      <c r="A691">
        <v>1690</v>
      </c>
      <c r="B691" t="s">
        <v>259</v>
      </c>
      <c r="C691" t="s">
        <v>39</v>
      </c>
      <c r="D691" t="s">
        <v>58</v>
      </c>
      <c r="E691" t="s">
        <v>54</v>
      </c>
      <c r="F691" t="s">
        <v>45</v>
      </c>
      <c r="G691" t="s">
        <v>69</v>
      </c>
      <c r="H691" t="s">
        <v>37</v>
      </c>
      <c r="I691">
        <v>1</v>
      </c>
      <c r="J691">
        <v>25170</v>
      </c>
      <c r="K691">
        <v>22653</v>
      </c>
      <c r="L691" t="s">
        <v>43</v>
      </c>
      <c r="M691">
        <v>10</v>
      </c>
      <c r="N691">
        <v>6159.9</v>
      </c>
    </row>
    <row r="692" spans="1:14" ht="14.25" customHeight="1" x14ac:dyDescent="0.3">
      <c r="A692">
        <v>1691</v>
      </c>
      <c r="B692" t="s">
        <v>260</v>
      </c>
      <c r="C692" t="s">
        <v>32</v>
      </c>
      <c r="D692" t="s">
        <v>58</v>
      </c>
      <c r="E692" t="s">
        <v>54</v>
      </c>
      <c r="F692" t="s">
        <v>45</v>
      </c>
      <c r="G692" t="s">
        <v>57</v>
      </c>
      <c r="H692" t="s">
        <v>55</v>
      </c>
      <c r="I692">
        <v>5</v>
      </c>
      <c r="J692">
        <v>40199</v>
      </c>
      <c r="K692">
        <v>180895.5</v>
      </c>
      <c r="L692" t="s">
        <v>48</v>
      </c>
      <c r="M692">
        <v>10</v>
      </c>
      <c r="N692">
        <v>47343.22</v>
      </c>
    </row>
    <row r="693" spans="1:14" ht="14.25" customHeight="1" x14ac:dyDescent="0.3">
      <c r="A693">
        <v>1692</v>
      </c>
      <c r="B693" t="s">
        <v>260</v>
      </c>
      <c r="C693" t="s">
        <v>44</v>
      </c>
      <c r="D693" t="s">
        <v>40</v>
      </c>
      <c r="E693" t="s">
        <v>41</v>
      </c>
      <c r="F693" t="s">
        <v>35</v>
      </c>
      <c r="G693" t="s">
        <v>36</v>
      </c>
      <c r="H693" t="s">
        <v>37</v>
      </c>
      <c r="I693">
        <v>4</v>
      </c>
      <c r="J693">
        <v>21525</v>
      </c>
      <c r="K693">
        <v>77490</v>
      </c>
      <c r="L693" t="s">
        <v>48</v>
      </c>
      <c r="M693">
        <v>10</v>
      </c>
      <c r="N693">
        <v>13591.42</v>
      </c>
    </row>
    <row r="694" spans="1:14" ht="14.25" customHeight="1" x14ac:dyDescent="0.3">
      <c r="A694">
        <v>1693</v>
      </c>
      <c r="B694" t="s">
        <v>260</v>
      </c>
      <c r="C694" t="s">
        <v>44</v>
      </c>
      <c r="D694" t="s">
        <v>33</v>
      </c>
      <c r="E694" t="s">
        <v>34</v>
      </c>
      <c r="F694" t="s">
        <v>45</v>
      </c>
      <c r="G694" t="s">
        <v>69</v>
      </c>
      <c r="H694" t="s">
        <v>42</v>
      </c>
      <c r="I694">
        <v>2</v>
      </c>
      <c r="J694">
        <v>20478</v>
      </c>
      <c r="K694">
        <v>36860.400000000001</v>
      </c>
      <c r="L694" t="s">
        <v>43</v>
      </c>
      <c r="M694">
        <v>10</v>
      </c>
      <c r="N694">
        <v>5513.39</v>
      </c>
    </row>
    <row r="695" spans="1:14" ht="14.25" customHeight="1" x14ac:dyDescent="0.3">
      <c r="A695">
        <v>1694</v>
      </c>
      <c r="B695" t="s">
        <v>260</v>
      </c>
      <c r="C695" t="s">
        <v>39</v>
      </c>
      <c r="D695" t="s">
        <v>66</v>
      </c>
      <c r="E695" t="s">
        <v>34</v>
      </c>
      <c r="F695" t="s">
        <v>45</v>
      </c>
      <c r="G695" t="s">
        <v>69</v>
      </c>
      <c r="H695" t="s">
        <v>37</v>
      </c>
      <c r="I695">
        <v>3</v>
      </c>
      <c r="J695">
        <v>42911</v>
      </c>
      <c r="K695">
        <v>109423.05</v>
      </c>
      <c r="L695" t="s">
        <v>48</v>
      </c>
      <c r="M695">
        <v>15</v>
      </c>
      <c r="N695">
        <v>27748.46</v>
      </c>
    </row>
    <row r="696" spans="1:14" ht="14.25" customHeight="1" x14ac:dyDescent="0.3">
      <c r="A696">
        <v>1695</v>
      </c>
      <c r="B696" t="s">
        <v>261</v>
      </c>
      <c r="C696" t="s">
        <v>39</v>
      </c>
      <c r="D696" t="s">
        <v>58</v>
      </c>
      <c r="E696" t="s">
        <v>54</v>
      </c>
      <c r="F696" t="s">
        <v>35</v>
      </c>
      <c r="G696" t="s">
        <v>36</v>
      </c>
      <c r="H696" t="s">
        <v>55</v>
      </c>
      <c r="I696">
        <v>2</v>
      </c>
      <c r="J696">
        <v>17494</v>
      </c>
      <c r="K696">
        <v>31489.200000000001</v>
      </c>
      <c r="L696" t="s">
        <v>48</v>
      </c>
      <c r="M696">
        <v>10</v>
      </c>
      <c r="N696">
        <v>5405.53</v>
      </c>
    </row>
    <row r="697" spans="1:14" ht="14.25" customHeight="1" x14ac:dyDescent="0.3">
      <c r="A697">
        <v>1696</v>
      </c>
      <c r="B697" t="s">
        <v>261</v>
      </c>
      <c r="C697" t="s">
        <v>50</v>
      </c>
      <c r="D697" t="s">
        <v>33</v>
      </c>
      <c r="E697" t="s">
        <v>34</v>
      </c>
      <c r="F697" t="s">
        <v>51</v>
      </c>
      <c r="G697" t="s">
        <v>63</v>
      </c>
      <c r="H697" t="s">
        <v>55</v>
      </c>
      <c r="I697">
        <v>4</v>
      </c>
      <c r="J697">
        <v>2071</v>
      </c>
      <c r="K697">
        <v>7041.4</v>
      </c>
      <c r="L697" t="s">
        <v>61</v>
      </c>
      <c r="M697">
        <v>15</v>
      </c>
      <c r="N697">
        <v>1682.51</v>
      </c>
    </row>
    <row r="698" spans="1:14" ht="14.25" customHeight="1" x14ac:dyDescent="0.3">
      <c r="A698">
        <v>1697</v>
      </c>
      <c r="B698" t="s">
        <v>261</v>
      </c>
      <c r="C698" t="s">
        <v>60</v>
      </c>
      <c r="D698" t="s">
        <v>53</v>
      </c>
      <c r="E698" t="s">
        <v>54</v>
      </c>
      <c r="F698" t="s">
        <v>35</v>
      </c>
      <c r="G698" t="s">
        <v>36</v>
      </c>
      <c r="H698" t="s">
        <v>37</v>
      </c>
      <c r="I698">
        <v>3</v>
      </c>
      <c r="J698">
        <v>24638</v>
      </c>
      <c r="K698">
        <v>66522.600000000006</v>
      </c>
      <c r="L698" t="s">
        <v>48</v>
      </c>
      <c r="M698">
        <v>10</v>
      </c>
      <c r="N698">
        <v>6681.1</v>
      </c>
    </row>
    <row r="699" spans="1:14" ht="14.25" customHeight="1" x14ac:dyDescent="0.3">
      <c r="A699">
        <v>1698</v>
      </c>
      <c r="B699" t="s">
        <v>261</v>
      </c>
      <c r="C699" t="s">
        <v>44</v>
      </c>
      <c r="D699" t="s">
        <v>53</v>
      </c>
      <c r="E699" t="s">
        <v>54</v>
      </c>
      <c r="F699" t="s">
        <v>45</v>
      </c>
      <c r="G699" t="s">
        <v>57</v>
      </c>
      <c r="H699" t="s">
        <v>47</v>
      </c>
      <c r="I699">
        <v>2</v>
      </c>
      <c r="J699">
        <v>12658</v>
      </c>
      <c r="K699">
        <v>25316</v>
      </c>
      <c r="L699" t="s">
        <v>48</v>
      </c>
      <c r="M699">
        <v>0</v>
      </c>
      <c r="N699">
        <v>3027.7</v>
      </c>
    </row>
    <row r="700" spans="1:14" ht="14.25" customHeight="1" x14ac:dyDescent="0.3">
      <c r="A700">
        <v>1699</v>
      </c>
      <c r="B700" t="s">
        <v>262</v>
      </c>
      <c r="C700" t="s">
        <v>60</v>
      </c>
      <c r="D700" t="s">
        <v>40</v>
      </c>
      <c r="E700" t="s">
        <v>41</v>
      </c>
      <c r="F700" t="s">
        <v>51</v>
      </c>
      <c r="G700" t="s">
        <v>63</v>
      </c>
      <c r="H700" t="s">
        <v>55</v>
      </c>
      <c r="I700">
        <v>5</v>
      </c>
      <c r="J700">
        <v>18993</v>
      </c>
      <c r="K700">
        <v>80720.25</v>
      </c>
      <c r="L700" t="s">
        <v>48</v>
      </c>
      <c r="M700">
        <v>15</v>
      </c>
      <c r="N700">
        <v>24015.93</v>
      </c>
    </row>
    <row r="701" spans="1:14" ht="14.25" customHeight="1" x14ac:dyDescent="0.3">
      <c r="A701">
        <v>1700</v>
      </c>
      <c r="B701" t="s">
        <v>262</v>
      </c>
      <c r="C701" t="s">
        <v>50</v>
      </c>
      <c r="D701" t="s">
        <v>53</v>
      </c>
      <c r="E701" t="s">
        <v>54</v>
      </c>
      <c r="F701" t="s">
        <v>51</v>
      </c>
      <c r="G701" t="s">
        <v>52</v>
      </c>
      <c r="H701" t="s">
        <v>55</v>
      </c>
      <c r="I701">
        <v>4</v>
      </c>
      <c r="J701">
        <v>5609</v>
      </c>
      <c r="K701">
        <v>20192.400000000001</v>
      </c>
      <c r="L701" t="s">
        <v>48</v>
      </c>
      <c r="M701">
        <v>10</v>
      </c>
      <c r="N701">
        <v>3177.22</v>
      </c>
    </row>
    <row r="702" spans="1:14" ht="14.25" customHeight="1" x14ac:dyDescent="0.3">
      <c r="A702">
        <v>1701</v>
      </c>
      <c r="B702" t="s">
        <v>262</v>
      </c>
      <c r="C702" t="s">
        <v>60</v>
      </c>
      <c r="D702" t="s">
        <v>40</v>
      </c>
      <c r="E702" t="s">
        <v>41</v>
      </c>
      <c r="F702" t="s">
        <v>45</v>
      </c>
      <c r="G702" t="s">
        <v>69</v>
      </c>
      <c r="H702" t="s">
        <v>42</v>
      </c>
      <c r="I702">
        <v>3</v>
      </c>
      <c r="J702">
        <v>30599</v>
      </c>
      <c r="K702">
        <v>82617.3</v>
      </c>
      <c r="L702" t="s">
        <v>38</v>
      </c>
      <c r="M702">
        <v>10</v>
      </c>
      <c r="N702">
        <v>12380.89</v>
      </c>
    </row>
    <row r="703" spans="1:14" ht="14.25" customHeight="1" x14ac:dyDescent="0.3">
      <c r="A703">
        <v>1702</v>
      </c>
      <c r="B703" t="s">
        <v>263</v>
      </c>
      <c r="C703" t="s">
        <v>44</v>
      </c>
      <c r="D703" t="s">
        <v>66</v>
      </c>
      <c r="E703" t="s">
        <v>34</v>
      </c>
      <c r="F703" t="s">
        <v>45</v>
      </c>
      <c r="G703" t="s">
        <v>57</v>
      </c>
      <c r="H703" t="s">
        <v>55</v>
      </c>
      <c r="I703">
        <v>2</v>
      </c>
      <c r="J703">
        <v>23293</v>
      </c>
      <c r="K703">
        <v>46586</v>
      </c>
      <c r="L703" t="s">
        <v>48</v>
      </c>
      <c r="M703">
        <v>0</v>
      </c>
      <c r="N703">
        <v>5764.97</v>
      </c>
    </row>
    <row r="704" spans="1:14" ht="14.25" customHeight="1" x14ac:dyDescent="0.3">
      <c r="A704">
        <v>1703</v>
      </c>
      <c r="B704" t="s">
        <v>263</v>
      </c>
      <c r="C704" t="s">
        <v>60</v>
      </c>
      <c r="D704" t="s">
        <v>33</v>
      </c>
      <c r="E704" t="s">
        <v>34</v>
      </c>
      <c r="F704" t="s">
        <v>51</v>
      </c>
      <c r="G704" t="s">
        <v>63</v>
      </c>
      <c r="H704" t="s">
        <v>55</v>
      </c>
      <c r="I704">
        <v>2</v>
      </c>
      <c r="J704">
        <v>45295</v>
      </c>
      <c r="K704">
        <v>77001.5</v>
      </c>
      <c r="L704" t="s">
        <v>61</v>
      </c>
      <c r="M704">
        <v>15</v>
      </c>
      <c r="N704">
        <v>14232.23</v>
      </c>
    </row>
    <row r="705" spans="1:14" ht="14.25" customHeight="1" x14ac:dyDescent="0.3">
      <c r="A705">
        <v>1704</v>
      </c>
      <c r="B705" t="s">
        <v>263</v>
      </c>
      <c r="C705" t="s">
        <v>60</v>
      </c>
      <c r="D705" t="s">
        <v>33</v>
      </c>
      <c r="E705" t="s">
        <v>34</v>
      </c>
      <c r="F705" t="s">
        <v>35</v>
      </c>
      <c r="G705" t="s">
        <v>36</v>
      </c>
      <c r="H705" t="s">
        <v>47</v>
      </c>
      <c r="I705">
        <v>1</v>
      </c>
      <c r="J705">
        <v>34406</v>
      </c>
      <c r="K705">
        <v>32685.7</v>
      </c>
      <c r="L705" t="s">
        <v>43</v>
      </c>
      <c r="M705">
        <v>5</v>
      </c>
      <c r="N705">
        <v>4998.63</v>
      </c>
    </row>
    <row r="706" spans="1:14" ht="14.25" customHeight="1" x14ac:dyDescent="0.3">
      <c r="A706">
        <v>1705</v>
      </c>
      <c r="B706" t="s">
        <v>263</v>
      </c>
      <c r="C706" t="s">
        <v>60</v>
      </c>
      <c r="D706" t="s">
        <v>58</v>
      </c>
      <c r="E706" t="s">
        <v>54</v>
      </c>
      <c r="F706" t="s">
        <v>45</v>
      </c>
      <c r="G706" t="s">
        <v>46</v>
      </c>
      <c r="H706" t="s">
        <v>47</v>
      </c>
      <c r="I706">
        <v>1</v>
      </c>
      <c r="J706">
        <v>18536</v>
      </c>
      <c r="K706">
        <v>16682.400000000001</v>
      </c>
      <c r="L706" t="s">
        <v>43</v>
      </c>
      <c r="M706">
        <v>10</v>
      </c>
      <c r="N706">
        <v>4399.5</v>
      </c>
    </row>
    <row r="707" spans="1:14" ht="14.25" customHeight="1" x14ac:dyDescent="0.3">
      <c r="A707">
        <v>1706</v>
      </c>
      <c r="B707" t="s">
        <v>264</v>
      </c>
      <c r="C707" t="s">
        <v>50</v>
      </c>
      <c r="D707" t="s">
        <v>33</v>
      </c>
      <c r="E707" t="s">
        <v>34</v>
      </c>
      <c r="F707" t="s">
        <v>45</v>
      </c>
      <c r="G707" t="s">
        <v>46</v>
      </c>
      <c r="H707" t="s">
        <v>47</v>
      </c>
      <c r="I707">
        <v>2</v>
      </c>
      <c r="J707">
        <v>40255</v>
      </c>
      <c r="K707">
        <v>72459</v>
      </c>
      <c r="L707" t="s">
        <v>38</v>
      </c>
      <c r="M707">
        <v>10</v>
      </c>
      <c r="N707">
        <v>15890.13</v>
      </c>
    </row>
    <row r="708" spans="1:14" ht="14.25" customHeight="1" x14ac:dyDescent="0.3">
      <c r="A708">
        <v>1707</v>
      </c>
      <c r="B708" t="s">
        <v>264</v>
      </c>
      <c r="C708" t="s">
        <v>39</v>
      </c>
      <c r="D708" t="s">
        <v>66</v>
      </c>
      <c r="E708" t="s">
        <v>34</v>
      </c>
      <c r="F708" t="s">
        <v>51</v>
      </c>
      <c r="G708" t="s">
        <v>62</v>
      </c>
      <c r="H708" t="s">
        <v>42</v>
      </c>
      <c r="I708">
        <v>1</v>
      </c>
      <c r="J708">
        <v>48963</v>
      </c>
      <c r="K708">
        <v>46514.85</v>
      </c>
      <c r="L708" t="s">
        <v>48</v>
      </c>
      <c r="M708">
        <v>5</v>
      </c>
      <c r="N708">
        <v>6892.34</v>
      </c>
    </row>
    <row r="709" spans="1:14" ht="14.25" customHeight="1" x14ac:dyDescent="0.3">
      <c r="A709">
        <v>1708</v>
      </c>
      <c r="B709" t="s">
        <v>264</v>
      </c>
      <c r="C709" t="s">
        <v>44</v>
      </c>
      <c r="D709" t="s">
        <v>53</v>
      </c>
      <c r="E709" t="s">
        <v>54</v>
      </c>
      <c r="F709" t="s">
        <v>45</v>
      </c>
      <c r="G709" t="s">
        <v>69</v>
      </c>
      <c r="H709" t="s">
        <v>37</v>
      </c>
      <c r="I709">
        <v>5</v>
      </c>
      <c r="J709">
        <v>38046</v>
      </c>
      <c r="K709">
        <v>180718.5</v>
      </c>
      <c r="L709" t="s">
        <v>61</v>
      </c>
      <c r="M709">
        <v>5</v>
      </c>
      <c r="N709">
        <v>24725.69</v>
      </c>
    </row>
    <row r="710" spans="1:14" ht="14.25" customHeight="1" x14ac:dyDescent="0.3">
      <c r="A710">
        <v>1709</v>
      </c>
      <c r="B710" t="s">
        <v>264</v>
      </c>
      <c r="C710" t="s">
        <v>32</v>
      </c>
      <c r="D710" t="s">
        <v>58</v>
      </c>
      <c r="E710" t="s">
        <v>54</v>
      </c>
      <c r="F710" t="s">
        <v>51</v>
      </c>
      <c r="G710" t="s">
        <v>52</v>
      </c>
      <c r="H710" t="s">
        <v>47</v>
      </c>
      <c r="I710">
        <v>3</v>
      </c>
      <c r="J710">
        <v>32032</v>
      </c>
      <c r="K710">
        <v>86486.399999999994</v>
      </c>
      <c r="L710" t="s">
        <v>38</v>
      </c>
      <c r="M710">
        <v>10</v>
      </c>
      <c r="N710">
        <v>12521.43</v>
      </c>
    </row>
    <row r="711" spans="1:14" ht="14.25" customHeight="1" x14ac:dyDescent="0.3">
      <c r="A711">
        <v>1710</v>
      </c>
      <c r="B711" t="s">
        <v>264</v>
      </c>
      <c r="C711" t="s">
        <v>32</v>
      </c>
      <c r="D711" t="s">
        <v>40</v>
      </c>
      <c r="E711" t="s">
        <v>41</v>
      </c>
      <c r="F711" t="s">
        <v>45</v>
      </c>
      <c r="G711" t="s">
        <v>57</v>
      </c>
      <c r="H711" t="s">
        <v>55</v>
      </c>
      <c r="I711">
        <v>3</v>
      </c>
      <c r="J711">
        <v>16358</v>
      </c>
      <c r="K711">
        <v>41712.9</v>
      </c>
      <c r="L711" t="s">
        <v>43</v>
      </c>
      <c r="M711">
        <v>15</v>
      </c>
      <c r="N711">
        <v>8116.6</v>
      </c>
    </row>
    <row r="712" spans="1:14" ht="14.25" customHeight="1" x14ac:dyDescent="0.3">
      <c r="A712">
        <v>1711</v>
      </c>
      <c r="B712" t="s">
        <v>265</v>
      </c>
      <c r="C712" t="s">
        <v>39</v>
      </c>
      <c r="D712" t="s">
        <v>66</v>
      </c>
      <c r="E712" t="s">
        <v>34</v>
      </c>
      <c r="F712" t="s">
        <v>45</v>
      </c>
      <c r="G712" t="s">
        <v>69</v>
      </c>
      <c r="H712" t="s">
        <v>37</v>
      </c>
      <c r="I712">
        <v>3</v>
      </c>
      <c r="J712">
        <v>38107</v>
      </c>
      <c r="K712">
        <v>114321</v>
      </c>
      <c r="L712" t="s">
        <v>61</v>
      </c>
      <c r="M712">
        <v>0</v>
      </c>
      <c r="N712">
        <v>22169.64</v>
      </c>
    </row>
    <row r="713" spans="1:14" ht="14.25" customHeight="1" x14ac:dyDescent="0.3">
      <c r="A713">
        <v>1712</v>
      </c>
      <c r="B713" t="s">
        <v>265</v>
      </c>
      <c r="C713" t="s">
        <v>50</v>
      </c>
      <c r="D713" t="s">
        <v>33</v>
      </c>
      <c r="E713" t="s">
        <v>34</v>
      </c>
      <c r="F713" t="s">
        <v>35</v>
      </c>
      <c r="G713" t="s">
        <v>67</v>
      </c>
      <c r="H713" t="s">
        <v>55</v>
      </c>
      <c r="I713">
        <v>2</v>
      </c>
      <c r="J713">
        <v>46408</v>
      </c>
      <c r="K713">
        <v>92816</v>
      </c>
      <c r="L713" t="s">
        <v>48</v>
      </c>
      <c r="M713">
        <v>0</v>
      </c>
      <c r="N713">
        <v>23785.16</v>
      </c>
    </row>
    <row r="714" spans="1:14" ht="14.25" customHeight="1" x14ac:dyDescent="0.3">
      <c r="A714">
        <v>1713</v>
      </c>
      <c r="B714" t="s">
        <v>265</v>
      </c>
      <c r="C714" t="s">
        <v>32</v>
      </c>
      <c r="D714" t="s">
        <v>66</v>
      </c>
      <c r="E714" t="s">
        <v>34</v>
      </c>
      <c r="F714" t="s">
        <v>51</v>
      </c>
      <c r="G714" t="s">
        <v>52</v>
      </c>
      <c r="H714" t="s">
        <v>42</v>
      </c>
      <c r="I714">
        <v>2</v>
      </c>
      <c r="J714">
        <v>16192</v>
      </c>
      <c r="K714">
        <v>32384</v>
      </c>
      <c r="L714" t="s">
        <v>38</v>
      </c>
      <c r="M714">
        <v>0</v>
      </c>
      <c r="N714">
        <v>5100.79</v>
      </c>
    </row>
    <row r="715" spans="1:14" ht="14.25" customHeight="1" x14ac:dyDescent="0.3">
      <c r="A715">
        <v>1714</v>
      </c>
      <c r="B715" t="s">
        <v>266</v>
      </c>
      <c r="C715" t="s">
        <v>60</v>
      </c>
      <c r="D715" t="s">
        <v>40</v>
      </c>
      <c r="E715" t="s">
        <v>41</v>
      </c>
      <c r="F715" t="s">
        <v>45</v>
      </c>
      <c r="G715" t="s">
        <v>57</v>
      </c>
      <c r="H715" t="s">
        <v>47</v>
      </c>
      <c r="I715">
        <v>5</v>
      </c>
      <c r="J715">
        <v>10199</v>
      </c>
      <c r="K715">
        <v>45895.5</v>
      </c>
      <c r="L715" t="s">
        <v>38</v>
      </c>
      <c r="M715">
        <v>10</v>
      </c>
      <c r="N715">
        <v>7380.56</v>
      </c>
    </row>
    <row r="716" spans="1:14" ht="14.25" customHeight="1" x14ac:dyDescent="0.3">
      <c r="A716">
        <v>1715</v>
      </c>
      <c r="B716" t="s">
        <v>266</v>
      </c>
      <c r="C716" t="s">
        <v>39</v>
      </c>
      <c r="D716" t="s">
        <v>58</v>
      </c>
      <c r="E716" t="s">
        <v>54</v>
      </c>
      <c r="F716" t="s">
        <v>51</v>
      </c>
      <c r="G716" t="s">
        <v>62</v>
      </c>
      <c r="H716" t="s">
        <v>42</v>
      </c>
      <c r="I716">
        <v>2</v>
      </c>
      <c r="J716">
        <v>41072</v>
      </c>
      <c r="K716">
        <v>82144</v>
      </c>
      <c r="L716" t="s">
        <v>43</v>
      </c>
      <c r="M716">
        <v>0</v>
      </c>
      <c r="N716">
        <v>14624.02</v>
      </c>
    </row>
    <row r="717" spans="1:14" ht="14.25" customHeight="1" x14ac:dyDescent="0.3">
      <c r="A717">
        <v>1716</v>
      </c>
      <c r="B717" t="s">
        <v>266</v>
      </c>
      <c r="C717" t="s">
        <v>44</v>
      </c>
      <c r="D717" t="s">
        <v>40</v>
      </c>
      <c r="E717" t="s">
        <v>41</v>
      </c>
      <c r="F717" t="s">
        <v>35</v>
      </c>
      <c r="G717" t="s">
        <v>36</v>
      </c>
      <c r="H717" t="s">
        <v>47</v>
      </c>
      <c r="I717">
        <v>4</v>
      </c>
      <c r="J717">
        <v>31924</v>
      </c>
      <c r="K717">
        <v>127696</v>
      </c>
      <c r="L717" t="s">
        <v>48</v>
      </c>
      <c r="M717">
        <v>0</v>
      </c>
      <c r="N717">
        <v>25913.16</v>
      </c>
    </row>
    <row r="718" spans="1:14" ht="14.25" customHeight="1" x14ac:dyDescent="0.3">
      <c r="A718">
        <v>1717</v>
      </c>
      <c r="B718" t="s">
        <v>266</v>
      </c>
      <c r="C718" t="s">
        <v>60</v>
      </c>
      <c r="D718" t="s">
        <v>53</v>
      </c>
      <c r="E718" t="s">
        <v>54</v>
      </c>
      <c r="F718" t="s">
        <v>45</v>
      </c>
      <c r="G718" t="s">
        <v>69</v>
      </c>
      <c r="H718" t="s">
        <v>55</v>
      </c>
      <c r="I718">
        <v>2</v>
      </c>
      <c r="J718">
        <v>31195</v>
      </c>
      <c r="K718">
        <v>62390</v>
      </c>
      <c r="L718" t="s">
        <v>43</v>
      </c>
      <c r="M718">
        <v>0</v>
      </c>
      <c r="N718">
        <v>11237.04</v>
      </c>
    </row>
    <row r="719" spans="1:14" ht="14.25" customHeight="1" x14ac:dyDescent="0.3">
      <c r="A719">
        <v>1718</v>
      </c>
      <c r="B719" t="s">
        <v>267</v>
      </c>
      <c r="C719" t="s">
        <v>60</v>
      </c>
      <c r="D719" t="s">
        <v>53</v>
      </c>
      <c r="E719" t="s">
        <v>54</v>
      </c>
      <c r="F719" t="s">
        <v>51</v>
      </c>
      <c r="G719" t="s">
        <v>52</v>
      </c>
      <c r="H719" t="s">
        <v>42</v>
      </c>
      <c r="I719">
        <v>2</v>
      </c>
      <c r="J719">
        <v>41029</v>
      </c>
      <c r="K719">
        <v>82058</v>
      </c>
      <c r="L719" t="s">
        <v>61</v>
      </c>
      <c r="M719">
        <v>0</v>
      </c>
      <c r="N719">
        <v>22050.2</v>
      </c>
    </row>
    <row r="720" spans="1:14" ht="14.25" customHeight="1" x14ac:dyDescent="0.3">
      <c r="A720">
        <v>1719</v>
      </c>
      <c r="B720" t="s">
        <v>267</v>
      </c>
      <c r="C720" t="s">
        <v>32</v>
      </c>
      <c r="D720" t="s">
        <v>40</v>
      </c>
      <c r="E720" t="s">
        <v>41</v>
      </c>
      <c r="F720" t="s">
        <v>51</v>
      </c>
      <c r="G720" t="s">
        <v>62</v>
      </c>
      <c r="H720" t="s">
        <v>47</v>
      </c>
      <c r="I720">
        <v>4</v>
      </c>
      <c r="J720">
        <v>23924</v>
      </c>
      <c r="K720">
        <v>95696</v>
      </c>
      <c r="L720" t="s">
        <v>38</v>
      </c>
      <c r="M720">
        <v>0</v>
      </c>
      <c r="N720">
        <v>22818.34</v>
      </c>
    </row>
    <row r="721" spans="1:14" ht="14.25" customHeight="1" x14ac:dyDescent="0.3">
      <c r="A721">
        <v>1720</v>
      </c>
      <c r="B721" t="s">
        <v>267</v>
      </c>
      <c r="C721" t="s">
        <v>60</v>
      </c>
      <c r="D721" t="s">
        <v>66</v>
      </c>
      <c r="E721" t="s">
        <v>34</v>
      </c>
      <c r="F721" t="s">
        <v>45</v>
      </c>
      <c r="G721" t="s">
        <v>57</v>
      </c>
      <c r="H721" t="s">
        <v>47</v>
      </c>
      <c r="I721">
        <v>5</v>
      </c>
      <c r="J721">
        <v>48539</v>
      </c>
      <c r="K721">
        <v>206290.75</v>
      </c>
      <c r="L721" t="s">
        <v>43</v>
      </c>
      <c r="M721">
        <v>15</v>
      </c>
      <c r="N721">
        <v>51875.360000000001</v>
      </c>
    </row>
    <row r="722" spans="1:14" ht="14.25" customHeight="1" x14ac:dyDescent="0.3">
      <c r="A722">
        <v>1721</v>
      </c>
      <c r="B722" t="s">
        <v>267</v>
      </c>
      <c r="C722" t="s">
        <v>44</v>
      </c>
      <c r="D722" t="s">
        <v>33</v>
      </c>
      <c r="E722" t="s">
        <v>34</v>
      </c>
      <c r="F722" t="s">
        <v>51</v>
      </c>
      <c r="G722" t="s">
        <v>62</v>
      </c>
      <c r="H722" t="s">
        <v>55</v>
      </c>
      <c r="I722">
        <v>5</v>
      </c>
      <c r="J722">
        <v>20182</v>
      </c>
      <c r="K722">
        <v>95864.5</v>
      </c>
      <c r="L722" t="s">
        <v>43</v>
      </c>
      <c r="M722">
        <v>5</v>
      </c>
      <c r="N722">
        <v>17676.73</v>
      </c>
    </row>
    <row r="723" spans="1:14" ht="14.25" customHeight="1" x14ac:dyDescent="0.3">
      <c r="A723">
        <v>1722</v>
      </c>
      <c r="B723" t="s">
        <v>267</v>
      </c>
      <c r="C723" t="s">
        <v>39</v>
      </c>
      <c r="D723" t="s">
        <v>33</v>
      </c>
      <c r="E723" t="s">
        <v>34</v>
      </c>
      <c r="F723" t="s">
        <v>45</v>
      </c>
      <c r="G723" t="s">
        <v>46</v>
      </c>
      <c r="H723" t="s">
        <v>55</v>
      </c>
      <c r="I723">
        <v>5</v>
      </c>
      <c r="J723">
        <v>26524</v>
      </c>
      <c r="K723">
        <v>125989</v>
      </c>
      <c r="L723" t="s">
        <v>48</v>
      </c>
      <c r="M723">
        <v>5</v>
      </c>
      <c r="N723">
        <v>22669.4</v>
      </c>
    </row>
    <row r="724" spans="1:14" ht="14.25" customHeight="1" x14ac:dyDescent="0.3">
      <c r="A724">
        <v>1723</v>
      </c>
      <c r="B724" t="s">
        <v>268</v>
      </c>
      <c r="C724" t="s">
        <v>44</v>
      </c>
      <c r="D724" t="s">
        <v>66</v>
      </c>
      <c r="E724" t="s">
        <v>34</v>
      </c>
      <c r="F724" t="s">
        <v>51</v>
      </c>
      <c r="G724" t="s">
        <v>52</v>
      </c>
      <c r="H724" t="s">
        <v>42</v>
      </c>
      <c r="I724">
        <v>2</v>
      </c>
      <c r="J724">
        <v>25198</v>
      </c>
      <c r="K724">
        <v>50396</v>
      </c>
      <c r="L724" t="s">
        <v>61</v>
      </c>
      <c r="M724">
        <v>0</v>
      </c>
      <c r="N724">
        <v>12531.27</v>
      </c>
    </row>
    <row r="725" spans="1:14" ht="14.25" customHeight="1" x14ac:dyDescent="0.3">
      <c r="A725">
        <v>1724</v>
      </c>
      <c r="B725" t="s">
        <v>268</v>
      </c>
      <c r="C725" t="s">
        <v>60</v>
      </c>
      <c r="D725" t="s">
        <v>66</v>
      </c>
      <c r="E725" t="s">
        <v>34</v>
      </c>
      <c r="F725" t="s">
        <v>51</v>
      </c>
      <c r="G725" t="s">
        <v>63</v>
      </c>
      <c r="H725" t="s">
        <v>42</v>
      </c>
      <c r="I725">
        <v>3</v>
      </c>
      <c r="J725">
        <v>30178</v>
      </c>
      <c r="K725">
        <v>90534</v>
      </c>
      <c r="L725" t="s">
        <v>48</v>
      </c>
      <c r="M725">
        <v>0</v>
      </c>
      <c r="N725">
        <v>23552.05</v>
      </c>
    </row>
    <row r="726" spans="1:14" ht="14.25" customHeight="1" x14ac:dyDescent="0.3">
      <c r="A726">
        <v>1725</v>
      </c>
      <c r="B726" t="s">
        <v>268</v>
      </c>
      <c r="C726" t="s">
        <v>44</v>
      </c>
      <c r="D726" t="s">
        <v>58</v>
      </c>
      <c r="E726" t="s">
        <v>54</v>
      </c>
      <c r="F726" t="s">
        <v>35</v>
      </c>
      <c r="G726" t="s">
        <v>65</v>
      </c>
      <c r="H726" t="s">
        <v>37</v>
      </c>
      <c r="I726">
        <v>5</v>
      </c>
      <c r="J726">
        <v>44311</v>
      </c>
      <c r="K726">
        <v>221555</v>
      </c>
      <c r="L726" t="s">
        <v>38</v>
      </c>
      <c r="M726">
        <v>0</v>
      </c>
      <c r="N726">
        <v>44818.34</v>
      </c>
    </row>
    <row r="727" spans="1:14" ht="14.25" customHeight="1" x14ac:dyDescent="0.3">
      <c r="A727">
        <v>1726</v>
      </c>
      <c r="B727" t="s">
        <v>268</v>
      </c>
      <c r="C727" t="s">
        <v>50</v>
      </c>
      <c r="D727" t="s">
        <v>53</v>
      </c>
      <c r="E727" t="s">
        <v>54</v>
      </c>
      <c r="F727" t="s">
        <v>35</v>
      </c>
      <c r="G727" t="s">
        <v>67</v>
      </c>
      <c r="H727" t="s">
        <v>55</v>
      </c>
      <c r="I727">
        <v>2</v>
      </c>
      <c r="J727">
        <v>45636</v>
      </c>
      <c r="K727">
        <v>82144.800000000003</v>
      </c>
      <c r="L727" t="s">
        <v>61</v>
      </c>
      <c r="M727">
        <v>10</v>
      </c>
      <c r="N727">
        <v>16042.28</v>
      </c>
    </row>
    <row r="728" spans="1:14" ht="14.25" customHeight="1" x14ac:dyDescent="0.3">
      <c r="A728">
        <v>1727</v>
      </c>
      <c r="B728" t="s">
        <v>269</v>
      </c>
      <c r="C728" t="s">
        <v>39</v>
      </c>
      <c r="D728" t="s">
        <v>53</v>
      </c>
      <c r="E728" t="s">
        <v>54</v>
      </c>
      <c r="F728" t="s">
        <v>45</v>
      </c>
      <c r="G728" t="s">
        <v>57</v>
      </c>
      <c r="H728" t="s">
        <v>55</v>
      </c>
      <c r="I728">
        <v>2</v>
      </c>
      <c r="J728">
        <v>32698</v>
      </c>
      <c r="K728">
        <v>62126.2</v>
      </c>
      <c r="L728" t="s">
        <v>48</v>
      </c>
      <c r="M728">
        <v>5</v>
      </c>
      <c r="N728">
        <v>9104.67</v>
      </c>
    </row>
    <row r="729" spans="1:14" ht="14.25" customHeight="1" x14ac:dyDescent="0.3">
      <c r="A729">
        <v>1728</v>
      </c>
      <c r="B729" t="s">
        <v>269</v>
      </c>
      <c r="C729" t="s">
        <v>39</v>
      </c>
      <c r="D729" t="s">
        <v>66</v>
      </c>
      <c r="E729" t="s">
        <v>34</v>
      </c>
      <c r="F729" t="s">
        <v>35</v>
      </c>
      <c r="G729" t="s">
        <v>67</v>
      </c>
      <c r="H729" t="s">
        <v>47</v>
      </c>
      <c r="I729">
        <v>4</v>
      </c>
      <c r="J729">
        <v>34421</v>
      </c>
      <c r="K729">
        <v>130799.8</v>
      </c>
      <c r="L729" t="s">
        <v>48</v>
      </c>
      <c r="M729">
        <v>5</v>
      </c>
      <c r="N729">
        <v>13915.91</v>
      </c>
    </row>
    <row r="730" spans="1:14" ht="14.25" customHeight="1" x14ac:dyDescent="0.3">
      <c r="A730">
        <v>1729</v>
      </c>
      <c r="B730" t="s">
        <v>269</v>
      </c>
      <c r="C730" t="s">
        <v>50</v>
      </c>
      <c r="D730" t="s">
        <v>58</v>
      </c>
      <c r="E730" t="s">
        <v>54</v>
      </c>
      <c r="F730" t="s">
        <v>51</v>
      </c>
      <c r="G730" t="s">
        <v>52</v>
      </c>
      <c r="H730" t="s">
        <v>37</v>
      </c>
      <c r="I730">
        <v>3</v>
      </c>
      <c r="J730">
        <v>3852</v>
      </c>
      <c r="K730">
        <v>10978.2</v>
      </c>
      <c r="L730" t="s">
        <v>38</v>
      </c>
      <c r="M730">
        <v>5</v>
      </c>
      <c r="N730">
        <v>3224.14</v>
      </c>
    </row>
    <row r="731" spans="1:14" ht="14.25" customHeight="1" x14ac:dyDescent="0.3">
      <c r="A731">
        <v>1730</v>
      </c>
      <c r="B731" t="s">
        <v>270</v>
      </c>
      <c r="C731" t="s">
        <v>32</v>
      </c>
      <c r="D731" t="s">
        <v>40</v>
      </c>
      <c r="E731" t="s">
        <v>41</v>
      </c>
      <c r="F731" t="s">
        <v>45</v>
      </c>
      <c r="G731" t="s">
        <v>69</v>
      </c>
      <c r="H731" t="s">
        <v>47</v>
      </c>
      <c r="I731">
        <v>2</v>
      </c>
      <c r="J731">
        <v>34697</v>
      </c>
      <c r="K731">
        <v>69394</v>
      </c>
      <c r="L731" t="s">
        <v>48</v>
      </c>
      <c r="M731">
        <v>0</v>
      </c>
      <c r="N731">
        <v>20009.009999999998</v>
      </c>
    </row>
    <row r="732" spans="1:14" ht="14.25" customHeight="1" x14ac:dyDescent="0.3">
      <c r="A732">
        <v>1731</v>
      </c>
      <c r="B732" t="s">
        <v>270</v>
      </c>
      <c r="C732" t="s">
        <v>32</v>
      </c>
      <c r="D732" t="s">
        <v>58</v>
      </c>
      <c r="E732" t="s">
        <v>54</v>
      </c>
      <c r="F732" t="s">
        <v>35</v>
      </c>
      <c r="G732" t="s">
        <v>36</v>
      </c>
      <c r="H732" t="s">
        <v>55</v>
      </c>
      <c r="I732">
        <v>4</v>
      </c>
      <c r="J732">
        <v>30523</v>
      </c>
      <c r="K732">
        <v>122092</v>
      </c>
      <c r="L732" t="s">
        <v>61</v>
      </c>
      <c r="M732">
        <v>0</v>
      </c>
      <c r="N732">
        <v>17031.560000000001</v>
      </c>
    </row>
    <row r="733" spans="1:14" ht="14.25" customHeight="1" x14ac:dyDescent="0.3">
      <c r="A733">
        <v>1732</v>
      </c>
      <c r="B733" t="s">
        <v>271</v>
      </c>
      <c r="C733" t="s">
        <v>44</v>
      </c>
      <c r="D733" t="s">
        <v>40</v>
      </c>
      <c r="E733" t="s">
        <v>41</v>
      </c>
      <c r="F733" t="s">
        <v>35</v>
      </c>
      <c r="G733" t="s">
        <v>67</v>
      </c>
      <c r="H733" t="s">
        <v>42</v>
      </c>
      <c r="I733">
        <v>1</v>
      </c>
      <c r="J733">
        <v>11828</v>
      </c>
      <c r="K733">
        <v>10053.799999999999</v>
      </c>
      <c r="L733" t="s">
        <v>48</v>
      </c>
      <c r="M733">
        <v>15</v>
      </c>
      <c r="N733">
        <v>2824.75</v>
      </c>
    </row>
    <row r="734" spans="1:14" ht="14.25" customHeight="1" x14ac:dyDescent="0.3">
      <c r="A734">
        <v>1733</v>
      </c>
      <c r="B734" t="s">
        <v>271</v>
      </c>
      <c r="C734" t="s">
        <v>32</v>
      </c>
      <c r="D734" t="s">
        <v>33</v>
      </c>
      <c r="E734" t="s">
        <v>34</v>
      </c>
      <c r="F734" t="s">
        <v>45</v>
      </c>
      <c r="G734" t="s">
        <v>69</v>
      </c>
      <c r="H734" t="s">
        <v>55</v>
      </c>
      <c r="I734">
        <v>1</v>
      </c>
      <c r="J734">
        <v>49543</v>
      </c>
      <c r="K734">
        <v>42111.55</v>
      </c>
      <c r="L734" t="s">
        <v>61</v>
      </c>
      <c r="M734">
        <v>15</v>
      </c>
      <c r="N734">
        <v>5217.59</v>
      </c>
    </row>
    <row r="735" spans="1:14" ht="14.25" customHeight="1" x14ac:dyDescent="0.3">
      <c r="A735">
        <v>1734</v>
      </c>
      <c r="B735" t="s">
        <v>272</v>
      </c>
      <c r="C735" t="s">
        <v>39</v>
      </c>
      <c r="D735" t="s">
        <v>58</v>
      </c>
      <c r="E735" t="s">
        <v>54</v>
      </c>
      <c r="F735" t="s">
        <v>51</v>
      </c>
      <c r="G735" t="s">
        <v>52</v>
      </c>
      <c r="H735" t="s">
        <v>37</v>
      </c>
      <c r="I735">
        <v>4</v>
      </c>
      <c r="J735">
        <v>14701</v>
      </c>
      <c r="K735">
        <v>58804</v>
      </c>
      <c r="L735" t="s">
        <v>61</v>
      </c>
      <c r="M735">
        <v>0</v>
      </c>
      <c r="N735">
        <v>10243.200000000001</v>
      </c>
    </row>
    <row r="736" spans="1:14" ht="14.25" customHeight="1" x14ac:dyDescent="0.3">
      <c r="A736">
        <v>1735</v>
      </c>
      <c r="B736" t="s">
        <v>272</v>
      </c>
      <c r="C736" t="s">
        <v>50</v>
      </c>
      <c r="D736" t="s">
        <v>66</v>
      </c>
      <c r="E736" t="s">
        <v>34</v>
      </c>
      <c r="F736" t="s">
        <v>45</v>
      </c>
      <c r="G736" t="s">
        <v>69</v>
      </c>
      <c r="H736" t="s">
        <v>55</v>
      </c>
      <c r="I736">
        <v>1</v>
      </c>
      <c r="J736">
        <v>4496</v>
      </c>
      <c r="K736">
        <v>4271.2</v>
      </c>
      <c r="L736" t="s">
        <v>43</v>
      </c>
      <c r="M736">
        <v>5</v>
      </c>
      <c r="N736">
        <v>1193.93</v>
      </c>
    </row>
    <row r="737" spans="1:14" ht="14.25" customHeight="1" x14ac:dyDescent="0.3">
      <c r="A737">
        <v>1736</v>
      </c>
      <c r="B737" t="s">
        <v>272</v>
      </c>
      <c r="C737" t="s">
        <v>50</v>
      </c>
      <c r="D737" t="s">
        <v>33</v>
      </c>
      <c r="E737" t="s">
        <v>34</v>
      </c>
      <c r="F737" t="s">
        <v>45</v>
      </c>
      <c r="G737" t="s">
        <v>57</v>
      </c>
      <c r="H737" t="s">
        <v>55</v>
      </c>
      <c r="I737">
        <v>5</v>
      </c>
      <c r="J737">
        <v>12148</v>
      </c>
      <c r="K737">
        <v>51629</v>
      </c>
      <c r="L737" t="s">
        <v>43</v>
      </c>
      <c r="M737">
        <v>15</v>
      </c>
      <c r="N737">
        <v>9599.08</v>
      </c>
    </row>
    <row r="738" spans="1:14" ht="14.25" customHeight="1" x14ac:dyDescent="0.3">
      <c r="A738">
        <v>1737</v>
      </c>
      <c r="B738" t="s">
        <v>272</v>
      </c>
      <c r="C738" t="s">
        <v>44</v>
      </c>
      <c r="D738" t="s">
        <v>66</v>
      </c>
      <c r="E738" t="s">
        <v>34</v>
      </c>
      <c r="F738" t="s">
        <v>35</v>
      </c>
      <c r="G738" t="s">
        <v>65</v>
      </c>
      <c r="H738" t="s">
        <v>42</v>
      </c>
      <c r="I738">
        <v>4</v>
      </c>
      <c r="J738">
        <v>24606</v>
      </c>
      <c r="K738">
        <v>88581.6</v>
      </c>
      <c r="L738" t="s">
        <v>61</v>
      </c>
      <c r="M738">
        <v>10</v>
      </c>
      <c r="N738">
        <v>11959.82</v>
      </c>
    </row>
    <row r="739" spans="1:14" ht="14.25" customHeight="1" x14ac:dyDescent="0.3">
      <c r="A739">
        <v>1738</v>
      </c>
      <c r="B739" t="s">
        <v>273</v>
      </c>
      <c r="C739" t="s">
        <v>39</v>
      </c>
      <c r="D739" t="s">
        <v>53</v>
      </c>
      <c r="E739" t="s">
        <v>54</v>
      </c>
      <c r="F739" t="s">
        <v>51</v>
      </c>
      <c r="G739" t="s">
        <v>63</v>
      </c>
      <c r="H739" t="s">
        <v>55</v>
      </c>
      <c r="I739">
        <v>2</v>
      </c>
      <c r="J739">
        <v>24264</v>
      </c>
      <c r="K739">
        <v>48528</v>
      </c>
      <c r="L739" t="s">
        <v>43</v>
      </c>
      <c r="M739">
        <v>0</v>
      </c>
      <c r="N739">
        <v>10389.35</v>
      </c>
    </row>
    <row r="740" spans="1:14" ht="14.25" customHeight="1" x14ac:dyDescent="0.3">
      <c r="A740">
        <v>1739</v>
      </c>
      <c r="B740" t="s">
        <v>273</v>
      </c>
      <c r="C740" t="s">
        <v>32</v>
      </c>
      <c r="D740" t="s">
        <v>33</v>
      </c>
      <c r="E740" t="s">
        <v>34</v>
      </c>
      <c r="F740" t="s">
        <v>35</v>
      </c>
      <c r="G740" t="s">
        <v>36</v>
      </c>
      <c r="H740" t="s">
        <v>37</v>
      </c>
      <c r="I740">
        <v>4</v>
      </c>
      <c r="J740">
        <v>3827</v>
      </c>
      <c r="K740">
        <v>15308</v>
      </c>
      <c r="L740" t="s">
        <v>43</v>
      </c>
      <c r="M740">
        <v>0</v>
      </c>
      <c r="N740">
        <v>3896.23</v>
      </c>
    </row>
    <row r="741" spans="1:14" ht="14.25" customHeight="1" x14ac:dyDescent="0.3">
      <c r="A741">
        <v>1740</v>
      </c>
      <c r="B741" t="s">
        <v>273</v>
      </c>
      <c r="C741" t="s">
        <v>50</v>
      </c>
      <c r="D741" t="s">
        <v>53</v>
      </c>
      <c r="E741" t="s">
        <v>54</v>
      </c>
      <c r="F741" t="s">
        <v>45</v>
      </c>
      <c r="G741" t="s">
        <v>69</v>
      </c>
      <c r="H741" t="s">
        <v>42</v>
      </c>
      <c r="I741">
        <v>5</v>
      </c>
      <c r="J741">
        <v>21490</v>
      </c>
      <c r="K741">
        <v>91332.5</v>
      </c>
      <c r="L741" t="s">
        <v>38</v>
      </c>
      <c r="M741">
        <v>15</v>
      </c>
      <c r="N741">
        <v>16744.259999999998</v>
      </c>
    </row>
    <row r="742" spans="1:14" ht="14.25" customHeight="1" x14ac:dyDescent="0.3">
      <c r="A742">
        <v>1741</v>
      </c>
      <c r="B742" t="s">
        <v>273</v>
      </c>
      <c r="C742" t="s">
        <v>39</v>
      </c>
      <c r="D742" t="s">
        <v>58</v>
      </c>
      <c r="E742" t="s">
        <v>54</v>
      </c>
      <c r="F742" t="s">
        <v>35</v>
      </c>
      <c r="G742" t="s">
        <v>67</v>
      </c>
      <c r="H742" t="s">
        <v>37</v>
      </c>
      <c r="I742">
        <v>4</v>
      </c>
      <c r="J742">
        <v>39340</v>
      </c>
      <c r="K742">
        <v>133756</v>
      </c>
      <c r="L742" t="s">
        <v>43</v>
      </c>
      <c r="M742">
        <v>15</v>
      </c>
      <c r="N742">
        <v>37932.89</v>
      </c>
    </row>
    <row r="743" spans="1:14" ht="14.25" customHeight="1" x14ac:dyDescent="0.3">
      <c r="A743">
        <v>1742</v>
      </c>
      <c r="B743" t="s">
        <v>273</v>
      </c>
      <c r="C743" t="s">
        <v>32</v>
      </c>
      <c r="D743" t="s">
        <v>66</v>
      </c>
      <c r="E743" t="s">
        <v>34</v>
      </c>
      <c r="F743" t="s">
        <v>35</v>
      </c>
      <c r="G743" t="s">
        <v>36</v>
      </c>
      <c r="H743" t="s">
        <v>47</v>
      </c>
      <c r="I743">
        <v>5</v>
      </c>
      <c r="J743">
        <v>44383</v>
      </c>
      <c r="K743">
        <v>188627.75</v>
      </c>
      <c r="L743" t="s">
        <v>48</v>
      </c>
      <c r="M743">
        <v>15</v>
      </c>
      <c r="N743">
        <v>28496</v>
      </c>
    </row>
    <row r="744" spans="1:14" ht="14.25" customHeight="1" x14ac:dyDescent="0.3">
      <c r="A744">
        <v>1743</v>
      </c>
      <c r="B744" t="s">
        <v>274</v>
      </c>
      <c r="C744" t="s">
        <v>60</v>
      </c>
      <c r="D744" t="s">
        <v>58</v>
      </c>
      <c r="E744" t="s">
        <v>54</v>
      </c>
      <c r="F744" t="s">
        <v>51</v>
      </c>
      <c r="G744" t="s">
        <v>63</v>
      </c>
      <c r="H744" t="s">
        <v>47</v>
      </c>
      <c r="I744">
        <v>2</v>
      </c>
      <c r="J744">
        <v>43469</v>
      </c>
      <c r="K744">
        <v>82591.100000000006</v>
      </c>
      <c r="L744" t="s">
        <v>61</v>
      </c>
      <c r="M744">
        <v>5</v>
      </c>
      <c r="N744">
        <v>8402.3799999999992</v>
      </c>
    </row>
    <row r="745" spans="1:14" ht="14.25" customHeight="1" x14ac:dyDescent="0.3">
      <c r="A745">
        <v>1744</v>
      </c>
      <c r="B745" t="s">
        <v>274</v>
      </c>
      <c r="C745" t="s">
        <v>50</v>
      </c>
      <c r="D745" t="s">
        <v>33</v>
      </c>
      <c r="E745" t="s">
        <v>34</v>
      </c>
      <c r="F745" t="s">
        <v>35</v>
      </c>
      <c r="G745" t="s">
        <v>36</v>
      </c>
      <c r="H745" t="s">
        <v>37</v>
      </c>
      <c r="I745">
        <v>5</v>
      </c>
      <c r="J745">
        <v>44556</v>
      </c>
      <c r="K745">
        <v>211641</v>
      </c>
      <c r="L745" t="s">
        <v>61</v>
      </c>
      <c r="M745">
        <v>5</v>
      </c>
      <c r="N745">
        <v>22341.02</v>
      </c>
    </row>
    <row r="746" spans="1:14" ht="14.25" customHeight="1" x14ac:dyDescent="0.3">
      <c r="A746">
        <v>1745</v>
      </c>
      <c r="B746" t="s">
        <v>275</v>
      </c>
      <c r="C746" t="s">
        <v>44</v>
      </c>
      <c r="D746" t="s">
        <v>53</v>
      </c>
      <c r="E746" t="s">
        <v>54</v>
      </c>
      <c r="F746" t="s">
        <v>45</v>
      </c>
      <c r="G746" t="s">
        <v>46</v>
      </c>
      <c r="H746" t="s">
        <v>42</v>
      </c>
      <c r="I746">
        <v>5</v>
      </c>
      <c r="J746">
        <v>808</v>
      </c>
      <c r="K746">
        <v>3636</v>
      </c>
      <c r="L746" t="s">
        <v>48</v>
      </c>
      <c r="M746">
        <v>10</v>
      </c>
      <c r="N746">
        <v>972.21</v>
      </c>
    </row>
    <row r="747" spans="1:14" ht="14.25" customHeight="1" x14ac:dyDescent="0.3">
      <c r="A747">
        <v>1746</v>
      </c>
      <c r="B747" t="s">
        <v>275</v>
      </c>
      <c r="C747" t="s">
        <v>50</v>
      </c>
      <c r="D747" t="s">
        <v>40</v>
      </c>
      <c r="E747" t="s">
        <v>41</v>
      </c>
      <c r="F747" t="s">
        <v>45</v>
      </c>
      <c r="G747" t="s">
        <v>57</v>
      </c>
      <c r="H747" t="s">
        <v>55</v>
      </c>
      <c r="I747">
        <v>4</v>
      </c>
      <c r="J747">
        <v>35314</v>
      </c>
      <c r="K747">
        <v>120067.6</v>
      </c>
      <c r="L747" t="s">
        <v>38</v>
      </c>
      <c r="M747">
        <v>15</v>
      </c>
      <c r="N747">
        <v>21401.61</v>
      </c>
    </row>
    <row r="748" spans="1:14" ht="14.25" customHeight="1" x14ac:dyDescent="0.3">
      <c r="A748">
        <v>1747</v>
      </c>
      <c r="B748" t="s">
        <v>276</v>
      </c>
      <c r="C748" t="s">
        <v>50</v>
      </c>
      <c r="D748" t="s">
        <v>58</v>
      </c>
      <c r="E748" t="s">
        <v>54</v>
      </c>
      <c r="F748" t="s">
        <v>35</v>
      </c>
      <c r="G748" t="s">
        <v>65</v>
      </c>
      <c r="H748" t="s">
        <v>55</v>
      </c>
      <c r="I748">
        <v>2</v>
      </c>
      <c r="J748">
        <v>12928</v>
      </c>
      <c r="K748">
        <v>24563.200000000001</v>
      </c>
      <c r="L748" t="s">
        <v>43</v>
      </c>
      <c r="M748">
        <v>5</v>
      </c>
      <c r="N748">
        <v>2697.36</v>
      </c>
    </row>
    <row r="749" spans="1:14" ht="14.25" customHeight="1" x14ac:dyDescent="0.3">
      <c r="A749">
        <v>1748</v>
      </c>
      <c r="B749" t="s">
        <v>276</v>
      </c>
      <c r="C749" t="s">
        <v>44</v>
      </c>
      <c r="D749" t="s">
        <v>40</v>
      </c>
      <c r="E749" t="s">
        <v>41</v>
      </c>
      <c r="F749" t="s">
        <v>45</v>
      </c>
      <c r="G749" t="s">
        <v>46</v>
      </c>
      <c r="H749" t="s">
        <v>47</v>
      </c>
      <c r="I749">
        <v>5</v>
      </c>
      <c r="J749">
        <v>28712</v>
      </c>
      <c r="K749">
        <v>122026</v>
      </c>
      <c r="L749" t="s">
        <v>43</v>
      </c>
      <c r="M749">
        <v>15</v>
      </c>
      <c r="N749">
        <v>35855.519999999997</v>
      </c>
    </row>
    <row r="750" spans="1:14" ht="14.25" customHeight="1" x14ac:dyDescent="0.3">
      <c r="A750">
        <v>1749</v>
      </c>
      <c r="B750" t="s">
        <v>276</v>
      </c>
      <c r="C750" t="s">
        <v>60</v>
      </c>
      <c r="D750" t="s">
        <v>58</v>
      </c>
      <c r="E750" t="s">
        <v>54</v>
      </c>
      <c r="F750" t="s">
        <v>35</v>
      </c>
      <c r="G750" t="s">
        <v>36</v>
      </c>
      <c r="H750" t="s">
        <v>37</v>
      </c>
      <c r="I750">
        <v>1</v>
      </c>
      <c r="J750">
        <v>13426</v>
      </c>
      <c r="K750">
        <v>11412.1</v>
      </c>
      <c r="L750" t="s">
        <v>43</v>
      </c>
      <c r="M750">
        <v>15</v>
      </c>
      <c r="N750">
        <v>3243.32</v>
      </c>
    </row>
    <row r="751" spans="1:14" ht="14.25" customHeight="1" x14ac:dyDescent="0.3">
      <c r="A751">
        <v>1750</v>
      </c>
      <c r="B751" t="s">
        <v>276</v>
      </c>
      <c r="C751" t="s">
        <v>44</v>
      </c>
      <c r="D751" t="s">
        <v>40</v>
      </c>
      <c r="E751" t="s">
        <v>41</v>
      </c>
      <c r="F751" t="s">
        <v>35</v>
      </c>
      <c r="G751" t="s">
        <v>65</v>
      </c>
      <c r="H751" t="s">
        <v>47</v>
      </c>
      <c r="I751">
        <v>5</v>
      </c>
      <c r="J751">
        <v>13368</v>
      </c>
      <c r="K751">
        <v>66840</v>
      </c>
      <c r="L751" t="s">
        <v>43</v>
      </c>
      <c r="M751">
        <v>0</v>
      </c>
      <c r="N751">
        <v>16739.23</v>
      </c>
    </row>
    <row r="752" spans="1:14" ht="14.25" customHeight="1" x14ac:dyDescent="0.3">
      <c r="A752">
        <v>1751</v>
      </c>
      <c r="B752" t="s">
        <v>276</v>
      </c>
      <c r="C752" t="s">
        <v>39</v>
      </c>
      <c r="D752" t="s">
        <v>33</v>
      </c>
      <c r="E752" t="s">
        <v>34</v>
      </c>
      <c r="F752" t="s">
        <v>51</v>
      </c>
      <c r="G752" t="s">
        <v>62</v>
      </c>
      <c r="H752" t="s">
        <v>55</v>
      </c>
      <c r="I752">
        <v>1</v>
      </c>
      <c r="J752">
        <v>24663</v>
      </c>
      <c r="K752">
        <v>22196.7</v>
      </c>
      <c r="L752" t="s">
        <v>43</v>
      </c>
      <c r="M752">
        <v>10</v>
      </c>
      <c r="N752">
        <v>4131.5200000000004</v>
      </c>
    </row>
    <row r="753" spans="1:14" ht="14.25" customHeight="1" x14ac:dyDescent="0.3">
      <c r="A753">
        <v>1752</v>
      </c>
      <c r="B753" t="s">
        <v>277</v>
      </c>
      <c r="C753" t="s">
        <v>60</v>
      </c>
      <c r="D753" t="s">
        <v>66</v>
      </c>
      <c r="E753" t="s">
        <v>34</v>
      </c>
      <c r="F753" t="s">
        <v>35</v>
      </c>
      <c r="G753" t="s">
        <v>67</v>
      </c>
      <c r="H753" t="s">
        <v>42</v>
      </c>
      <c r="I753">
        <v>1</v>
      </c>
      <c r="J753">
        <v>1629</v>
      </c>
      <c r="K753">
        <v>1629</v>
      </c>
      <c r="L753" t="s">
        <v>43</v>
      </c>
      <c r="M753">
        <v>0</v>
      </c>
      <c r="N753">
        <v>411.83</v>
      </c>
    </row>
    <row r="754" spans="1:14" ht="14.25" customHeight="1" x14ac:dyDescent="0.3">
      <c r="A754">
        <v>1753</v>
      </c>
      <c r="B754" t="s">
        <v>277</v>
      </c>
      <c r="C754" t="s">
        <v>44</v>
      </c>
      <c r="D754" t="s">
        <v>33</v>
      </c>
      <c r="E754" t="s">
        <v>34</v>
      </c>
      <c r="F754" t="s">
        <v>51</v>
      </c>
      <c r="G754" t="s">
        <v>52</v>
      </c>
      <c r="H754" t="s">
        <v>37</v>
      </c>
      <c r="I754">
        <v>4</v>
      </c>
      <c r="J754">
        <v>43424</v>
      </c>
      <c r="K754">
        <v>165011.20000000001</v>
      </c>
      <c r="L754" t="s">
        <v>38</v>
      </c>
      <c r="M754">
        <v>5</v>
      </c>
      <c r="N754">
        <v>31517.52</v>
      </c>
    </row>
    <row r="755" spans="1:14" ht="14.25" customHeight="1" x14ac:dyDescent="0.3">
      <c r="A755">
        <v>1754</v>
      </c>
      <c r="B755" t="s">
        <v>278</v>
      </c>
      <c r="C755" t="s">
        <v>39</v>
      </c>
      <c r="D755" t="s">
        <v>33</v>
      </c>
      <c r="E755" t="s">
        <v>34</v>
      </c>
      <c r="F755" t="s">
        <v>51</v>
      </c>
      <c r="G755" t="s">
        <v>63</v>
      </c>
      <c r="H755" t="s">
        <v>47</v>
      </c>
      <c r="I755">
        <v>3</v>
      </c>
      <c r="J755">
        <v>42302</v>
      </c>
      <c r="K755">
        <v>126906</v>
      </c>
      <c r="L755" t="s">
        <v>43</v>
      </c>
      <c r="M755">
        <v>0</v>
      </c>
      <c r="N755">
        <v>31703.41</v>
      </c>
    </row>
    <row r="756" spans="1:14" ht="14.25" customHeight="1" x14ac:dyDescent="0.3">
      <c r="A756">
        <v>1755</v>
      </c>
      <c r="B756" t="s">
        <v>278</v>
      </c>
      <c r="C756" t="s">
        <v>60</v>
      </c>
      <c r="D756" t="s">
        <v>58</v>
      </c>
      <c r="E756" t="s">
        <v>54</v>
      </c>
      <c r="F756" t="s">
        <v>45</v>
      </c>
      <c r="G756" t="s">
        <v>46</v>
      </c>
      <c r="H756" t="s">
        <v>47</v>
      </c>
      <c r="I756">
        <v>2</v>
      </c>
      <c r="J756">
        <v>47326</v>
      </c>
      <c r="K756">
        <v>80454.2</v>
      </c>
      <c r="L756" t="s">
        <v>61</v>
      </c>
      <c r="M756">
        <v>15</v>
      </c>
      <c r="N756">
        <v>20919.150000000001</v>
      </c>
    </row>
    <row r="757" spans="1:14" ht="14.25" customHeight="1" x14ac:dyDescent="0.3">
      <c r="A757">
        <v>1756</v>
      </c>
      <c r="B757" t="s">
        <v>278</v>
      </c>
      <c r="C757" t="s">
        <v>39</v>
      </c>
      <c r="D757" t="s">
        <v>53</v>
      </c>
      <c r="E757" t="s">
        <v>54</v>
      </c>
      <c r="F757" t="s">
        <v>51</v>
      </c>
      <c r="G757" t="s">
        <v>62</v>
      </c>
      <c r="H757" t="s">
        <v>37</v>
      </c>
      <c r="I757">
        <v>3</v>
      </c>
      <c r="J757">
        <v>9770</v>
      </c>
      <c r="K757">
        <v>27844.5</v>
      </c>
      <c r="L757" t="s">
        <v>38</v>
      </c>
      <c r="M757">
        <v>5</v>
      </c>
      <c r="N757">
        <v>4071.01</v>
      </c>
    </row>
    <row r="758" spans="1:14" ht="14.25" customHeight="1" x14ac:dyDescent="0.3">
      <c r="A758">
        <v>1757</v>
      </c>
      <c r="B758" t="s">
        <v>279</v>
      </c>
      <c r="C758" t="s">
        <v>44</v>
      </c>
      <c r="D758" t="s">
        <v>53</v>
      </c>
      <c r="E758" t="s">
        <v>54</v>
      </c>
      <c r="F758" t="s">
        <v>45</v>
      </c>
      <c r="G758" t="s">
        <v>46</v>
      </c>
      <c r="H758" t="s">
        <v>55</v>
      </c>
      <c r="I758">
        <v>5</v>
      </c>
      <c r="J758">
        <v>48306</v>
      </c>
      <c r="K758">
        <v>229453.5</v>
      </c>
      <c r="L758" t="s">
        <v>48</v>
      </c>
      <c r="M758">
        <v>5</v>
      </c>
      <c r="N758">
        <v>62505.19</v>
      </c>
    </row>
    <row r="759" spans="1:14" ht="14.25" customHeight="1" x14ac:dyDescent="0.3">
      <c r="A759">
        <v>1758</v>
      </c>
      <c r="B759" t="s">
        <v>279</v>
      </c>
      <c r="C759" t="s">
        <v>60</v>
      </c>
      <c r="D759" t="s">
        <v>58</v>
      </c>
      <c r="E759" t="s">
        <v>54</v>
      </c>
      <c r="F759" t="s">
        <v>51</v>
      </c>
      <c r="G759" t="s">
        <v>62</v>
      </c>
      <c r="H759" t="s">
        <v>37</v>
      </c>
      <c r="I759">
        <v>3</v>
      </c>
      <c r="J759">
        <v>34508</v>
      </c>
      <c r="K759">
        <v>103524</v>
      </c>
      <c r="L759" t="s">
        <v>43</v>
      </c>
      <c r="M759">
        <v>0</v>
      </c>
      <c r="N759">
        <v>10803.62</v>
      </c>
    </row>
    <row r="760" spans="1:14" ht="14.25" customHeight="1" x14ac:dyDescent="0.3">
      <c r="A760">
        <v>1759</v>
      </c>
      <c r="B760" t="s">
        <v>279</v>
      </c>
      <c r="C760" t="s">
        <v>60</v>
      </c>
      <c r="D760" t="s">
        <v>66</v>
      </c>
      <c r="E760" t="s">
        <v>34</v>
      </c>
      <c r="F760" t="s">
        <v>45</v>
      </c>
      <c r="G760" t="s">
        <v>57</v>
      </c>
      <c r="H760" t="s">
        <v>42</v>
      </c>
      <c r="I760">
        <v>3</v>
      </c>
      <c r="J760">
        <v>37842</v>
      </c>
      <c r="K760">
        <v>96497.1</v>
      </c>
      <c r="L760" t="s">
        <v>48</v>
      </c>
      <c r="M760">
        <v>15</v>
      </c>
      <c r="N760">
        <v>18315.25</v>
      </c>
    </row>
    <row r="761" spans="1:14" ht="14.25" customHeight="1" x14ac:dyDescent="0.3">
      <c r="A761">
        <v>1760</v>
      </c>
      <c r="B761" t="s">
        <v>280</v>
      </c>
      <c r="C761" t="s">
        <v>60</v>
      </c>
      <c r="D761" t="s">
        <v>58</v>
      </c>
      <c r="E761" t="s">
        <v>54</v>
      </c>
      <c r="F761" t="s">
        <v>45</v>
      </c>
      <c r="G761" t="s">
        <v>57</v>
      </c>
      <c r="H761" t="s">
        <v>42</v>
      </c>
      <c r="I761">
        <v>3</v>
      </c>
      <c r="J761">
        <v>48988</v>
      </c>
      <c r="K761">
        <v>132267.6</v>
      </c>
      <c r="L761" t="s">
        <v>43</v>
      </c>
      <c r="M761">
        <v>10</v>
      </c>
      <c r="N761">
        <v>21622.13</v>
      </c>
    </row>
    <row r="762" spans="1:14" ht="14.25" customHeight="1" x14ac:dyDescent="0.3">
      <c r="A762">
        <v>1761</v>
      </c>
      <c r="B762" t="s">
        <v>280</v>
      </c>
      <c r="C762" t="s">
        <v>60</v>
      </c>
      <c r="D762" t="s">
        <v>33</v>
      </c>
      <c r="E762" t="s">
        <v>34</v>
      </c>
      <c r="F762" t="s">
        <v>35</v>
      </c>
      <c r="G762" t="s">
        <v>65</v>
      </c>
      <c r="H762" t="s">
        <v>37</v>
      </c>
      <c r="I762">
        <v>2</v>
      </c>
      <c r="J762">
        <v>3539</v>
      </c>
      <c r="K762">
        <v>6370.2</v>
      </c>
      <c r="L762" t="s">
        <v>48</v>
      </c>
      <c r="M762">
        <v>10</v>
      </c>
      <c r="N762">
        <v>1259.6400000000001</v>
      </c>
    </row>
    <row r="763" spans="1:14" ht="14.25" customHeight="1" x14ac:dyDescent="0.3">
      <c r="A763">
        <v>1762</v>
      </c>
      <c r="B763" t="s">
        <v>280</v>
      </c>
      <c r="C763" t="s">
        <v>60</v>
      </c>
      <c r="D763" t="s">
        <v>33</v>
      </c>
      <c r="E763" t="s">
        <v>34</v>
      </c>
      <c r="F763" t="s">
        <v>51</v>
      </c>
      <c r="G763" t="s">
        <v>62</v>
      </c>
      <c r="H763" t="s">
        <v>42</v>
      </c>
      <c r="I763">
        <v>4</v>
      </c>
      <c r="J763">
        <v>26561</v>
      </c>
      <c r="K763">
        <v>100931.8</v>
      </c>
      <c r="L763" t="s">
        <v>43</v>
      </c>
      <c r="M763">
        <v>5</v>
      </c>
      <c r="N763">
        <v>25389.77</v>
      </c>
    </row>
    <row r="764" spans="1:14" ht="14.25" customHeight="1" x14ac:dyDescent="0.3">
      <c r="A764">
        <v>1763</v>
      </c>
      <c r="B764" t="s">
        <v>281</v>
      </c>
      <c r="C764" t="s">
        <v>32</v>
      </c>
      <c r="D764" t="s">
        <v>53</v>
      </c>
      <c r="E764" t="s">
        <v>54</v>
      </c>
      <c r="F764" t="s">
        <v>51</v>
      </c>
      <c r="G764" t="s">
        <v>52</v>
      </c>
      <c r="H764" t="s">
        <v>55</v>
      </c>
      <c r="I764">
        <v>5</v>
      </c>
      <c r="J764">
        <v>16240</v>
      </c>
      <c r="K764">
        <v>81200</v>
      </c>
      <c r="L764" t="s">
        <v>38</v>
      </c>
      <c r="M764">
        <v>0</v>
      </c>
      <c r="N764">
        <v>19092.29</v>
      </c>
    </row>
    <row r="765" spans="1:14" ht="14.25" customHeight="1" x14ac:dyDescent="0.3">
      <c r="A765">
        <v>1764</v>
      </c>
      <c r="B765" t="s">
        <v>281</v>
      </c>
      <c r="C765" t="s">
        <v>32</v>
      </c>
      <c r="D765" t="s">
        <v>66</v>
      </c>
      <c r="E765" t="s">
        <v>34</v>
      </c>
      <c r="F765" t="s">
        <v>35</v>
      </c>
      <c r="G765" t="s">
        <v>65</v>
      </c>
      <c r="H765" t="s">
        <v>42</v>
      </c>
      <c r="I765">
        <v>5</v>
      </c>
      <c r="J765">
        <v>48866</v>
      </c>
      <c r="K765">
        <v>219897</v>
      </c>
      <c r="L765" t="s">
        <v>38</v>
      </c>
      <c r="M765">
        <v>10</v>
      </c>
      <c r="N765">
        <v>65438.65</v>
      </c>
    </row>
    <row r="766" spans="1:14" ht="14.25" customHeight="1" x14ac:dyDescent="0.3">
      <c r="A766">
        <v>1765</v>
      </c>
      <c r="B766" t="s">
        <v>281</v>
      </c>
      <c r="C766" t="s">
        <v>44</v>
      </c>
      <c r="D766" t="s">
        <v>40</v>
      </c>
      <c r="E766" t="s">
        <v>41</v>
      </c>
      <c r="F766" t="s">
        <v>45</v>
      </c>
      <c r="G766" t="s">
        <v>57</v>
      </c>
      <c r="H766" t="s">
        <v>42</v>
      </c>
      <c r="I766">
        <v>3</v>
      </c>
      <c r="J766">
        <v>22148</v>
      </c>
      <c r="K766">
        <v>63121.8</v>
      </c>
      <c r="L766" t="s">
        <v>48</v>
      </c>
      <c r="M766">
        <v>5</v>
      </c>
      <c r="N766">
        <v>17970.080000000002</v>
      </c>
    </row>
    <row r="767" spans="1:14" ht="14.25" customHeight="1" x14ac:dyDescent="0.3">
      <c r="A767">
        <v>1766</v>
      </c>
      <c r="B767" t="s">
        <v>281</v>
      </c>
      <c r="C767" t="s">
        <v>50</v>
      </c>
      <c r="D767" t="s">
        <v>40</v>
      </c>
      <c r="E767" t="s">
        <v>41</v>
      </c>
      <c r="F767" t="s">
        <v>45</v>
      </c>
      <c r="G767" t="s">
        <v>69</v>
      </c>
      <c r="H767" t="s">
        <v>37</v>
      </c>
      <c r="I767">
        <v>1</v>
      </c>
      <c r="J767">
        <v>39857</v>
      </c>
      <c r="K767">
        <v>33878.449999999997</v>
      </c>
      <c r="L767" t="s">
        <v>38</v>
      </c>
      <c r="M767">
        <v>15</v>
      </c>
      <c r="N767">
        <v>5330.74</v>
      </c>
    </row>
    <row r="768" spans="1:14" ht="14.25" customHeight="1" x14ac:dyDescent="0.3">
      <c r="A768">
        <v>1767</v>
      </c>
      <c r="B768" t="s">
        <v>282</v>
      </c>
      <c r="C768" t="s">
        <v>60</v>
      </c>
      <c r="D768" t="s">
        <v>33</v>
      </c>
      <c r="E768" t="s">
        <v>34</v>
      </c>
      <c r="F768" t="s">
        <v>45</v>
      </c>
      <c r="G768" t="s">
        <v>69</v>
      </c>
      <c r="H768" t="s">
        <v>37</v>
      </c>
      <c r="I768">
        <v>1</v>
      </c>
      <c r="J768">
        <v>29249</v>
      </c>
      <c r="K768">
        <v>26324.1</v>
      </c>
      <c r="L768" t="s">
        <v>61</v>
      </c>
      <c r="M768">
        <v>10</v>
      </c>
      <c r="N768">
        <v>7581.96</v>
      </c>
    </row>
    <row r="769" spans="1:14" ht="14.25" customHeight="1" x14ac:dyDescent="0.3">
      <c r="A769">
        <v>1768</v>
      </c>
      <c r="B769" t="s">
        <v>282</v>
      </c>
      <c r="C769" t="s">
        <v>32</v>
      </c>
      <c r="D769" t="s">
        <v>53</v>
      </c>
      <c r="E769" t="s">
        <v>54</v>
      </c>
      <c r="F769" t="s">
        <v>35</v>
      </c>
      <c r="G769" t="s">
        <v>67</v>
      </c>
      <c r="H769" t="s">
        <v>47</v>
      </c>
      <c r="I769">
        <v>2</v>
      </c>
      <c r="J769">
        <v>7304</v>
      </c>
      <c r="K769">
        <v>13147.2</v>
      </c>
      <c r="L769" t="s">
        <v>61</v>
      </c>
      <c r="M769">
        <v>10</v>
      </c>
      <c r="N769">
        <v>3671.62</v>
      </c>
    </row>
    <row r="770" spans="1:14" ht="14.25" customHeight="1" x14ac:dyDescent="0.3">
      <c r="A770">
        <v>1769</v>
      </c>
      <c r="B770" t="s">
        <v>282</v>
      </c>
      <c r="C770" t="s">
        <v>50</v>
      </c>
      <c r="D770" t="s">
        <v>40</v>
      </c>
      <c r="E770" t="s">
        <v>41</v>
      </c>
      <c r="F770" t="s">
        <v>35</v>
      </c>
      <c r="G770" t="s">
        <v>65</v>
      </c>
      <c r="H770" t="s">
        <v>55</v>
      </c>
      <c r="I770">
        <v>2</v>
      </c>
      <c r="J770">
        <v>13356</v>
      </c>
      <c r="K770">
        <v>25376.400000000001</v>
      </c>
      <c r="L770" t="s">
        <v>43</v>
      </c>
      <c r="M770">
        <v>5</v>
      </c>
      <c r="N770">
        <v>2886.99</v>
      </c>
    </row>
    <row r="771" spans="1:14" ht="14.25" customHeight="1" x14ac:dyDescent="0.3">
      <c r="A771">
        <v>1770</v>
      </c>
      <c r="B771" t="s">
        <v>283</v>
      </c>
      <c r="C771" t="s">
        <v>44</v>
      </c>
      <c r="D771" t="s">
        <v>33</v>
      </c>
      <c r="E771" t="s">
        <v>34</v>
      </c>
      <c r="F771" t="s">
        <v>45</v>
      </c>
      <c r="G771" t="s">
        <v>57</v>
      </c>
      <c r="H771" t="s">
        <v>55</v>
      </c>
      <c r="I771">
        <v>4</v>
      </c>
      <c r="J771">
        <v>33342</v>
      </c>
      <c r="K771">
        <v>133368</v>
      </c>
      <c r="L771" t="s">
        <v>61</v>
      </c>
      <c r="M771">
        <v>0</v>
      </c>
      <c r="N771">
        <v>26031.61</v>
      </c>
    </row>
    <row r="772" spans="1:14" ht="14.25" customHeight="1" x14ac:dyDescent="0.3">
      <c r="A772">
        <v>1771</v>
      </c>
      <c r="B772" t="s">
        <v>283</v>
      </c>
      <c r="C772" t="s">
        <v>60</v>
      </c>
      <c r="D772" t="s">
        <v>66</v>
      </c>
      <c r="E772" t="s">
        <v>34</v>
      </c>
      <c r="F772" t="s">
        <v>35</v>
      </c>
      <c r="G772" t="s">
        <v>67</v>
      </c>
      <c r="H772" t="s">
        <v>47</v>
      </c>
      <c r="I772">
        <v>5</v>
      </c>
      <c r="J772">
        <v>38562</v>
      </c>
      <c r="K772">
        <v>183169.5</v>
      </c>
      <c r="L772" t="s">
        <v>38</v>
      </c>
      <c r="M772">
        <v>5</v>
      </c>
      <c r="N772">
        <v>45956.69</v>
      </c>
    </row>
    <row r="773" spans="1:14" ht="14.25" customHeight="1" x14ac:dyDescent="0.3">
      <c r="A773">
        <v>1772</v>
      </c>
      <c r="B773" t="s">
        <v>283</v>
      </c>
      <c r="C773" t="s">
        <v>60</v>
      </c>
      <c r="D773" t="s">
        <v>53</v>
      </c>
      <c r="E773" t="s">
        <v>54</v>
      </c>
      <c r="F773" t="s">
        <v>45</v>
      </c>
      <c r="G773" t="s">
        <v>69</v>
      </c>
      <c r="H773" t="s">
        <v>42</v>
      </c>
      <c r="I773">
        <v>5</v>
      </c>
      <c r="J773">
        <v>6138</v>
      </c>
      <c r="K773">
        <v>27621</v>
      </c>
      <c r="L773" t="s">
        <v>48</v>
      </c>
      <c r="M773">
        <v>10</v>
      </c>
      <c r="N773">
        <v>7860.54</v>
      </c>
    </row>
    <row r="774" spans="1:14" ht="14.25" customHeight="1" x14ac:dyDescent="0.3">
      <c r="A774">
        <v>1773</v>
      </c>
      <c r="B774" t="s">
        <v>283</v>
      </c>
      <c r="C774" t="s">
        <v>60</v>
      </c>
      <c r="D774" t="s">
        <v>53</v>
      </c>
      <c r="E774" t="s">
        <v>54</v>
      </c>
      <c r="F774" t="s">
        <v>45</v>
      </c>
      <c r="G774" t="s">
        <v>69</v>
      </c>
      <c r="H774" t="s">
        <v>55</v>
      </c>
      <c r="I774">
        <v>1</v>
      </c>
      <c r="J774">
        <v>24675</v>
      </c>
      <c r="K774">
        <v>20973.75</v>
      </c>
      <c r="L774" t="s">
        <v>43</v>
      </c>
      <c r="M774">
        <v>15</v>
      </c>
      <c r="N774">
        <v>5156.13</v>
      </c>
    </row>
    <row r="775" spans="1:14" ht="14.25" customHeight="1" x14ac:dyDescent="0.3">
      <c r="A775">
        <v>1774</v>
      </c>
      <c r="B775" t="s">
        <v>284</v>
      </c>
      <c r="C775" t="s">
        <v>32</v>
      </c>
      <c r="D775" t="s">
        <v>33</v>
      </c>
      <c r="E775" t="s">
        <v>34</v>
      </c>
      <c r="F775" t="s">
        <v>51</v>
      </c>
      <c r="G775" t="s">
        <v>63</v>
      </c>
      <c r="H775" t="s">
        <v>55</v>
      </c>
      <c r="I775">
        <v>5</v>
      </c>
      <c r="J775">
        <v>35409</v>
      </c>
      <c r="K775">
        <v>168192.75</v>
      </c>
      <c r="L775" t="s">
        <v>61</v>
      </c>
      <c r="M775">
        <v>5</v>
      </c>
      <c r="N775">
        <v>31827.07</v>
      </c>
    </row>
    <row r="776" spans="1:14" ht="14.25" customHeight="1" x14ac:dyDescent="0.3">
      <c r="A776">
        <v>1775</v>
      </c>
      <c r="B776" t="s">
        <v>284</v>
      </c>
      <c r="C776" t="s">
        <v>44</v>
      </c>
      <c r="D776" t="s">
        <v>58</v>
      </c>
      <c r="E776" t="s">
        <v>54</v>
      </c>
      <c r="F776" t="s">
        <v>51</v>
      </c>
      <c r="G776" t="s">
        <v>52</v>
      </c>
      <c r="H776" t="s">
        <v>42</v>
      </c>
      <c r="I776">
        <v>3</v>
      </c>
      <c r="J776">
        <v>36266</v>
      </c>
      <c r="K776">
        <v>97918.2</v>
      </c>
      <c r="L776" t="s">
        <v>61</v>
      </c>
      <c r="M776">
        <v>10</v>
      </c>
      <c r="N776">
        <v>27270.3</v>
      </c>
    </row>
    <row r="777" spans="1:14" ht="14.25" customHeight="1" x14ac:dyDescent="0.3">
      <c r="A777">
        <v>1776</v>
      </c>
      <c r="B777" t="s">
        <v>284</v>
      </c>
      <c r="C777" t="s">
        <v>50</v>
      </c>
      <c r="D777" t="s">
        <v>53</v>
      </c>
      <c r="E777" t="s">
        <v>54</v>
      </c>
      <c r="F777" t="s">
        <v>45</v>
      </c>
      <c r="G777" t="s">
        <v>69</v>
      </c>
      <c r="H777" t="s">
        <v>37</v>
      </c>
      <c r="I777">
        <v>5</v>
      </c>
      <c r="J777">
        <v>25766</v>
      </c>
      <c r="K777">
        <v>115947</v>
      </c>
      <c r="L777" t="s">
        <v>48</v>
      </c>
      <c r="M777">
        <v>10</v>
      </c>
      <c r="N777">
        <v>20840.759999999998</v>
      </c>
    </row>
    <row r="778" spans="1:14" ht="14.25" customHeight="1" x14ac:dyDescent="0.3">
      <c r="A778">
        <v>1777</v>
      </c>
      <c r="B778" t="s">
        <v>284</v>
      </c>
      <c r="C778" t="s">
        <v>39</v>
      </c>
      <c r="D778" t="s">
        <v>33</v>
      </c>
      <c r="E778" t="s">
        <v>34</v>
      </c>
      <c r="F778" t="s">
        <v>45</v>
      </c>
      <c r="G778" t="s">
        <v>69</v>
      </c>
      <c r="H778" t="s">
        <v>37</v>
      </c>
      <c r="I778">
        <v>1</v>
      </c>
      <c r="J778">
        <v>45196</v>
      </c>
      <c r="K778">
        <v>42936.2</v>
      </c>
      <c r="L778" t="s">
        <v>61</v>
      </c>
      <c r="M778">
        <v>5</v>
      </c>
      <c r="N778">
        <v>5123.97</v>
      </c>
    </row>
    <row r="779" spans="1:14" ht="14.25" customHeight="1" x14ac:dyDescent="0.3">
      <c r="A779">
        <v>1778</v>
      </c>
      <c r="B779" t="s">
        <v>284</v>
      </c>
      <c r="C779" t="s">
        <v>44</v>
      </c>
      <c r="D779" t="s">
        <v>53</v>
      </c>
      <c r="E779" t="s">
        <v>54</v>
      </c>
      <c r="F779" t="s">
        <v>45</v>
      </c>
      <c r="G779" t="s">
        <v>46</v>
      </c>
      <c r="H779" t="s">
        <v>47</v>
      </c>
      <c r="I779">
        <v>1</v>
      </c>
      <c r="J779">
        <v>46361</v>
      </c>
      <c r="K779">
        <v>44042.95</v>
      </c>
      <c r="L779" t="s">
        <v>61</v>
      </c>
      <c r="M779">
        <v>5</v>
      </c>
      <c r="N779">
        <v>9220.43</v>
      </c>
    </row>
    <row r="780" spans="1:14" ht="14.25" customHeight="1" x14ac:dyDescent="0.3">
      <c r="A780">
        <v>1779</v>
      </c>
      <c r="B780" t="s">
        <v>285</v>
      </c>
      <c r="C780" t="s">
        <v>60</v>
      </c>
      <c r="D780" t="s">
        <v>66</v>
      </c>
      <c r="E780" t="s">
        <v>34</v>
      </c>
      <c r="F780" t="s">
        <v>45</v>
      </c>
      <c r="G780" t="s">
        <v>57</v>
      </c>
      <c r="H780" t="s">
        <v>37</v>
      </c>
      <c r="I780">
        <v>4</v>
      </c>
      <c r="J780">
        <v>21168</v>
      </c>
      <c r="K780">
        <v>71971.199999999997</v>
      </c>
      <c r="L780" t="s">
        <v>48</v>
      </c>
      <c r="M780">
        <v>15</v>
      </c>
      <c r="N780">
        <v>9583.75</v>
      </c>
    </row>
    <row r="781" spans="1:14" ht="14.25" customHeight="1" x14ac:dyDescent="0.3">
      <c r="A781">
        <v>1780</v>
      </c>
      <c r="B781" t="s">
        <v>285</v>
      </c>
      <c r="C781" t="s">
        <v>44</v>
      </c>
      <c r="D781" t="s">
        <v>58</v>
      </c>
      <c r="E781" t="s">
        <v>54</v>
      </c>
      <c r="F781" t="s">
        <v>35</v>
      </c>
      <c r="G781" t="s">
        <v>36</v>
      </c>
      <c r="H781" t="s">
        <v>42</v>
      </c>
      <c r="I781">
        <v>2</v>
      </c>
      <c r="J781">
        <v>18983</v>
      </c>
      <c r="K781">
        <v>32271.1</v>
      </c>
      <c r="L781" t="s">
        <v>38</v>
      </c>
      <c r="M781">
        <v>15</v>
      </c>
      <c r="N781">
        <v>6591.12</v>
      </c>
    </row>
    <row r="782" spans="1:14" ht="14.25" customHeight="1" x14ac:dyDescent="0.3">
      <c r="A782">
        <v>1781</v>
      </c>
      <c r="B782" t="s">
        <v>285</v>
      </c>
      <c r="C782" t="s">
        <v>60</v>
      </c>
      <c r="D782" t="s">
        <v>40</v>
      </c>
      <c r="E782" t="s">
        <v>41</v>
      </c>
      <c r="F782" t="s">
        <v>45</v>
      </c>
      <c r="G782" t="s">
        <v>57</v>
      </c>
      <c r="H782" t="s">
        <v>37</v>
      </c>
      <c r="I782">
        <v>5</v>
      </c>
      <c r="J782">
        <v>25924</v>
      </c>
      <c r="K782">
        <v>110177</v>
      </c>
      <c r="L782" t="s">
        <v>38</v>
      </c>
      <c r="M782">
        <v>15</v>
      </c>
      <c r="N782">
        <v>32518.080000000002</v>
      </c>
    </row>
    <row r="783" spans="1:14" ht="14.25" customHeight="1" x14ac:dyDescent="0.3">
      <c r="A783">
        <v>1782</v>
      </c>
      <c r="B783" t="s">
        <v>285</v>
      </c>
      <c r="C783" t="s">
        <v>32</v>
      </c>
      <c r="D783" t="s">
        <v>66</v>
      </c>
      <c r="E783" t="s">
        <v>34</v>
      </c>
      <c r="F783" t="s">
        <v>51</v>
      </c>
      <c r="G783" t="s">
        <v>63</v>
      </c>
      <c r="H783" t="s">
        <v>37</v>
      </c>
      <c r="I783">
        <v>4</v>
      </c>
      <c r="J783">
        <v>40713</v>
      </c>
      <c r="K783">
        <v>146566.79999999999</v>
      </c>
      <c r="L783" t="s">
        <v>38</v>
      </c>
      <c r="M783">
        <v>10</v>
      </c>
      <c r="N783">
        <v>30037.13</v>
      </c>
    </row>
    <row r="784" spans="1:14" ht="14.25" customHeight="1" x14ac:dyDescent="0.3">
      <c r="A784">
        <v>1783</v>
      </c>
      <c r="B784" t="s">
        <v>286</v>
      </c>
      <c r="C784" t="s">
        <v>50</v>
      </c>
      <c r="D784" t="s">
        <v>40</v>
      </c>
      <c r="E784" t="s">
        <v>41</v>
      </c>
      <c r="F784" t="s">
        <v>51</v>
      </c>
      <c r="G784" t="s">
        <v>52</v>
      </c>
      <c r="H784" t="s">
        <v>47</v>
      </c>
      <c r="I784">
        <v>2</v>
      </c>
      <c r="J784">
        <v>29504</v>
      </c>
      <c r="K784">
        <v>56057.599999999999</v>
      </c>
      <c r="L784" t="s">
        <v>61</v>
      </c>
      <c r="M784">
        <v>5</v>
      </c>
      <c r="N784">
        <v>12259.06</v>
      </c>
    </row>
    <row r="785" spans="1:14" ht="14.25" customHeight="1" x14ac:dyDescent="0.3">
      <c r="A785">
        <v>1784</v>
      </c>
      <c r="B785" t="s">
        <v>286</v>
      </c>
      <c r="C785" t="s">
        <v>50</v>
      </c>
      <c r="D785" t="s">
        <v>66</v>
      </c>
      <c r="E785" t="s">
        <v>34</v>
      </c>
      <c r="F785" t="s">
        <v>35</v>
      </c>
      <c r="G785" t="s">
        <v>36</v>
      </c>
      <c r="H785" t="s">
        <v>55</v>
      </c>
      <c r="I785">
        <v>4</v>
      </c>
      <c r="J785">
        <v>31173</v>
      </c>
      <c r="K785">
        <v>105988.2</v>
      </c>
      <c r="L785" t="s">
        <v>61</v>
      </c>
      <c r="M785">
        <v>15</v>
      </c>
      <c r="N785">
        <v>24586.53</v>
      </c>
    </row>
    <row r="786" spans="1:14" ht="14.25" customHeight="1" x14ac:dyDescent="0.3">
      <c r="A786">
        <v>1785</v>
      </c>
      <c r="B786" t="s">
        <v>287</v>
      </c>
      <c r="C786" t="s">
        <v>32</v>
      </c>
      <c r="D786" t="s">
        <v>58</v>
      </c>
      <c r="E786" t="s">
        <v>54</v>
      </c>
      <c r="F786" t="s">
        <v>51</v>
      </c>
      <c r="G786" t="s">
        <v>63</v>
      </c>
      <c r="H786" t="s">
        <v>42</v>
      </c>
      <c r="I786">
        <v>4</v>
      </c>
      <c r="J786">
        <v>35797</v>
      </c>
      <c r="K786">
        <v>136028.6</v>
      </c>
      <c r="L786" t="s">
        <v>48</v>
      </c>
      <c r="M786">
        <v>5</v>
      </c>
      <c r="N786">
        <v>18618.43</v>
      </c>
    </row>
    <row r="787" spans="1:14" ht="14.25" customHeight="1" x14ac:dyDescent="0.3">
      <c r="A787">
        <v>1786</v>
      </c>
      <c r="B787" t="s">
        <v>287</v>
      </c>
      <c r="C787" t="s">
        <v>60</v>
      </c>
      <c r="D787" t="s">
        <v>53</v>
      </c>
      <c r="E787" t="s">
        <v>54</v>
      </c>
      <c r="F787" t="s">
        <v>45</v>
      </c>
      <c r="G787" t="s">
        <v>57</v>
      </c>
      <c r="H787" t="s">
        <v>37</v>
      </c>
      <c r="I787">
        <v>4</v>
      </c>
      <c r="J787">
        <v>44867</v>
      </c>
      <c r="K787">
        <v>179468</v>
      </c>
      <c r="L787" t="s">
        <v>48</v>
      </c>
      <c r="M787">
        <v>0</v>
      </c>
      <c r="N787">
        <v>39735.699999999997</v>
      </c>
    </row>
    <row r="788" spans="1:14" ht="14.25" customHeight="1" x14ac:dyDescent="0.3">
      <c r="A788">
        <v>1787</v>
      </c>
      <c r="B788" t="s">
        <v>287</v>
      </c>
      <c r="C788" t="s">
        <v>32</v>
      </c>
      <c r="D788" t="s">
        <v>40</v>
      </c>
      <c r="E788" t="s">
        <v>41</v>
      </c>
      <c r="F788" t="s">
        <v>45</v>
      </c>
      <c r="G788" t="s">
        <v>57</v>
      </c>
      <c r="H788" t="s">
        <v>47</v>
      </c>
      <c r="I788">
        <v>4</v>
      </c>
      <c r="J788">
        <v>23406</v>
      </c>
      <c r="K788">
        <v>93624</v>
      </c>
      <c r="L788" t="s">
        <v>48</v>
      </c>
      <c r="M788">
        <v>0</v>
      </c>
      <c r="N788">
        <v>23475.49</v>
      </c>
    </row>
    <row r="789" spans="1:14" ht="14.25" customHeight="1" x14ac:dyDescent="0.3">
      <c r="A789">
        <v>1788</v>
      </c>
      <c r="B789" t="s">
        <v>287</v>
      </c>
      <c r="C789" t="s">
        <v>60</v>
      </c>
      <c r="D789" t="s">
        <v>40</v>
      </c>
      <c r="E789" t="s">
        <v>41</v>
      </c>
      <c r="F789" t="s">
        <v>45</v>
      </c>
      <c r="G789" t="s">
        <v>57</v>
      </c>
      <c r="H789" t="s">
        <v>47</v>
      </c>
      <c r="I789">
        <v>1</v>
      </c>
      <c r="J789">
        <v>27502</v>
      </c>
      <c r="K789">
        <v>27502</v>
      </c>
      <c r="L789" t="s">
        <v>38</v>
      </c>
      <c r="M789">
        <v>0</v>
      </c>
      <c r="N789">
        <v>4242.88</v>
      </c>
    </row>
    <row r="790" spans="1:14" ht="14.25" customHeight="1" x14ac:dyDescent="0.3">
      <c r="A790">
        <v>1789</v>
      </c>
      <c r="B790" t="s">
        <v>288</v>
      </c>
      <c r="C790" t="s">
        <v>60</v>
      </c>
      <c r="D790" t="s">
        <v>58</v>
      </c>
      <c r="E790" t="s">
        <v>54</v>
      </c>
      <c r="F790" t="s">
        <v>51</v>
      </c>
      <c r="G790" t="s">
        <v>52</v>
      </c>
      <c r="H790" t="s">
        <v>37</v>
      </c>
      <c r="I790">
        <v>4</v>
      </c>
      <c r="J790">
        <v>14554</v>
      </c>
      <c r="K790">
        <v>55305.2</v>
      </c>
      <c r="L790" t="s">
        <v>43</v>
      </c>
      <c r="M790">
        <v>5</v>
      </c>
      <c r="N790">
        <v>12465.61</v>
      </c>
    </row>
    <row r="791" spans="1:14" ht="14.25" customHeight="1" x14ac:dyDescent="0.3">
      <c r="A791">
        <v>1790</v>
      </c>
      <c r="B791" t="s">
        <v>288</v>
      </c>
      <c r="C791" t="s">
        <v>60</v>
      </c>
      <c r="D791" t="s">
        <v>66</v>
      </c>
      <c r="E791" t="s">
        <v>34</v>
      </c>
      <c r="F791" t="s">
        <v>35</v>
      </c>
      <c r="G791" t="s">
        <v>65</v>
      </c>
      <c r="H791" t="s">
        <v>55</v>
      </c>
      <c r="I791">
        <v>3</v>
      </c>
      <c r="J791">
        <v>36572</v>
      </c>
      <c r="K791">
        <v>109716</v>
      </c>
      <c r="L791" t="s">
        <v>61</v>
      </c>
      <c r="M791">
        <v>0</v>
      </c>
      <c r="N791">
        <v>15144.14</v>
      </c>
    </row>
    <row r="792" spans="1:14" ht="14.25" customHeight="1" x14ac:dyDescent="0.3">
      <c r="A792">
        <v>1791</v>
      </c>
      <c r="B792" t="s">
        <v>288</v>
      </c>
      <c r="C792" t="s">
        <v>44</v>
      </c>
      <c r="D792" t="s">
        <v>53</v>
      </c>
      <c r="E792" t="s">
        <v>54</v>
      </c>
      <c r="F792" t="s">
        <v>35</v>
      </c>
      <c r="G792" t="s">
        <v>65</v>
      </c>
      <c r="H792" t="s">
        <v>37</v>
      </c>
      <c r="I792">
        <v>4</v>
      </c>
      <c r="J792">
        <v>32155</v>
      </c>
      <c r="K792">
        <v>122189</v>
      </c>
      <c r="L792" t="s">
        <v>43</v>
      </c>
      <c r="M792">
        <v>5</v>
      </c>
      <c r="N792">
        <v>16590.62</v>
      </c>
    </row>
    <row r="793" spans="1:14" ht="14.25" customHeight="1" x14ac:dyDescent="0.3">
      <c r="A793">
        <v>1792</v>
      </c>
      <c r="B793" t="s">
        <v>289</v>
      </c>
      <c r="C793" t="s">
        <v>60</v>
      </c>
      <c r="D793" t="s">
        <v>66</v>
      </c>
      <c r="E793" t="s">
        <v>34</v>
      </c>
      <c r="F793" t="s">
        <v>35</v>
      </c>
      <c r="G793" t="s">
        <v>36</v>
      </c>
      <c r="H793" t="s">
        <v>47</v>
      </c>
      <c r="I793">
        <v>5</v>
      </c>
      <c r="J793">
        <v>18522</v>
      </c>
      <c r="K793">
        <v>87979.5</v>
      </c>
      <c r="L793" t="s">
        <v>43</v>
      </c>
      <c r="M793">
        <v>5</v>
      </c>
      <c r="N793">
        <v>24468.14</v>
      </c>
    </row>
    <row r="794" spans="1:14" ht="14.25" customHeight="1" x14ac:dyDescent="0.3">
      <c r="A794">
        <v>1793</v>
      </c>
      <c r="B794" t="s">
        <v>289</v>
      </c>
      <c r="C794" t="s">
        <v>39</v>
      </c>
      <c r="D794" t="s">
        <v>53</v>
      </c>
      <c r="E794" t="s">
        <v>54</v>
      </c>
      <c r="F794" t="s">
        <v>35</v>
      </c>
      <c r="G794" t="s">
        <v>36</v>
      </c>
      <c r="H794" t="s">
        <v>55</v>
      </c>
      <c r="I794">
        <v>5</v>
      </c>
      <c r="J794">
        <v>41085</v>
      </c>
      <c r="K794">
        <v>205425</v>
      </c>
      <c r="L794" t="s">
        <v>43</v>
      </c>
      <c r="M794">
        <v>0</v>
      </c>
      <c r="N794">
        <v>33194.29</v>
      </c>
    </row>
    <row r="795" spans="1:14" ht="14.25" customHeight="1" x14ac:dyDescent="0.3">
      <c r="A795">
        <v>1794</v>
      </c>
      <c r="B795" t="s">
        <v>289</v>
      </c>
      <c r="C795" t="s">
        <v>39</v>
      </c>
      <c r="D795" t="s">
        <v>33</v>
      </c>
      <c r="E795" t="s">
        <v>34</v>
      </c>
      <c r="F795" t="s">
        <v>45</v>
      </c>
      <c r="G795" t="s">
        <v>46</v>
      </c>
      <c r="H795" t="s">
        <v>42</v>
      </c>
      <c r="I795">
        <v>1</v>
      </c>
      <c r="J795">
        <v>45259</v>
      </c>
      <c r="K795">
        <v>38470.15</v>
      </c>
      <c r="L795" t="s">
        <v>43</v>
      </c>
      <c r="M795">
        <v>15</v>
      </c>
      <c r="N795">
        <v>10761.91</v>
      </c>
    </row>
    <row r="796" spans="1:14" ht="14.25" customHeight="1" x14ac:dyDescent="0.3">
      <c r="A796">
        <v>1795</v>
      </c>
      <c r="B796" t="s">
        <v>289</v>
      </c>
      <c r="C796" t="s">
        <v>50</v>
      </c>
      <c r="D796" t="s">
        <v>66</v>
      </c>
      <c r="E796" t="s">
        <v>34</v>
      </c>
      <c r="F796" t="s">
        <v>51</v>
      </c>
      <c r="G796" t="s">
        <v>62</v>
      </c>
      <c r="H796" t="s">
        <v>37</v>
      </c>
      <c r="I796">
        <v>4</v>
      </c>
      <c r="J796">
        <v>45376</v>
      </c>
      <c r="K796">
        <v>181504</v>
      </c>
      <c r="L796" t="s">
        <v>61</v>
      </c>
      <c r="M796">
        <v>0</v>
      </c>
      <c r="N796">
        <v>53017.14</v>
      </c>
    </row>
    <row r="797" spans="1:14" ht="14.25" customHeight="1" x14ac:dyDescent="0.3">
      <c r="A797">
        <v>1796</v>
      </c>
      <c r="B797" t="s">
        <v>290</v>
      </c>
      <c r="C797" t="s">
        <v>32</v>
      </c>
      <c r="D797" t="s">
        <v>66</v>
      </c>
      <c r="E797" t="s">
        <v>34</v>
      </c>
      <c r="F797" t="s">
        <v>45</v>
      </c>
      <c r="G797" t="s">
        <v>69</v>
      </c>
      <c r="H797" t="s">
        <v>47</v>
      </c>
      <c r="I797">
        <v>4</v>
      </c>
      <c r="J797">
        <v>26794</v>
      </c>
      <c r="K797">
        <v>101817.2</v>
      </c>
      <c r="L797" t="s">
        <v>38</v>
      </c>
      <c r="M797">
        <v>5</v>
      </c>
      <c r="N797">
        <v>22965.63</v>
      </c>
    </row>
    <row r="798" spans="1:14" ht="14.25" customHeight="1" x14ac:dyDescent="0.3">
      <c r="A798">
        <v>1797</v>
      </c>
      <c r="B798" t="s">
        <v>290</v>
      </c>
      <c r="C798" t="s">
        <v>39</v>
      </c>
      <c r="D798" t="s">
        <v>58</v>
      </c>
      <c r="E798" t="s">
        <v>54</v>
      </c>
      <c r="F798" t="s">
        <v>35</v>
      </c>
      <c r="G798" t="s">
        <v>65</v>
      </c>
      <c r="H798" t="s">
        <v>42</v>
      </c>
      <c r="I798">
        <v>5</v>
      </c>
      <c r="J798">
        <v>20079</v>
      </c>
      <c r="K798">
        <v>85335.75</v>
      </c>
      <c r="L798" t="s">
        <v>38</v>
      </c>
      <c r="M798">
        <v>15</v>
      </c>
      <c r="N798">
        <v>18528.29</v>
      </c>
    </row>
    <row r="799" spans="1:14" ht="14.25" customHeight="1" x14ac:dyDescent="0.3">
      <c r="A799">
        <v>1798</v>
      </c>
      <c r="B799" t="s">
        <v>290</v>
      </c>
      <c r="C799" t="s">
        <v>50</v>
      </c>
      <c r="D799" t="s">
        <v>33</v>
      </c>
      <c r="E799" t="s">
        <v>34</v>
      </c>
      <c r="F799" t="s">
        <v>35</v>
      </c>
      <c r="G799" t="s">
        <v>65</v>
      </c>
      <c r="H799" t="s">
        <v>42</v>
      </c>
      <c r="I799">
        <v>5</v>
      </c>
      <c r="J799">
        <v>21690</v>
      </c>
      <c r="K799">
        <v>92182.5</v>
      </c>
      <c r="L799" t="s">
        <v>61</v>
      </c>
      <c r="M799">
        <v>15</v>
      </c>
      <c r="N799">
        <v>14453.74</v>
      </c>
    </row>
    <row r="800" spans="1:14" ht="14.25" customHeight="1" x14ac:dyDescent="0.3">
      <c r="A800">
        <v>1799</v>
      </c>
      <c r="B800" t="s">
        <v>290</v>
      </c>
      <c r="C800" t="s">
        <v>32</v>
      </c>
      <c r="D800" t="s">
        <v>53</v>
      </c>
      <c r="E800" t="s">
        <v>54</v>
      </c>
      <c r="F800" t="s">
        <v>45</v>
      </c>
      <c r="G800" t="s">
        <v>46</v>
      </c>
      <c r="H800" t="s">
        <v>37</v>
      </c>
      <c r="I800">
        <v>2</v>
      </c>
      <c r="J800">
        <v>33612</v>
      </c>
      <c r="K800">
        <v>57140.4</v>
      </c>
      <c r="L800" t="s">
        <v>38</v>
      </c>
      <c r="M800">
        <v>15</v>
      </c>
      <c r="N800">
        <v>13806.16</v>
      </c>
    </row>
    <row r="801" spans="1:14" ht="14.25" customHeight="1" x14ac:dyDescent="0.3">
      <c r="A801">
        <v>1800</v>
      </c>
      <c r="B801" t="s">
        <v>291</v>
      </c>
      <c r="C801" t="s">
        <v>39</v>
      </c>
      <c r="D801" t="s">
        <v>33</v>
      </c>
      <c r="E801" t="s">
        <v>34</v>
      </c>
      <c r="F801" t="s">
        <v>51</v>
      </c>
      <c r="G801" t="s">
        <v>63</v>
      </c>
      <c r="H801" t="s">
        <v>42</v>
      </c>
      <c r="I801">
        <v>4</v>
      </c>
      <c r="J801">
        <v>21963</v>
      </c>
      <c r="K801">
        <v>87852</v>
      </c>
      <c r="L801" t="s">
        <v>43</v>
      </c>
      <c r="M801">
        <v>0</v>
      </c>
      <c r="N801">
        <v>14273.25</v>
      </c>
    </row>
    <row r="802" spans="1:14" ht="14.25" customHeight="1" x14ac:dyDescent="0.3">
      <c r="A802">
        <v>1801</v>
      </c>
      <c r="B802" t="s">
        <v>291</v>
      </c>
      <c r="C802" t="s">
        <v>50</v>
      </c>
      <c r="D802" t="s">
        <v>66</v>
      </c>
      <c r="E802" t="s">
        <v>34</v>
      </c>
      <c r="F802" t="s">
        <v>45</v>
      </c>
      <c r="G802" t="s">
        <v>57</v>
      </c>
      <c r="H802" t="s">
        <v>55</v>
      </c>
      <c r="I802">
        <v>2</v>
      </c>
      <c r="J802">
        <v>48406</v>
      </c>
      <c r="K802">
        <v>96812</v>
      </c>
      <c r="L802" t="s">
        <v>38</v>
      </c>
      <c r="M802">
        <v>0</v>
      </c>
      <c r="N802">
        <v>15354.44</v>
      </c>
    </row>
    <row r="803" spans="1:14" ht="14.25" customHeight="1" x14ac:dyDescent="0.3">
      <c r="A803">
        <v>1802</v>
      </c>
      <c r="B803" t="s">
        <v>291</v>
      </c>
      <c r="C803" t="s">
        <v>50</v>
      </c>
      <c r="D803" t="s">
        <v>58</v>
      </c>
      <c r="E803" t="s">
        <v>54</v>
      </c>
      <c r="F803" t="s">
        <v>35</v>
      </c>
      <c r="G803" t="s">
        <v>36</v>
      </c>
      <c r="H803" t="s">
        <v>37</v>
      </c>
      <c r="I803">
        <v>2</v>
      </c>
      <c r="J803">
        <v>39325</v>
      </c>
      <c r="K803">
        <v>70785</v>
      </c>
      <c r="L803" t="s">
        <v>43</v>
      </c>
      <c r="M803">
        <v>10</v>
      </c>
      <c r="N803">
        <v>12824.92</v>
      </c>
    </row>
    <row r="804" spans="1:14" ht="14.25" customHeight="1" x14ac:dyDescent="0.3">
      <c r="A804">
        <v>1803</v>
      </c>
      <c r="B804" t="s">
        <v>291</v>
      </c>
      <c r="C804" t="s">
        <v>39</v>
      </c>
      <c r="D804" t="s">
        <v>66</v>
      </c>
      <c r="E804" t="s">
        <v>34</v>
      </c>
      <c r="F804" t="s">
        <v>35</v>
      </c>
      <c r="G804" t="s">
        <v>36</v>
      </c>
      <c r="H804" t="s">
        <v>42</v>
      </c>
      <c r="I804">
        <v>4</v>
      </c>
      <c r="J804">
        <v>47649</v>
      </c>
      <c r="K804">
        <v>181066.2</v>
      </c>
      <c r="L804" t="s">
        <v>61</v>
      </c>
      <c r="M804">
        <v>5</v>
      </c>
      <c r="N804">
        <v>31307.48</v>
      </c>
    </row>
    <row r="805" spans="1:14" ht="14.25" customHeight="1" x14ac:dyDescent="0.3">
      <c r="A805">
        <v>1804</v>
      </c>
      <c r="B805" t="s">
        <v>292</v>
      </c>
      <c r="C805" t="s">
        <v>44</v>
      </c>
      <c r="D805" t="s">
        <v>33</v>
      </c>
      <c r="E805" t="s">
        <v>34</v>
      </c>
      <c r="F805" t="s">
        <v>51</v>
      </c>
      <c r="G805" t="s">
        <v>62</v>
      </c>
      <c r="H805" t="s">
        <v>42</v>
      </c>
      <c r="I805">
        <v>3</v>
      </c>
      <c r="J805">
        <v>20084</v>
      </c>
      <c r="K805">
        <v>60252</v>
      </c>
      <c r="L805" t="s">
        <v>38</v>
      </c>
      <c r="M805">
        <v>0</v>
      </c>
      <c r="N805">
        <v>6212.6</v>
      </c>
    </row>
    <row r="806" spans="1:14" ht="14.25" customHeight="1" x14ac:dyDescent="0.3">
      <c r="A806">
        <v>1805</v>
      </c>
      <c r="B806" t="s">
        <v>292</v>
      </c>
      <c r="C806" t="s">
        <v>39</v>
      </c>
      <c r="D806" t="s">
        <v>33</v>
      </c>
      <c r="E806" t="s">
        <v>34</v>
      </c>
      <c r="F806" t="s">
        <v>35</v>
      </c>
      <c r="G806" t="s">
        <v>67</v>
      </c>
      <c r="H806" t="s">
        <v>37</v>
      </c>
      <c r="I806">
        <v>4</v>
      </c>
      <c r="J806">
        <v>15837</v>
      </c>
      <c r="K806">
        <v>60180.6</v>
      </c>
      <c r="L806" t="s">
        <v>38</v>
      </c>
      <c r="M806">
        <v>5</v>
      </c>
      <c r="N806">
        <v>8363.89</v>
      </c>
    </row>
    <row r="807" spans="1:14" ht="14.25" customHeight="1" x14ac:dyDescent="0.3">
      <c r="A807">
        <v>1806</v>
      </c>
      <c r="B807" t="s">
        <v>292</v>
      </c>
      <c r="C807" t="s">
        <v>60</v>
      </c>
      <c r="D807" t="s">
        <v>40</v>
      </c>
      <c r="E807" t="s">
        <v>41</v>
      </c>
      <c r="F807" t="s">
        <v>35</v>
      </c>
      <c r="G807" t="s">
        <v>36</v>
      </c>
      <c r="H807" t="s">
        <v>55</v>
      </c>
      <c r="I807">
        <v>5</v>
      </c>
      <c r="J807">
        <v>6192</v>
      </c>
      <c r="K807">
        <v>26316</v>
      </c>
      <c r="L807" t="s">
        <v>61</v>
      </c>
      <c r="M807">
        <v>15</v>
      </c>
      <c r="N807">
        <v>7112.79</v>
      </c>
    </row>
    <row r="808" spans="1:14" ht="14.25" customHeight="1" x14ac:dyDescent="0.3">
      <c r="A808">
        <v>1807</v>
      </c>
      <c r="B808" t="s">
        <v>292</v>
      </c>
      <c r="C808" t="s">
        <v>44</v>
      </c>
      <c r="D808" t="s">
        <v>40</v>
      </c>
      <c r="E808" t="s">
        <v>41</v>
      </c>
      <c r="F808" t="s">
        <v>51</v>
      </c>
      <c r="G808" t="s">
        <v>63</v>
      </c>
      <c r="H808" t="s">
        <v>42</v>
      </c>
      <c r="I808">
        <v>4</v>
      </c>
      <c r="J808">
        <v>17329</v>
      </c>
      <c r="K808">
        <v>65850.2</v>
      </c>
      <c r="L808" t="s">
        <v>38</v>
      </c>
      <c r="M808">
        <v>5</v>
      </c>
      <c r="N808">
        <v>11583.43</v>
      </c>
    </row>
    <row r="809" spans="1:14" ht="14.25" customHeight="1" x14ac:dyDescent="0.3">
      <c r="A809">
        <v>1808</v>
      </c>
      <c r="B809" t="s">
        <v>292</v>
      </c>
      <c r="C809" t="s">
        <v>32</v>
      </c>
      <c r="D809" t="s">
        <v>53</v>
      </c>
      <c r="E809" t="s">
        <v>54</v>
      </c>
      <c r="F809" t="s">
        <v>51</v>
      </c>
      <c r="G809" t="s">
        <v>63</v>
      </c>
      <c r="H809" t="s">
        <v>55</v>
      </c>
      <c r="I809">
        <v>5</v>
      </c>
      <c r="J809">
        <v>31770</v>
      </c>
      <c r="K809">
        <v>158850</v>
      </c>
      <c r="L809" t="s">
        <v>48</v>
      </c>
      <c r="M809">
        <v>0</v>
      </c>
      <c r="N809">
        <v>32094.400000000001</v>
      </c>
    </row>
    <row r="810" spans="1:14" ht="14.25" customHeight="1" x14ac:dyDescent="0.3">
      <c r="A810">
        <v>1809</v>
      </c>
      <c r="B810" t="s">
        <v>293</v>
      </c>
      <c r="C810" t="s">
        <v>44</v>
      </c>
      <c r="D810" t="s">
        <v>66</v>
      </c>
      <c r="E810" t="s">
        <v>34</v>
      </c>
      <c r="F810" t="s">
        <v>35</v>
      </c>
      <c r="G810" t="s">
        <v>67</v>
      </c>
      <c r="H810" t="s">
        <v>47</v>
      </c>
      <c r="I810">
        <v>4</v>
      </c>
      <c r="J810">
        <v>11381</v>
      </c>
      <c r="K810">
        <v>45524</v>
      </c>
      <c r="L810" t="s">
        <v>48</v>
      </c>
      <c r="M810">
        <v>0</v>
      </c>
      <c r="N810">
        <v>11576.82</v>
      </c>
    </row>
    <row r="811" spans="1:14" ht="14.25" customHeight="1" x14ac:dyDescent="0.3">
      <c r="A811">
        <v>1810</v>
      </c>
      <c r="B811" t="s">
        <v>293</v>
      </c>
      <c r="C811" t="s">
        <v>50</v>
      </c>
      <c r="D811" t="s">
        <v>40</v>
      </c>
      <c r="E811" t="s">
        <v>41</v>
      </c>
      <c r="F811" t="s">
        <v>51</v>
      </c>
      <c r="G811" t="s">
        <v>52</v>
      </c>
      <c r="H811" t="s">
        <v>37</v>
      </c>
      <c r="I811">
        <v>4</v>
      </c>
      <c r="J811">
        <v>6085</v>
      </c>
      <c r="K811">
        <v>20689</v>
      </c>
      <c r="L811" t="s">
        <v>48</v>
      </c>
      <c r="M811">
        <v>15</v>
      </c>
      <c r="N811">
        <v>4528.9399999999996</v>
      </c>
    </row>
    <row r="812" spans="1:14" ht="14.25" customHeight="1" x14ac:dyDescent="0.3">
      <c r="A812">
        <v>1811</v>
      </c>
      <c r="B812" t="s">
        <v>293</v>
      </c>
      <c r="C812" t="s">
        <v>44</v>
      </c>
      <c r="D812" t="s">
        <v>58</v>
      </c>
      <c r="E812" t="s">
        <v>54</v>
      </c>
      <c r="F812" t="s">
        <v>51</v>
      </c>
      <c r="G812" t="s">
        <v>63</v>
      </c>
      <c r="H812" t="s">
        <v>55</v>
      </c>
      <c r="I812">
        <v>1</v>
      </c>
      <c r="J812">
        <v>46201</v>
      </c>
      <c r="K812">
        <v>41580.9</v>
      </c>
      <c r="L812" t="s">
        <v>38</v>
      </c>
      <c r="M812">
        <v>10</v>
      </c>
      <c r="N812">
        <v>11336.25</v>
      </c>
    </row>
    <row r="813" spans="1:14" ht="14.25" customHeight="1" x14ac:dyDescent="0.3">
      <c r="A813">
        <v>1812</v>
      </c>
      <c r="B813" t="s">
        <v>293</v>
      </c>
      <c r="C813" t="s">
        <v>50</v>
      </c>
      <c r="D813" t="s">
        <v>40</v>
      </c>
      <c r="E813" t="s">
        <v>41</v>
      </c>
      <c r="F813" t="s">
        <v>35</v>
      </c>
      <c r="G813" t="s">
        <v>65</v>
      </c>
      <c r="H813" t="s">
        <v>47</v>
      </c>
      <c r="I813">
        <v>2</v>
      </c>
      <c r="J813">
        <v>43918</v>
      </c>
      <c r="K813">
        <v>79052.399999999994</v>
      </c>
      <c r="L813" t="s">
        <v>43</v>
      </c>
      <c r="M813">
        <v>10</v>
      </c>
      <c r="N813">
        <v>14684.06</v>
      </c>
    </row>
    <row r="814" spans="1:14" ht="14.25" customHeight="1" x14ac:dyDescent="0.3">
      <c r="A814">
        <v>1813</v>
      </c>
      <c r="B814" t="s">
        <v>293</v>
      </c>
      <c r="C814" t="s">
        <v>50</v>
      </c>
      <c r="D814" t="s">
        <v>66</v>
      </c>
      <c r="E814" t="s">
        <v>34</v>
      </c>
      <c r="F814" t="s">
        <v>51</v>
      </c>
      <c r="G814" t="s">
        <v>63</v>
      </c>
      <c r="H814" t="s">
        <v>55</v>
      </c>
      <c r="I814">
        <v>4</v>
      </c>
      <c r="J814">
        <v>45832</v>
      </c>
      <c r="K814">
        <v>183328</v>
      </c>
      <c r="L814" t="s">
        <v>61</v>
      </c>
      <c r="M814">
        <v>0</v>
      </c>
      <c r="N814">
        <v>42764.07</v>
      </c>
    </row>
    <row r="815" spans="1:14" ht="14.25" customHeight="1" x14ac:dyDescent="0.3">
      <c r="A815">
        <v>1814</v>
      </c>
      <c r="B815" t="s">
        <v>294</v>
      </c>
      <c r="C815" t="s">
        <v>32</v>
      </c>
      <c r="D815" t="s">
        <v>58</v>
      </c>
      <c r="E815" t="s">
        <v>54</v>
      </c>
      <c r="F815" t="s">
        <v>45</v>
      </c>
      <c r="G815" t="s">
        <v>57</v>
      </c>
      <c r="H815" t="s">
        <v>37</v>
      </c>
      <c r="I815">
        <v>3</v>
      </c>
      <c r="J815">
        <v>39953</v>
      </c>
      <c r="K815">
        <v>101880.15</v>
      </c>
      <c r="L815" t="s">
        <v>38</v>
      </c>
      <c r="M815">
        <v>15</v>
      </c>
      <c r="N815">
        <v>25967.68</v>
      </c>
    </row>
    <row r="816" spans="1:14" ht="14.25" customHeight="1" x14ac:dyDescent="0.3">
      <c r="A816">
        <v>1815</v>
      </c>
      <c r="B816" t="s">
        <v>294</v>
      </c>
      <c r="C816" t="s">
        <v>50</v>
      </c>
      <c r="D816" t="s">
        <v>33</v>
      </c>
      <c r="E816" t="s">
        <v>34</v>
      </c>
      <c r="F816" t="s">
        <v>51</v>
      </c>
      <c r="G816" t="s">
        <v>52</v>
      </c>
      <c r="H816" t="s">
        <v>42</v>
      </c>
      <c r="I816">
        <v>2</v>
      </c>
      <c r="J816">
        <v>26696</v>
      </c>
      <c r="K816">
        <v>45383.199999999997</v>
      </c>
      <c r="L816" t="s">
        <v>48</v>
      </c>
      <c r="M816">
        <v>15</v>
      </c>
      <c r="N816">
        <v>6509.45</v>
      </c>
    </row>
    <row r="817" spans="1:14" ht="14.25" customHeight="1" x14ac:dyDescent="0.3">
      <c r="A817">
        <v>1816</v>
      </c>
      <c r="B817" t="s">
        <v>295</v>
      </c>
      <c r="C817" t="s">
        <v>60</v>
      </c>
      <c r="D817" t="s">
        <v>66</v>
      </c>
      <c r="E817" t="s">
        <v>34</v>
      </c>
      <c r="F817" t="s">
        <v>45</v>
      </c>
      <c r="G817" t="s">
        <v>69</v>
      </c>
      <c r="H817" t="s">
        <v>37</v>
      </c>
      <c r="I817">
        <v>4</v>
      </c>
      <c r="J817">
        <v>26406</v>
      </c>
      <c r="K817">
        <v>89780.4</v>
      </c>
      <c r="L817" t="s">
        <v>61</v>
      </c>
      <c r="M817">
        <v>15</v>
      </c>
      <c r="N817">
        <v>18658.419999999998</v>
      </c>
    </row>
    <row r="818" spans="1:14" ht="14.25" customHeight="1" x14ac:dyDescent="0.3">
      <c r="A818">
        <v>1817</v>
      </c>
      <c r="B818" t="s">
        <v>295</v>
      </c>
      <c r="C818" t="s">
        <v>50</v>
      </c>
      <c r="D818" t="s">
        <v>58</v>
      </c>
      <c r="E818" t="s">
        <v>54</v>
      </c>
      <c r="F818" t="s">
        <v>35</v>
      </c>
      <c r="G818" t="s">
        <v>36</v>
      </c>
      <c r="H818" t="s">
        <v>47</v>
      </c>
      <c r="I818">
        <v>2</v>
      </c>
      <c r="J818">
        <v>42655</v>
      </c>
      <c r="K818">
        <v>76779</v>
      </c>
      <c r="L818" t="s">
        <v>43</v>
      </c>
      <c r="M818">
        <v>10</v>
      </c>
      <c r="N818">
        <v>13473.4</v>
      </c>
    </row>
    <row r="819" spans="1:14" ht="14.25" customHeight="1" x14ac:dyDescent="0.3">
      <c r="A819">
        <v>1818</v>
      </c>
      <c r="B819" t="s">
        <v>295</v>
      </c>
      <c r="C819" t="s">
        <v>32</v>
      </c>
      <c r="D819" t="s">
        <v>53</v>
      </c>
      <c r="E819" t="s">
        <v>54</v>
      </c>
      <c r="F819" t="s">
        <v>45</v>
      </c>
      <c r="G819" t="s">
        <v>69</v>
      </c>
      <c r="H819" t="s">
        <v>47</v>
      </c>
      <c r="I819">
        <v>4</v>
      </c>
      <c r="J819">
        <v>8752</v>
      </c>
      <c r="K819">
        <v>33257.599999999999</v>
      </c>
      <c r="L819" t="s">
        <v>38</v>
      </c>
      <c r="M819">
        <v>5</v>
      </c>
      <c r="N819">
        <v>4343.1899999999996</v>
      </c>
    </row>
    <row r="820" spans="1:14" ht="14.25" customHeight="1" x14ac:dyDescent="0.3">
      <c r="A820">
        <v>1819</v>
      </c>
      <c r="B820" t="s">
        <v>295</v>
      </c>
      <c r="C820" t="s">
        <v>32</v>
      </c>
      <c r="D820" t="s">
        <v>66</v>
      </c>
      <c r="E820" t="s">
        <v>34</v>
      </c>
      <c r="F820" t="s">
        <v>45</v>
      </c>
      <c r="G820" t="s">
        <v>57</v>
      </c>
      <c r="H820" t="s">
        <v>47</v>
      </c>
      <c r="I820">
        <v>5</v>
      </c>
      <c r="J820">
        <v>41801</v>
      </c>
      <c r="K820">
        <v>209005</v>
      </c>
      <c r="L820" t="s">
        <v>61</v>
      </c>
      <c r="M820">
        <v>0</v>
      </c>
      <c r="N820">
        <v>34777.94</v>
      </c>
    </row>
    <row r="821" spans="1:14" ht="14.25" customHeight="1" x14ac:dyDescent="0.3">
      <c r="A821">
        <v>1820</v>
      </c>
      <c r="B821" t="s">
        <v>296</v>
      </c>
      <c r="C821" t="s">
        <v>39</v>
      </c>
      <c r="D821" t="s">
        <v>53</v>
      </c>
      <c r="E821" t="s">
        <v>54</v>
      </c>
      <c r="F821" t="s">
        <v>51</v>
      </c>
      <c r="G821" t="s">
        <v>63</v>
      </c>
      <c r="H821" t="s">
        <v>42</v>
      </c>
      <c r="I821">
        <v>3</v>
      </c>
      <c r="J821">
        <v>35503</v>
      </c>
      <c r="K821">
        <v>106509</v>
      </c>
      <c r="L821" t="s">
        <v>43</v>
      </c>
      <c r="M821">
        <v>0</v>
      </c>
      <c r="N821">
        <v>15638.01</v>
      </c>
    </row>
    <row r="822" spans="1:14" ht="14.25" customHeight="1" x14ac:dyDescent="0.3">
      <c r="A822">
        <v>1821</v>
      </c>
      <c r="B822" t="s">
        <v>296</v>
      </c>
      <c r="C822" t="s">
        <v>50</v>
      </c>
      <c r="D822" t="s">
        <v>58</v>
      </c>
      <c r="E822" t="s">
        <v>54</v>
      </c>
      <c r="F822" t="s">
        <v>51</v>
      </c>
      <c r="G822" t="s">
        <v>52</v>
      </c>
      <c r="H822" t="s">
        <v>42</v>
      </c>
      <c r="I822">
        <v>2</v>
      </c>
      <c r="J822">
        <v>1592</v>
      </c>
      <c r="K822">
        <v>2865.6</v>
      </c>
      <c r="L822" t="s">
        <v>61</v>
      </c>
      <c r="M822">
        <v>10</v>
      </c>
      <c r="N822">
        <v>664.35</v>
      </c>
    </row>
    <row r="823" spans="1:14" ht="14.25" customHeight="1" x14ac:dyDescent="0.3">
      <c r="A823">
        <v>1822</v>
      </c>
      <c r="B823" t="s">
        <v>296</v>
      </c>
      <c r="C823" t="s">
        <v>39</v>
      </c>
      <c r="D823" t="s">
        <v>33</v>
      </c>
      <c r="E823" t="s">
        <v>34</v>
      </c>
      <c r="F823" t="s">
        <v>45</v>
      </c>
      <c r="G823" t="s">
        <v>69</v>
      </c>
      <c r="H823" t="s">
        <v>47</v>
      </c>
      <c r="I823">
        <v>3</v>
      </c>
      <c r="J823">
        <v>11280</v>
      </c>
      <c r="K823">
        <v>28764</v>
      </c>
      <c r="L823" t="s">
        <v>48</v>
      </c>
      <c r="M823">
        <v>15</v>
      </c>
      <c r="N823">
        <v>7542.98</v>
      </c>
    </row>
    <row r="824" spans="1:14" ht="14.25" customHeight="1" x14ac:dyDescent="0.3">
      <c r="A824">
        <v>1823</v>
      </c>
      <c r="B824" t="s">
        <v>297</v>
      </c>
      <c r="C824" t="s">
        <v>44</v>
      </c>
      <c r="D824" t="s">
        <v>58</v>
      </c>
      <c r="E824" t="s">
        <v>54</v>
      </c>
      <c r="F824" t="s">
        <v>45</v>
      </c>
      <c r="G824" t="s">
        <v>69</v>
      </c>
      <c r="H824" t="s">
        <v>55</v>
      </c>
      <c r="I824">
        <v>2</v>
      </c>
      <c r="J824">
        <v>12114</v>
      </c>
      <c r="K824">
        <v>20593.8</v>
      </c>
      <c r="L824" t="s">
        <v>43</v>
      </c>
      <c r="M824">
        <v>15</v>
      </c>
      <c r="N824">
        <v>3298.14</v>
      </c>
    </row>
    <row r="825" spans="1:14" ht="14.25" customHeight="1" x14ac:dyDescent="0.3">
      <c r="A825">
        <v>1824</v>
      </c>
      <c r="B825" t="s">
        <v>297</v>
      </c>
      <c r="C825" t="s">
        <v>32</v>
      </c>
      <c r="D825" t="s">
        <v>58</v>
      </c>
      <c r="E825" t="s">
        <v>54</v>
      </c>
      <c r="F825" t="s">
        <v>35</v>
      </c>
      <c r="G825" t="s">
        <v>65</v>
      </c>
      <c r="H825" t="s">
        <v>55</v>
      </c>
      <c r="I825">
        <v>5</v>
      </c>
      <c r="J825">
        <v>6277</v>
      </c>
      <c r="K825">
        <v>31385</v>
      </c>
      <c r="L825" t="s">
        <v>38</v>
      </c>
      <c r="M825">
        <v>0</v>
      </c>
      <c r="N825">
        <v>8917.73</v>
      </c>
    </row>
    <row r="826" spans="1:14" ht="14.25" customHeight="1" x14ac:dyDescent="0.3">
      <c r="A826">
        <v>1825</v>
      </c>
      <c r="B826" t="s">
        <v>298</v>
      </c>
      <c r="C826" t="s">
        <v>50</v>
      </c>
      <c r="D826" t="s">
        <v>58</v>
      </c>
      <c r="E826" t="s">
        <v>54</v>
      </c>
      <c r="F826" t="s">
        <v>51</v>
      </c>
      <c r="G826" t="s">
        <v>62</v>
      </c>
      <c r="H826" t="s">
        <v>47</v>
      </c>
      <c r="I826">
        <v>1</v>
      </c>
      <c r="J826">
        <v>27449</v>
      </c>
      <c r="K826">
        <v>27449</v>
      </c>
      <c r="L826" t="s">
        <v>38</v>
      </c>
      <c r="M826">
        <v>0</v>
      </c>
      <c r="N826">
        <v>3350.84</v>
      </c>
    </row>
    <row r="827" spans="1:14" ht="14.25" customHeight="1" x14ac:dyDescent="0.3">
      <c r="A827">
        <v>1826</v>
      </c>
      <c r="B827" t="s">
        <v>298</v>
      </c>
      <c r="C827" t="s">
        <v>50</v>
      </c>
      <c r="D827" t="s">
        <v>66</v>
      </c>
      <c r="E827" t="s">
        <v>34</v>
      </c>
      <c r="F827" t="s">
        <v>51</v>
      </c>
      <c r="G827" t="s">
        <v>52</v>
      </c>
      <c r="H827" t="s">
        <v>42</v>
      </c>
      <c r="I827">
        <v>3</v>
      </c>
      <c r="J827">
        <v>11183</v>
      </c>
      <c r="K827">
        <v>28516.65</v>
      </c>
      <c r="L827" t="s">
        <v>43</v>
      </c>
      <c r="M827">
        <v>15</v>
      </c>
      <c r="N827">
        <v>4563.3900000000003</v>
      </c>
    </row>
    <row r="828" spans="1:14" ht="14.25" customHeight="1" x14ac:dyDescent="0.3">
      <c r="A828">
        <v>1827</v>
      </c>
      <c r="B828" t="s">
        <v>299</v>
      </c>
      <c r="C828" t="s">
        <v>50</v>
      </c>
      <c r="D828" t="s">
        <v>53</v>
      </c>
      <c r="E828" t="s">
        <v>54</v>
      </c>
      <c r="F828" t="s">
        <v>35</v>
      </c>
      <c r="G828" t="s">
        <v>36</v>
      </c>
      <c r="H828" t="s">
        <v>42</v>
      </c>
      <c r="I828">
        <v>5</v>
      </c>
      <c r="J828">
        <v>11156</v>
      </c>
      <c r="K828">
        <v>50202</v>
      </c>
      <c r="L828" t="s">
        <v>43</v>
      </c>
      <c r="M828">
        <v>10</v>
      </c>
      <c r="N828">
        <v>13457.61</v>
      </c>
    </row>
    <row r="829" spans="1:14" ht="14.25" customHeight="1" x14ac:dyDescent="0.3">
      <c r="A829">
        <v>1828</v>
      </c>
      <c r="B829" t="s">
        <v>299</v>
      </c>
      <c r="C829" t="s">
        <v>44</v>
      </c>
      <c r="D829" t="s">
        <v>40</v>
      </c>
      <c r="E829" t="s">
        <v>41</v>
      </c>
      <c r="F829" t="s">
        <v>45</v>
      </c>
      <c r="G829" t="s">
        <v>69</v>
      </c>
      <c r="H829" t="s">
        <v>47</v>
      </c>
      <c r="I829">
        <v>3</v>
      </c>
      <c r="J829">
        <v>38881</v>
      </c>
      <c r="K829">
        <v>99146.55</v>
      </c>
      <c r="L829" t="s">
        <v>38</v>
      </c>
      <c r="M829">
        <v>15</v>
      </c>
      <c r="N829">
        <v>10001.92</v>
      </c>
    </row>
    <row r="830" spans="1:14" ht="14.25" customHeight="1" x14ac:dyDescent="0.3">
      <c r="A830">
        <v>1829</v>
      </c>
      <c r="B830" t="s">
        <v>299</v>
      </c>
      <c r="C830" t="s">
        <v>39</v>
      </c>
      <c r="D830" t="s">
        <v>40</v>
      </c>
      <c r="E830" t="s">
        <v>41</v>
      </c>
      <c r="F830" t="s">
        <v>51</v>
      </c>
      <c r="G830" t="s">
        <v>52</v>
      </c>
      <c r="H830" t="s">
        <v>55</v>
      </c>
      <c r="I830">
        <v>4</v>
      </c>
      <c r="J830">
        <v>17894</v>
      </c>
      <c r="K830">
        <v>64418.400000000001</v>
      </c>
      <c r="L830" t="s">
        <v>48</v>
      </c>
      <c r="M830">
        <v>10</v>
      </c>
      <c r="N830">
        <v>8836.16</v>
      </c>
    </row>
    <row r="831" spans="1:14" ht="14.25" customHeight="1" x14ac:dyDescent="0.3">
      <c r="A831">
        <v>1830</v>
      </c>
      <c r="B831" t="s">
        <v>300</v>
      </c>
      <c r="C831" t="s">
        <v>60</v>
      </c>
      <c r="D831" t="s">
        <v>58</v>
      </c>
      <c r="E831" t="s">
        <v>54</v>
      </c>
      <c r="F831" t="s">
        <v>51</v>
      </c>
      <c r="G831" t="s">
        <v>63</v>
      </c>
      <c r="H831" t="s">
        <v>37</v>
      </c>
      <c r="I831">
        <v>3</v>
      </c>
      <c r="J831">
        <v>32666</v>
      </c>
      <c r="K831">
        <v>93098.1</v>
      </c>
      <c r="L831" t="s">
        <v>43</v>
      </c>
      <c r="M831">
        <v>5</v>
      </c>
      <c r="N831">
        <v>20408.07</v>
      </c>
    </row>
    <row r="832" spans="1:14" ht="14.25" customHeight="1" x14ac:dyDescent="0.3">
      <c r="A832">
        <v>1831</v>
      </c>
      <c r="B832" t="s">
        <v>300</v>
      </c>
      <c r="C832" t="s">
        <v>60</v>
      </c>
      <c r="D832" t="s">
        <v>40</v>
      </c>
      <c r="E832" t="s">
        <v>41</v>
      </c>
      <c r="F832" t="s">
        <v>45</v>
      </c>
      <c r="G832" t="s">
        <v>69</v>
      </c>
      <c r="H832" t="s">
        <v>37</v>
      </c>
      <c r="I832">
        <v>1</v>
      </c>
      <c r="J832">
        <v>26936</v>
      </c>
      <c r="K832">
        <v>26936</v>
      </c>
      <c r="L832" t="s">
        <v>38</v>
      </c>
      <c r="M832">
        <v>0</v>
      </c>
      <c r="N832">
        <v>7524.69</v>
      </c>
    </row>
    <row r="833" spans="1:14" ht="14.25" customHeight="1" x14ac:dyDescent="0.3">
      <c r="A833">
        <v>1832</v>
      </c>
      <c r="B833" t="s">
        <v>300</v>
      </c>
      <c r="C833" t="s">
        <v>32</v>
      </c>
      <c r="D833" t="s">
        <v>40</v>
      </c>
      <c r="E833" t="s">
        <v>41</v>
      </c>
      <c r="F833" t="s">
        <v>35</v>
      </c>
      <c r="G833" t="s">
        <v>65</v>
      </c>
      <c r="H833" t="s">
        <v>55</v>
      </c>
      <c r="I833">
        <v>5</v>
      </c>
      <c r="J833">
        <v>16372</v>
      </c>
      <c r="K833">
        <v>81860</v>
      </c>
      <c r="L833" t="s">
        <v>48</v>
      </c>
      <c r="M833">
        <v>0</v>
      </c>
      <c r="N833">
        <v>17883.37</v>
      </c>
    </row>
    <row r="834" spans="1:14" ht="14.25" customHeight="1" x14ac:dyDescent="0.3">
      <c r="A834">
        <v>1833</v>
      </c>
      <c r="B834" t="s">
        <v>300</v>
      </c>
      <c r="C834" t="s">
        <v>50</v>
      </c>
      <c r="D834" t="s">
        <v>40</v>
      </c>
      <c r="E834" t="s">
        <v>41</v>
      </c>
      <c r="F834" t="s">
        <v>35</v>
      </c>
      <c r="G834" t="s">
        <v>67</v>
      </c>
      <c r="H834" t="s">
        <v>42</v>
      </c>
      <c r="I834">
        <v>4</v>
      </c>
      <c r="J834">
        <v>8668</v>
      </c>
      <c r="K834">
        <v>34672</v>
      </c>
      <c r="L834" t="s">
        <v>48</v>
      </c>
      <c r="M834">
        <v>0</v>
      </c>
      <c r="N834">
        <v>8463.76</v>
      </c>
    </row>
    <row r="835" spans="1:14" ht="14.25" customHeight="1" x14ac:dyDescent="0.3">
      <c r="A835">
        <v>1834</v>
      </c>
      <c r="B835" t="s">
        <v>300</v>
      </c>
      <c r="C835" t="s">
        <v>32</v>
      </c>
      <c r="D835" t="s">
        <v>53</v>
      </c>
      <c r="E835" t="s">
        <v>54</v>
      </c>
      <c r="F835" t="s">
        <v>35</v>
      </c>
      <c r="G835" t="s">
        <v>67</v>
      </c>
      <c r="H835" t="s">
        <v>37</v>
      </c>
      <c r="I835">
        <v>5</v>
      </c>
      <c r="J835">
        <v>33743</v>
      </c>
      <c r="K835">
        <v>151843.5</v>
      </c>
      <c r="L835" t="s">
        <v>43</v>
      </c>
      <c r="M835">
        <v>10</v>
      </c>
      <c r="N835">
        <v>30132.9</v>
      </c>
    </row>
    <row r="836" spans="1:14" ht="14.25" customHeight="1" x14ac:dyDescent="0.3">
      <c r="A836">
        <v>1835</v>
      </c>
      <c r="B836" t="s">
        <v>301</v>
      </c>
      <c r="C836" t="s">
        <v>60</v>
      </c>
      <c r="D836" t="s">
        <v>33</v>
      </c>
      <c r="E836" t="s">
        <v>34</v>
      </c>
      <c r="F836" t="s">
        <v>45</v>
      </c>
      <c r="G836" t="s">
        <v>46</v>
      </c>
      <c r="H836" t="s">
        <v>42</v>
      </c>
      <c r="I836">
        <v>2</v>
      </c>
      <c r="J836">
        <v>37611</v>
      </c>
      <c r="K836">
        <v>71460.899999999994</v>
      </c>
      <c r="L836" t="s">
        <v>48</v>
      </c>
      <c r="M836">
        <v>5</v>
      </c>
      <c r="N836">
        <v>17082.259999999998</v>
      </c>
    </row>
    <row r="837" spans="1:14" ht="14.25" customHeight="1" x14ac:dyDescent="0.3">
      <c r="A837">
        <v>1836</v>
      </c>
      <c r="B837" t="s">
        <v>301</v>
      </c>
      <c r="C837" t="s">
        <v>60</v>
      </c>
      <c r="D837" t="s">
        <v>53</v>
      </c>
      <c r="E837" t="s">
        <v>54</v>
      </c>
      <c r="F837" t="s">
        <v>45</v>
      </c>
      <c r="G837" t="s">
        <v>57</v>
      </c>
      <c r="H837" t="s">
        <v>47</v>
      </c>
      <c r="I837">
        <v>3</v>
      </c>
      <c r="J837">
        <v>15377</v>
      </c>
      <c r="K837">
        <v>43824.45</v>
      </c>
      <c r="L837" t="s">
        <v>48</v>
      </c>
      <c r="M837">
        <v>5</v>
      </c>
      <c r="N837">
        <v>8999.15</v>
      </c>
    </row>
    <row r="838" spans="1:14" ht="14.25" customHeight="1" x14ac:dyDescent="0.3">
      <c r="A838">
        <v>1837</v>
      </c>
      <c r="B838" t="s">
        <v>301</v>
      </c>
      <c r="C838" t="s">
        <v>50</v>
      </c>
      <c r="D838" t="s">
        <v>58</v>
      </c>
      <c r="E838" t="s">
        <v>54</v>
      </c>
      <c r="F838" t="s">
        <v>51</v>
      </c>
      <c r="G838" t="s">
        <v>63</v>
      </c>
      <c r="H838" t="s">
        <v>55</v>
      </c>
      <c r="I838">
        <v>1</v>
      </c>
      <c r="J838">
        <v>4528</v>
      </c>
      <c r="K838">
        <v>4075.2</v>
      </c>
      <c r="L838" t="s">
        <v>48</v>
      </c>
      <c r="M838">
        <v>10</v>
      </c>
      <c r="N838">
        <v>876.57</v>
      </c>
    </row>
    <row r="839" spans="1:14" ht="14.25" customHeight="1" x14ac:dyDescent="0.3">
      <c r="A839">
        <v>1838</v>
      </c>
      <c r="B839" t="s">
        <v>301</v>
      </c>
      <c r="C839" t="s">
        <v>32</v>
      </c>
      <c r="D839" t="s">
        <v>53</v>
      </c>
      <c r="E839" t="s">
        <v>54</v>
      </c>
      <c r="F839" t="s">
        <v>45</v>
      </c>
      <c r="G839" t="s">
        <v>69</v>
      </c>
      <c r="H839" t="s">
        <v>47</v>
      </c>
      <c r="I839">
        <v>5</v>
      </c>
      <c r="J839">
        <v>33007</v>
      </c>
      <c r="K839">
        <v>165035</v>
      </c>
      <c r="L839" t="s">
        <v>61</v>
      </c>
      <c r="M839">
        <v>0</v>
      </c>
      <c r="N839">
        <v>42393.03</v>
      </c>
    </row>
    <row r="840" spans="1:14" ht="14.25" customHeight="1" x14ac:dyDescent="0.3">
      <c r="A840">
        <v>1839</v>
      </c>
      <c r="B840" t="s">
        <v>301</v>
      </c>
      <c r="C840" t="s">
        <v>60</v>
      </c>
      <c r="D840" t="s">
        <v>53</v>
      </c>
      <c r="E840" t="s">
        <v>54</v>
      </c>
      <c r="F840" t="s">
        <v>35</v>
      </c>
      <c r="G840" t="s">
        <v>36</v>
      </c>
      <c r="H840" t="s">
        <v>55</v>
      </c>
      <c r="I840">
        <v>5</v>
      </c>
      <c r="J840">
        <v>42072</v>
      </c>
      <c r="K840">
        <v>178806</v>
      </c>
      <c r="L840" t="s">
        <v>61</v>
      </c>
      <c r="M840">
        <v>15</v>
      </c>
      <c r="N840">
        <v>50283.49</v>
      </c>
    </row>
    <row r="841" spans="1:14" ht="14.25" customHeight="1" x14ac:dyDescent="0.3">
      <c r="A841">
        <v>1840</v>
      </c>
      <c r="B841" t="s">
        <v>302</v>
      </c>
      <c r="C841" t="s">
        <v>60</v>
      </c>
      <c r="D841" t="s">
        <v>40</v>
      </c>
      <c r="E841" t="s">
        <v>41</v>
      </c>
      <c r="F841" t="s">
        <v>35</v>
      </c>
      <c r="G841" t="s">
        <v>67</v>
      </c>
      <c r="H841" t="s">
        <v>55</v>
      </c>
      <c r="I841">
        <v>3</v>
      </c>
      <c r="J841">
        <v>25355</v>
      </c>
      <c r="K841">
        <v>76065</v>
      </c>
      <c r="L841" t="s">
        <v>43</v>
      </c>
      <c r="M841">
        <v>0</v>
      </c>
      <c r="N841">
        <v>9121.94</v>
      </c>
    </row>
    <row r="842" spans="1:14" ht="14.25" customHeight="1" x14ac:dyDescent="0.3">
      <c r="A842">
        <v>1841</v>
      </c>
      <c r="B842" t="s">
        <v>302</v>
      </c>
      <c r="C842" t="s">
        <v>50</v>
      </c>
      <c r="D842" t="s">
        <v>33</v>
      </c>
      <c r="E842" t="s">
        <v>34</v>
      </c>
      <c r="F842" t="s">
        <v>35</v>
      </c>
      <c r="G842" t="s">
        <v>36</v>
      </c>
      <c r="H842" t="s">
        <v>55</v>
      </c>
      <c r="I842">
        <v>3</v>
      </c>
      <c r="J842">
        <v>6302</v>
      </c>
      <c r="K842">
        <v>17015.400000000001</v>
      </c>
      <c r="L842" t="s">
        <v>38</v>
      </c>
      <c r="M842">
        <v>10</v>
      </c>
      <c r="N842">
        <v>4661.3999999999996</v>
      </c>
    </row>
    <row r="843" spans="1:14" ht="14.25" customHeight="1" x14ac:dyDescent="0.3">
      <c r="A843">
        <v>1842</v>
      </c>
      <c r="B843" t="s">
        <v>302</v>
      </c>
      <c r="C843" t="s">
        <v>39</v>
      </c>
      <c r="D843" t="s">
        <v>33</v>
      </c>
      <c r="E843" t="s">
        <v>34</v>
      </c>
      <c r="F843" t="s">
        <v>35</v>
      </c>
      <c r="G843" t="s">
        <v>65</v>
      </c>
      <c r="H843" t="s">
        <v>37</v>
      </c>
      <c r="I843">
        <v>1</v>
      </c>
      <c r="J843">
        <v>4896</v>
      </c>
      <c r="K843">
        <v>4896</v>
      </c>
      <c r="L843" t="s">
        <v>48</v>
      </c>
      <c r="M843">
        <v>0</v>
      </c>
      <c r="N843">
        <v>1466.25</v>
      </c>
    </row>
    <row r="844" spans="1:14" ht="14.25" customHeight="1" x14ac:dyDescent="0.3">
      <c r="A844">
        <v>1843</v>
      </c>
      <c r="B844" t="s">
        <v>302</v>
      </c>
      <c r="C844" t="s">
        <v>32</v>
      </c>
      <c r="D844" t="s">
        <v>40</v>
      </c>
      <c r="E844" t="s">
        <v>41</v>
      </c>
      <c r="F844" t="s">
        <v>51</v>
      </c>
      <c r="G844" t="s">
        <v>62</v>
      </c>
      <c r="H844" t="s">
        <v>47</v>
      </c>
      <c r="I844">
        <v>4</v>
      </c>
      <c r="J844">
        <v>25176</v>
      </c>
      <c r="K844">
        <v>85598.399999999994</v>
      </c>
      <c r="L844" t="s">
        <v>43</v>
      </c>
      <c r="M844">
        <v>15</v>
      </c>
      <c r="N844">
        <v>22233.119999999999</v>
      </c>
    </row>
    <row r="845" spans="1:14" ht="14.25" customHeight="1" x14ac:dyDescent="0.3">
      <c r="A845">
        <v>1844</v>
      </c>
      <c r="B845" t="s">
        <v>303</v>
      </c>
      <c r="C845" t="s">
        <v>44</v>
      </c>
      <c r="D845" t="s">
        <v>66</v>
      </c>
      <c r="E845" t="s">
        <v>34</v>
      </c>
      <c r="F845" t="s">
        <v>51</v>
      </c>
      <c r="G845" t="s">
        <v>63</v>
      </c>
      <c r="H845" t="s">
        <v>55</v>
      </c>
      <c r="I845">
        <v>3</v>
      </c>
      <c r="J845">
        <v>43018</v>
      </c>
      <c r="K845">
        <v>129054</v>
      </c>
      <c r="L845" t="s">
        <v>38</v>
      </c>
      <c r="M845">
        <v>0</v>
      </c>
      <c r="N845">
        <v>23934.95</v>
      </c>
    </row>
    <row r="846" spans="1:14" ht="14.25" customHeight="1" x14ac:dyDescent="0.3">
      <c r="A846">
        <v>1845</v>
      </c>
      <c r="B846" t="s">
        <v>303</v>
      </c>
      <c r="C846" t="s">
        <v>32</v>
      </c>
      <c r="D846" t="s">
        <v>66</v>
      </c>
      <c r="E846" t="s">
        <v>34</v>
      </c>
      <c r="F846" t="s">
        <v>51</v>
      </c>
      <c r="G846" t="s">
        <v>63</v>
      </c>
      <c r="H846" t="s">
        <v>42</v>
      </c>
      <c r="I846">
        <v>4</v>
      </c>
      <c r="J846">
        <v>49205</v>
      </c>
      <c r="K846">
        <v>177138</v>
      </c>
      <c r="L846" t="s">
        <v>48</v>
      </c>
      <c r="M846">
        <v>10</v>
      </c>
      <c r="N846">
        <v>48512.84</v>
      </c>
    </row>
    <row r="847" spans="1:14" ht="14.25" customHeight="1" x14ac:dyDescent="0.3">
      <c r="A847">
        <v>1846</v>
      </c>
      <c r="B847" t="s">
        <v>304</v>
      </c>
      <c r="C847" t="s">
        <v>32</v>
      </c>
      <c r="D847" t="s">
        <v>66</v>
      </c>
      <c r="E847" t="s">
        <v>34</v>
      </c>
      <c r="F847" t="s">
        <v>45</v>
      </c>
      <c r="G847" t="s">
        <v>57</v>
      </c>
      <c r="H847" t="s">
        <v>47</v>
      </c>
      <c r="I847">
        <v>2</v>
      </c>
      <c r="J847">
        <v>31903</v>
      </c>
      <c r="K847">
        <v>60615.7</v>
      </c>
      <c r="L847" t="s">
        <v>38</v>
      </c>
      <c r="M847">
        <v>5</v>
      </c>
      <c r="N847">
        <v>15687.34</v>
      </c>
    </row>
    <row r="848" spans="1:14" ht="14.25" customHeight="1" x14ac:dyDescent="0.3">
      <c r="A848">
        <v>1847</v>
      </c>
      <c r="B848" t="s">
        <v>304</v>
      </c>
      <c r="C848" t="s">
        <v>44</v>
      </c>
      <c r="D848" t="s">
        <v>33</v>
      </c>
      <c r="E848" t="s">
        <v>34</v>
      </c>
      <c r="F848" t="s">
        <v>45</v>
      </c>
      <c r="G848" t="s">
        <v>69</v>
      </c>
      <c r="H848" t="s">
        <v>47</v>
      </c>
      <c r="I848">
        <v>1</v>
      </c>
      <c r="J848">
        <v>41552</v>
      </c>
      <c r="K848">
        <v>39474.400000000001</v>
      </c>
      <c r="L848" t="s">
        <v>38</v>
      </c>
      <c r="M848">
        <v>5</v>
      </c>
      <c r="N848">
        <v>10419.030000000001</v>
      </c>
    </row>
    <row r="849" spans="1:14" ht="14.25" customHeight="1" x14ac:dyDescent="0.3">
      <c r="A849">
        <v>1848</v>
      </c>
      <c r="B849" t="s">
        <v>304</v>
      </c>
      <c r="C849" t="s">
        <v>39</v>
      </c>
      <c r="D849" t="s">
        <v>58</v>
      </c>
      <c r="E849" t="s">
        <v>54</v>
      </c>
      <c r="F849" t="s">
        <v>45</v>
      </c>
      <c r="G849" t="s">
        <v>57</v>
      </c>
      <c r="H849" t="s">
        <v>55</v>
      </c>
      <c r="I849">
        <v>2</v>
      </c>
      <c r="J849">
        <v>45883</v>
      </c>
      <c r="K849">
        <v>82589.399999999994</v>
      </c>
      <c r="L849" t="s">
        <v>43</v>
      </c>
      <c r="M849">
        <v>10</v>
      </c>
      <c r="N849">
        <v>11785.63</v>
      </c>
    </row>
    <row r="850" spans="1:14" ht="14.25" customHeight="1" x14ac:dyDescent="0.3">
      <c r="A850">
        <v>1849</v>
      </c>
      <c r="B850" t="s">
        <v>304</v>
      </c>
      <c r="C850" t="s">
        <v>32</v>
      </c>
      <c r="D850" t="s">
        <v>40</v>
      </c>
      <c r="E850" t="s">
        <v>41</v>
      </c>
      <c r="F850" t="s">
        <v>51</v>
      </c>
      <c r="G850" t="s">
        <v>63</v>
      </c>
      <c r="H850" t="s">
        <v>47</v>
      </c>
      <c r="I850">
        <v>5</v>
      </c>
      <c r="J850">
        <v>47150</v>
      </c>
      <c r="K850">
        <v>223962.5</v>
      </c>
      <c r="L850" t="s">
        <v>38</v>
      </c>
      <c r="M850">
        <v>5</v>
      </c>
      <c r="N850">
        <v>31471.53</v>
      </c>
    </row>
    <row r="851" spans="1:14" ht="14.25" customHeight="1" x14ac:dyDescent="0.3">
      <c r="A851">
        <v>1850</v>
      </c>
      <c r="B851" t="s">
        <v>304</v>
      </c>
      <c r="C851" t="s">
        <v>32</v>
      </c>
      <c r="D851" t="s">
        <v>33</v>
      </c>
      <c r="E851" t="s">
        <v>34</v>
      </c>
      <c r="F851" t="s">
        <v>51</v>
      </c>
      <c r="G851" t="s">
        <v>52</v>
      </c>
      <c r="H851" t="s">
        <v>42</v>
      </c>
      <c r="I851">
        <v>5</v>
      </c>
      <c r="J851">
        <v>20145</v>
      </c>
      <c r="K851">
        <v>100725</v>
      </c>
      <c r="L851" t="s">
        <v>38</v>
      </c>
      <c r="M851">
        <v>0</v>
      </c>
      <c r="N851">
        <v>28732.33</v>
      </c>
    </row>
    <row r="852" spans="1:14" ht="14.25" customHeight="1" x14ac:dyDescent="0.3">
      <c r="A852">
        <v>1851</v>
      </c>
      <c r="B852" t="s">
        <v>305</v>
      </c>
      <c r="C852" t="s">
        <v>44</v>
      </c>
      <c r="D852" t="s">
        <v>58</v>
      </c>
      <c r="E852" t="s">
        <v>54</v>
      </c>
      <c r="F852" t="s">
        <v>45</v>
      </c>
      <c r="G852" t="s">
        <v>57</v>
      </c>
      <c r="H852" t="s">
        <v>47</v>
      </c>
      <c r="I852">
        <v>2</v>
      </c>
      <c r="J852">
        <v>27063</v>
      </c>
      <c r="K852">
        <v>46007.1</v>
      </c>
      <c r="L852" t="s">
        <v>43</v>
      </c>
      <c r="M852">
        <v>15</v>
      </c>
      <c r="N852">
        <v>12786.97</v>
      </c>
    </row>
    <row r="853" spans="1:14" ht="14.25" customHeight="1" x14ac:dyDescent="0.3">
      <c r="A853">
        <v>1852</v>
      </c>
      <c r="B853" t="s">
        <v>305</v>
      </c>
      <c r="C853" t="s">
        <v>32</v>
      </c>
      <c r="D853" t="s">
        <v>33</v>
      </c>
      <c r="E853" t="s">
        <v>34</v>
      </c>
      <c r="F853" t="s">
        <v>45</v>
      </c>
      <c r="G853" t="s">
        <v>69</v>
      </c>
      <c r="H853" t="s">
        <v>55</v>
      </c>
      <c r="I853">
        <v>5</v>
      </c>
      <c r="J853">
        <v>25767</v>
      </c>
      <c r="K853">
        <v>122393.25</v>
      </c>
      <c r="L853" t="s">
        <v>43</v>
      </c>
      <c r="M853">
        <v>5</v>
      </c>
      <c r="N853">
        <v>21663.3</v>
      </c>
    </row>
    <row r="854" spans="1:14" ht="14.25" customHeight="1" x14ac:dyDescent="0.3">
      <c r="A854">
        <v>1853</v>
      </c>
      <c r="B854" t="s">
        <v>306</v>
      </c>
      <c r="C854" t="s">
        <v>39</v>
      </c>
      <c r="D854" t="s">
        <v>40</v>
      </c>
      <c r="E854" t="s">
        <v>41</v>
      </c>
      <c r="F854" t="s">
        <v>51</v>
      </c>
      <c r="G854" t="s">
        <v>52</v>
      </c>
      <c r="H854" t="s">
        <v>37</v>
      </c>
      <c r="I854">
        <v>2</v>
      </c>
      <c r="J854">
        <v>3807</v>
      </c>
      <c r="K854">
        <v>6852.6</v>
      </c>
      <c r="L854" t="s">
        <v>38</v>
      </c>
      <c r="M854">
        <v>10</v>
      </c>
      <c r="N854">
        <v>1762.67</v>
      </c>
    </row>
    <row r="855" spans="1:14" ht="14.25" customHeight="1" x14ac:dyDescent="0.3">
      <c r="A855">
        <v>1854</v>
      </c>
      <c r="B855" t="s">
        <v>306</v>
      </c>
      <c r="C855" t="s">
        <v>60</v>
      </c>
      <c r="D855" t="s">
        <v>66</v>
      </c>
      <c r="E855" t="s">
        <v>34</v>
      </c>
      <c r="F855" t="s">
        <v>51</v>
      </c>
      <c r="G855" t="s">
        <v>62</v>
      </c>
      <c r="H855" t="s">
        <v>42</v>
      </c>
      <c r="I855">
        <v>3</v>
      </c>
      <c r="J855">
        <v>40683</v>
      </c>
      <c r="K855">
        <v>115946.55</v>
      </c>
      <c r="L855" t="s">
        <v>43</v>
      </c>
      <c r="M855">
        <v>5</v>
      </c>
      <c r="N855">
        <v>32044.94</v>
      </c>
    </row>
    <row r="856" spans="1:14" ht="14.25" customHeight="1" x14ac:dyDescent="0.3">
      <c r="A856">
        <v>1855</v>
      </c>
      <c r="B856" t="s">
        <v>306</v>
      </c>
      <c r="C856" t="s">
        <v>44</v>
      </c>
      <c r="D856" t="s">
        <v>33</v>
      </c>
      <c r="E856" t="s">
        <v>34</v>
      </c>
      <c r="F856" t="s">
        <v>45</v>
      </c>
      <c r="G856" t="s">
        <v>69</v>
      </c>
      <c r="H856" t="s">
        <v>47</v>
      </c>
      <c r="I856">
        <v>5</v>
      </c>
      <c r="J856">
        <v>15824</v>
      </c>
      <c r="K856">
        <v>71208</v>
      </c>
      <c r="L856" t="s">
        <v>48</v>
      </c>
      <c r="M856">
        <v>10</v>
      </c>
      <c r="N856">
        <v>12702.38</v>
      </c>
    </row>
    <row r="857" spans="1:14" ht="14.25" customHeight="1" x14ac:dyDescent="0.3">
      <c r="A857">
        <v>1856</v>
      </c>
      <c r="B857" t="s">
        <v>307</v>
      </c>
      <c r="C857" t="s">
        <v>44</v>
      </c>
      <c r="D857" t="s">
        <v>53</v>
      </c>
      <c r="E857" t="s">
        <v>54</v>
      </c>
      <c r="F857" t="s">
        <v>45</v>
      </c>
      <c r="G857" t="s">
        <v>46</v>
      </c>
      <c r="H857" t="s">
        <v>37</v>
      </c>
      <c r="I857">
        <v>1</v>
      </c>
      <c r="J857">
        <v>24090</v>
      </c>
      <c r="K857">
        <v>22885.5</v>
      </c>
      <c r="L857" t="s">
        <v>38</v>
      </c>
      <c r="M857">
        <v>5</v>
      </c>
      <c r="N857">
        <v>2854.74</v>
      </c>
    </row>
    <row r="858" spans="1:14" ht="14.25" customHeight="1" x14ac:dyDescent="0.3">
      <c r="A858">
        <v>1857</v>
      </c>
      <c r="B858" t="s">
        <v>307</v>
      </c>
      <c r="C858" t="s">
        <v>44</v>
      </c>
      <c r="D858" t="s">
        <v>33</v>
      </c>
      <c r="E858" t="s">
        <v>34</v>
      </c>
      <c r="F858" t="s">
        <v>51</v>
      </c>
      <c r="G858" t="s">
        <v>63</v>
      </c>
      <c r="H858" t="s">
        <v>37</v>
      </c>
      <c r="I858">
        <v>4</v>
      </c>
      <c r="J858">
        <v>43311</v>
      </c>
      <c r="K858">
        <v>147257.4</v>
      </c>
      <c r="L858" t="s">
        <v>48</v>
      </c>
      <c r="M858">
        <v>15</v>
      </c>
      <c r="N858">
        <v>35788.67</v>
      </c>
    </row>
    <row r="859" spans="1:14" ht="14.25" customHeight="1" x14ac:dyDescent="0.3">
      <c r="A859">
        <v>1858</v>
      </c>
      <c r="B859" t="s">
        <v>307</v>
      </c>
      <c r="C859" t="s">
        <v>50</v>
      </c>
      <c r="D859" t="s">
        <v>40</v>
      </c>
      <c r="E859" t="s">
        <v>41</v>
      </c>
      <c r="F859" t="s">
        <v>45</v>
      </c>
      <c r="G859" t="s">
        <v>69</v>
      </c>
      <c r="H859" t="s">
        <v>37</v>
      </c>
      <c r="I859">
        <v>2</v>
      </c>
      <c r="J859">
        <v>33668</v>
      </c>
      <c r="K859">
        <v>63969.2</v>
      </c>
      <c r="L859" t="s">
        <v>48</v>
      </c>
      <c r="M859">
        <v>5</v>
      </c>
      <c r="N859">
        <v>8392.64</v>
      </c>
    </row>
    <row r="860" spans="1:14" ht="14.25" customHeight="1" x14ac:dyDescent="0.3">
      <c r="A860">
        <v>1859</v>
      </c>
      <c r="B860" t="s">
        <v>307</v>
      </c>
      <c r="C860" t="s">
        <v>44</v>
      </c>
      <c r="D860" t="s">
        <v>53</v>
      </c>
      <c r="E860" t="s">
        <v>54</v>
      </c>
      <c r="F860" t="s">
        <v>35</v>
      </c>
      <c r="G860" t="s">
        <v>67</v>
      </c>
      <c r="H860" t="s">
        <v>55</v>
      </c>
      <c r="I860">
        <v>1</v>
      </c>
      <c r="J860">
        <v>3401</v>
      </c>
      <c r="K860">
        <v>3401</v>
      </c>
      <c r="L860" t="s">
        <v>43</v>
      </c>
      <c r="M860">
        <v>0</v>
      </c>
      <c r="N860">
        <v>346.63</v>
      </c>
    </row>
    <row r="861" spans="1:14" ht="14.25" customHeight="1" x14ac:dyDescent="0.3">
      <c r="A861">
        <v>1860</v>
      </c>
      <c r="B861" t="s">
        <v>308</v>
      </c>
      <c r="C861" t="s">
        <v>50</v>
      </c>
      <c r="D861" t="s">
        <v>66</v>
      </c>
      <c r="E861" t="s">
        <v>34</v>
      </c>
      <c r="F861" t="s">
        <v>45</v>
      </c>
      <c r="G861" t="s">
        <v>46</v>
      </c>
      <c r="H861" t="s">
        <v>55</v>
      </c>
      <c r="I861">
        <v>1</v>
      </c>
      <c r="J861">
        <v>6654</v>
      </c>
      <c r="K861">
        <v>5988.6</v>
      </c>
      <c r="L861" t="s">
        <v>48</v>
      </c>
      <c r="M861">
        <v>10</v>
      </c>
      <c r="N861">
        <v>1043.8599999999999</v>
      </c>
    </row>
    <row r="862" spans="1:14" ht="14.25" customHeight="1" x14ac:dyDescent="0.3">
      <c r="A862">
        <v>1861</v>
      </c>
      <c r="B862" t="s">
        <v>308</v>
      </c>
      <c r="C862" t="s">
        <v>60</v>
      </c>
      <c r="D862" t="s">
        <v>53</v>
      </c>
      <c r="E862" t="s">
        <v>54</v>
      </c>
      <c r="F862" t="s">
        <v>51</v>
      </c>
      <c r="G862" t="s">
        <v>63</v>
      </c>
      <c r="H862" t="s">
        <v>55</v>
      </c>
      <c r="I862">
        <v>1</v>
      </c>
      <c r="J862">
        <v>33013</v>
      </c>
      <c r="K862">
        <v>33013</v>
      </c>
      <c r="L862" t="s">
        <v>61</v>
      </c>
      <c r="M862">
        <v>0</v>
      </c>
      <c r="N862">
        <v>4825.2700000000004</v>
      </c>
    </row>
    <row r="863" spans="1:14" ht="14.25" customHeight="1" x14ac:dyDescent="0.3">
      <c r="A863">
        <v>1862</v>
      </c>
      <c r="B863" t="s">
        <v>309</v>
      </c>
      <c r="C863" t="s">
        <v>44</v>
      </c>
      <c r="D863" t="s">
        <v>33</v>
      </c>
      <c r="E863" t="s">
        <v>34</v>
      </c>
      <c r="F863" t="s">
        <v>35</v>
      </c>
      <c r="G863" t="s">
        <v>67</v>
      </c>
      <c r="H863" t="s">
        <v>47</v>
      </c>
      <c r="I863">
        <v>3</v>
      </c>
      <c r="J863">
        <v>31751</v>
      </c>
      <c r="K863">
        <v>80965.05</v>
      </c>
      <c r="L863" t="s">
        <v>48</v>
      </c>
      <c r="M863">
        <v>15</v>
      </c>
      <c r="N863">
        <v>19030.46</v>
      </c>
    </row>
    <row r="864" spans="1:14" ht="14.25" customHeight="1" x14ac:dyDescent="0.3">
      <c r="A864">
        <v>1863</v>
      </c>
      <c r="B864" t="s">
        <v>309</v>
      </c>
      <c r="C864" t="s">
        <v>60</v>
      </c>
      <c r="D864" t="s">
        <v>66</v>
      </c>
      <c r="E864" t="s">
        <v>34</v>
      </c>
      <c r="F864" t="s">
        <v>35</v>
      </c>
      <c r="G864" t="s">
        <v>36</v>
      </c>
      <c r="H864" t="s">
        <v>37</v>
      </c>
      <c r="I864">
        <v>4</v>
      </c>
      <c r="J864">
        <v>23528</v>
      </c>
      <c r="K864">
        <v>89406.399999999994</v>
      </c>
      <c r="L864" t="s">
        <v>43</v>
      </c>
      <c r="M864">
        <v>5</v>
      </c>
      <c r="N864">
        <v>16706.13</v>
      </c>
    </row>
    <row r="865" spans="1:14" ht="14.25" customHeight="1" x14ac:dyDescent="0.3">
      <c r="A865">
        <v>1864</v>
      </c>
      <c r="B865" t="s">
        <v>310</v>
      </c>
      <c r="C865" t="s">
        <v>44</v>
      </c>
      <c r="D865" t="s">
        <v>58</v>
      </c>
      <c r="E865" t="s">
        <v>54</v>
      </c>
      <c r="F865" t="s">
        <v>45</v>
      </c>
      <c r="G865" t="s">
        <v>57</v>
      </c>
      <c r="H865" t="s">
        <v>42</v>
      </c>
      <c r="I865">
        <v>3</v>
      </c>
      <c r="J865">
        <v>10180</v>
      </c>
      <c r="K865">
        <v>30540</v>
      </c>
      <c r="L865" t="s">
        <v>48</v>
      </c>
      <c r="M865">
        <v>0</v>
      </c>
      <c r="N865">
        <v>8156.1</v>
      </c>
    </row>
    <row r="866" spans="1:14" ht="14.25" customHeight="1" x14ac:dyDescent="0.3">
      <c r="A866">
        <v>1865</v>
      </c>
      <c r="B866" t="s">
        <v>310</v>
      </c>
      <c r="C866" t="s">
        <v>44</v>
      </c>
      <c r="D866" t="s">
        <v>58</v>
      </c>
      <c r="E866" t="s">
        <v>54</v>
      </c>
      <c r="F866" t="s">
        <v>45</v>
      </c>
      <c r="G866" t="s">
        <v>46</v>
      </c>
      <c r="H866" t="s">
        <v>47</v>
      </c>
      <c r="I866">
        <v>5</v>
      </c>
      <c r="J866">
        <v>44841</v>
      </c>
      <c r="K866">
        <v>190574.25</v>
      </c>
      <c r="L866" t="s">
        <v>43</v>
      </c>
      <c r="M866">
        <v>15</v>
      </c>
      <c r="N866">
        <v>30105.69</v>
      </c>
    </row>
    <row r="867" spans="1:14" ht="14.25" customHeight="1" x14ac:dyDescent="0.3">
      <c r="A867">
        <v>1866</v>
      </c>
      <c r="B867" t="s">
        <v>310</v>
      </c>
      <c r="C867" t="s">
        <v>44</v>
      </c>
      <c r="D867" t="s">
        <v>40</v>
      </c>
      <c r="E867" t="s">
        <v>41</v>
      </c>
      <c r="F867" t="s">
        <v>51</v>
      </c>
      <c r="G867" t="s">
        <v>63</v>
      </c>
      <c r="H867" t="s">
        <v>37</v>
      </c>
      <c r="I867">
        <v>3</v>
      </c>
      <c r="J867">
        <v>17229</v>
      </c>
      <c r="K867">
        <v>49102.65</v>
      </c>
      <c r="L867" t="s">
        <v>43</v>
      </c>
      <c r="M867">
        <v>5</v>
      </c>
      <c r="N867">
        <v>10232.75</v>
      </c>
    </row>
    <row r="868" spans="1:14" ht="14.25" customHeight="1" x14ac:dyDescent="0.3">
      <c r="A868">
        <v>1867</v>
      </c>
      <c r="B868" t="s">
        <v>311</v>
      </c>
      <c r="C868" t="s">
        <v>32</v>
      </c>
      <c r="D868" t="s">
        <v>66</v>
      </c>
      <c r="E868" t="s">
        <v>34</v>
      </c>
      <c r="F868" t="s">
        <v>51</v>
      </c>
      <c r="G868" t="s">
        <v>63</v>
      </c>
      <c r="H868" t="s">
        <v>37</v>
      </c>
      <c r="I868">
        <v>4</v>
      </c>
      <c r="J868">
        <v>6216</v>
      </c>
      <c r="K868">
        <v>23620.799999999999</v>
      </c>
      <c r="L868" t="s">
        <v>43</v>
      </c>
      <c r="M868">
        <v>5</v>
      </c>
      <c r="N868">
        <v>3306.42</v>
      </c>
    </row>
    <row r="869" spans="1:14" ht="14.25" customHeight="1" x14ac:dyDescent="0.3">
      <c r="A869">
        <v>1868</v>
      </c>
      <c r="B869" t="s">
        <v>311</v>
      </c>
      <c r="C869" t="s">
        <v>50</v>
      </c>
      <c r="D869" t="s">
        <v>33</v>
      </c>
      <c r="E869" t="s">
        <v>34</v>
      </c>
      <c r="F869" t="s">
        <v>35</v>
      </c>
      <c r="G869" t="s">
        <v>65</v>
      </c>
      <c r="H869" t="s">
        <v>55</v>
      </c>
      <c r="I869">
        <v>3</v>
      </c>
      <c r="J869">
        <v>27151</v>
      </c>
      <c r="K869">
        <v>73307.7</v>
      </c>
      <c r="L869" t="s">
        <v>43</v>
      </c>
      <c r="M869">
        <v>10</v>
      </c>
      <c r="N869">
        <v>20878.169999999998</v>
      </c>
    </row>
    <row r="870" spans="1:14" ht="14.25" customHeight="1" x14ac:dyDescent="0.3">
      <c r="A870">
        <v>1869</v>
      </c>
      <c r="B870" t="s">
        <v>312</v>
      </c>
      <c r="C870" t="s">
        <v>32</v>
      </c>
      <c r="D870" t="s">
        <v>58</v>
      </c>
      <c r="E870" t="s">
        <v>54</v>
      </c>
      <c r="F870" t="s">
        <v>35</v>
      </c>
      <c r="G870" t="s">
        <v>36</v>
      </c>
      <c r="H870" t="s">
        <v>55</v>
      </c>
      <c r="I870">
        <v>4</v>
      </c>
      <c r="J870">
        <v>5328</v>
      </c>
      <c r="K870">
        <v>20246.400000000001</v>
      </c>
      <c r="L870" t="s">
        <v>43</v>
      </c>
      <c r="M870">
        <v>5</v>
      </c>
      <c r="N870">
        <v>2117.69</v>
      </c>
    </row>
    <row r="871" spans="1:14" ht="14.25" customHeight="1" x14ac:dyDescent="0.3">
      <c r="A871">
        <v>1870</v>
      </c>
      <c r="B871" t="s">
        <v>312</v>
      </c>
      <c r="C871" t="s">
        <v>50</v>
      </c>
      <c r="D871" t="s">
        <v>58</v>
      </c>
      <c r="E871" t="s">
        <v>54</v>
      </c>
      <c r="F871" t="s">
        <v>35</v>
      </c>
      <c r="G871" t="s">
        <v>36</v>
      </c>
      <c r="H871" t="s">
        <v>42</v>
      </c>
      <c r="I871">
        <v>4</v>
      </c>
      <c r="J871">
        <v>12465</v>
      </c>
      <c r="K871">
        <v>47367</v>
      </c>
      <c r="L871" t="s">
        <v>43</v>
      </c>
      <c r="M871">
        <v>5</v>
      </c>
      <c r="N871">
        <v>5386.71</v>
      </c>
    </row>
    <row r="872" spans="1:14" ht="14.25" customHeight="1" x14ac:dyDescent="0.3">
      <c r="A872">
        <v>1871</v>
      </c>
      <c r="B872" t="s">
        <v>312</v>
      </c>
      <c r="C872" t="s">
        <v>44</v>
      </c>
      <c r="D872" t="s">
        <v>33</v>
      </c>
      <c r="E872" t="s">
        <v>34</v>
      </c>
      <c r="F872" t="s">
        <v>35</v>
      </c>
      <c r="G872" t="s">
        <v>65</v>
      </c>
      <c r="H872" t="s">
        <v>42</v>
      </c>
      <c r="I872">
        <v>2</v>
      </c>
      <c r="J872">
        <v>45046</v>
      </c>
      <c r="K872">
        <v>90092</v>
      </c>
      <c r="L872" t="s">
        <v>43</v>
      </c>
      <c r="M872">
        <v>0</v>
      </c>
      <c r="N872">
        <v>11523.6</v>
      </c>
    </row>
    <row r="873" spans="1:14" ht="14.25" customHeight="1" x14ac:dyDescent="0.3">
      <c r="A873">
        <v>1872</v>
      </c>
      <c r="B873" t="s">
        <v>312</v>
      </c>
      <c r="C873" t="s">
        <v>60</v>
      </c>
      <c r="D873" t="s">
        <v>58</v>
      </c>
      <c r="E873" t="s">
        <v>54</v>
      </c>
      <c r="F873" t="s">
        <v>51</v>
      </c>
      <c r="G873" t="s">
        <v>62</v>
      </c>
      <c r="H873" t="s">
        <v>37</v>
      </c>
      <c r="I873">
        <v>3</v>
      </c>
      <c r="J873">
        <v>46924</v>
      </c>
      <c r="K873">
        <v>126694.8</v>
      </c>
      <c r="L873" t="s">
        <v>43</v>
      </c>
      <c r="M873">
        <v>10</v>
      </c>
      <c r="N873">
        <v>13794.92</v>
      </c>
    </row>
    <row r="874" spans="1:14" ht="14.25" customHeight="1" x14ac:dyDescent="0.3">
      <c r="A874">
        <v>1873</v>
      </c>
      <c r="B874" t="s">
        <v>312</v>
      </c>
      <c r="C874" t="s">
        <v>32</v>
      </c>
      <c r="D874" t="s">
        <v>66</v>
      </c>
      <c r="E874" t="s">
        <v>34</v>
      </c>
      <c r="F874" t="s">
        <v>45</v>
      </c>
      <c r="G874" t="s">
        <v>46</v>
      </c>
      <c r="H874" t="s">
        <v>37</v>
      </c>
      <c r="I874">
        <v>5</v>
      </c>
      <c r="J874">
        <v>37830</v>
      </c>
      <c r="K874">
        <v>179692.5</v>
      </c>
      <c r="L874" t="s">
        <v>38</v>
      </c>
      <c r="M874">
        <v>5</v>
      </c>
      <c r="N874">
        <v>42437.39</v>
      </c>
    </row>
    <row r="875" spans="1:14" ht="14.25" customHeight="1" x14ac:dyDescent="0.3">
      <c r="A875">
        <v>1874</v>
      </c>
      <c r="B875" t="s">
        <v>313</v>
      </c>
      <c r="C875" t="s">
        <v>44</v>
      </c>
      <c r="D875" t="s">
        <v>66</v>
      </c>
      <c r="E875" t="s">
        <v>34</v>
      </c>
      <c r="F875" t="s">
        <v>35</v>
      </c>
      <c r="G875" t="s">
        <v>65</v>
      </c>
      <c r="H875" t="s">
        <v>37</v>
      </c>
      <c r="I875">
        <v>1</v>
      </c>
      <c r="J875">
        <v>40560</v>
      </c>
      <c r="K875">
        <v>36504</v>
      </c>
      <c r="L875" t="s">
        <v>38</v>
      </c>
      <c r="M875">
        <v>10</v>
      </c>
      <c r="N875">
        <v>7024.57</v>
      </c>
    </row>
    <row r="876" spans="1:14" ht="14.25" customHeight="1" x14ac:dyDescent="0.3">
      <c r="A876">
        <v>1875</v>
      </c>
      <c r="B876" t="s">
        <v>313</v>
      </c>
      <c r="C876" t="s">
        <v>32</v>
      </c>
      <c r="D876" t="s">
        <v>40</v>
      </c>
      <c r="E876" t="s">
        <v>41</v>
      </c>
      <c r="F876" t="s">
        <v>35</v>
      </c>
      <c r="G876" t="s">
        <v>65</v>
      </c>
      <c r="H876" t="s">
        <v>37</v>
      </c>
      <c r="I876">
        <v>1</v>
      </c>
      <c r="J876">
        <v>45139</v>
      </c>
      <c r="K876">
        <v>38368.15</v>
      </c>
      <c r="L876" t="s">
        <v>61</v>
      </c>
      <c r="M876">
        <v>15</v>
      </c>
      <c r="N876">
        <v>7675.48</v>
      </c>
    </row>
    <row r="877" spans="1:14" ht="14.25" customHeight="1" x14ac:dyDescent="0.3">
      <c r="A877">
        <v>1876</v>
      </c>
      <c r="B877" t="s">
        <v>313</v>
      </c>
      <c r="C877" t="s">
        <v>50</v>
      </c>
      <c r="D877" t="s">
        <v>53</v>
      </c>
      <c r="E877" t="s">
        <v>54</v>
      </c>
      <c r="F877" t="s">
        <v>45</v>
      </c>
      <c r="G877" t="s">
        <v>46</v>
      </c>
      <c r="H877" t="s">
        <v>55</v>
      </c>
      <c r="I877">
        <v>3</v>
      </c>
      <c r="J877">
        <v>19827</v>
      </c>
      <c r="K877">
        <v>59481</v>
      </c>
      <c r="L877" t="s">
        <v>43</v>
      </c>
      <c r="M877">
        <v>0</v>
      </c>
      <c r="N877">
        <v>13315.57</v>
      </c>
    </row>
    <row r="878" spans="1:14" ht="14.25" customHeight="1" x14ac:dyDescent="0.3">
      <c r="A878">
        <v>1877</v>
      </c>
      <c r="B878" t="s">
        <v>313</v>
      </c>
      <c r="C878" t="s">
        <v>50</v>
      </c>
      <c r="D878" t="s">
        <v>33</v>
      </c>
      <c r="E878" t="s">
        <v>34</v>
      </c>
      <c r="F878" t="s">
        <v>51</v>
      </c>
      <c r="G878" t="s">
        <v>63</v>
      </c>
      <c r="H878" t="s">
        <v>47</v>
      </c>
      <c r="I878">
        <v>4</v>
      </c>
      <c r="J878">
        <v>18346</v>
      </c>
      <c r="K878">
        <v>73384</v>
      </c>
      <c r="L878" t="s">
        <v>61</v>
      </c>
      <c r="M878">
        <v>0</v>
      </c>
      <c r="N878">
        <v>10646.22</v>
      </c>
    </row>
    <row r="879" spans="1:14" ht="14.25" customHeight="1" x14ac:dyDescent="0.3">
      <c r="A879">
        <v>1878</v>
      </c>
      <c r="B879" t="s">
        <v>314</v>
      </c>
      <c r="C879" t="s">
        <v>32</v>
      </c>
      <c r="D879" t="s">
        <v>66</v>
      </c>
      <c r="E879" t="s">
        <v>34</v>
      </c>
      <c r="F879" t="s">
        <v>35</v>
      </c>
      <c r="G879" t="s">
        <v>36</v>
      </c>
      <c r="H879" t="s">
        <v>55</v>
      </c>
      <c r="I879">
        <v>1</v>
      </c>
      <c r="J879">
        <v>5410</v>
      </c>
      <c r="K879">
        <v>4869</v>
      </c>
      <c r="L879" t="s">
        <v>38</v>
      </c>
      <c r="M879">
        <v>10</v>
      </c>
      <c r="N879">
        <v>637.15</v>
      </c>
    </row>
    <row r="880" spans="1:14" ht="14.25" customHeight="1" x14ac:dyDescent="0.3">
      <c r="A880">
        <v>1879</v>
      </c>
      <c r="B880" t="s">
        <v>314</v>
      </c>
      <c r="C880" t="s">
        <v>44</v>
      </c>
      <c r="D880" t="s">
        <v>53</v>
      </c>
      <c r="E880" t="s">
        <v>54</v>
      </c>
      <c r="F880" t="s">
        <v>35</v>
      </c>
      <c r="G880" t="s">
        <v>67</v>
      </c>
      <c r="H880" t="s">
        <v>37</v>
      </c>
      <c r="I880">
        <v>1</v>
      </c>
      <c r="J880">
        <v>19491</v>
      </c>
      <c r="K880">
        <v>18516.45</v>
      </c>
      <c r="L880" t="s">
        <v>38</v>
      </c>
      <c r="M880">
        <v>5</v>
      </c>
      <c r="N880">
        <v>2855.86</v>
      </c>
    </row>
    <row r="881" spans="1:14" ht="14.25" customHeight="1" x14ac:dyDescent="0.3">
      <c r="A881">
        <v>1880</v>
      </c>
      <c r="B881" t="s">
        <v>314</v>
      </c>
      <c r="C881" t="s">
        <v>50</v>
      </c>
      <c r="D881" t="s">
        <v>40</v>
      </c>
      <c r="E881" t="s">
        <v>41</v>
      </c>
      <c r="F881" t="s">
        <v>51</v>
      </c>
      <c r="G881" t="s">
        <v>63</v>
      </c>
      <c r="H881" t="s">
        <v>37</v>
      </c>
      <c r="I881">
        <v>1</v>
      </c>
      <c r="J881">
        <v>33671</v>
      </c>
      <c r="K881">
        <v>28620.35</v>
      </c>
      <c r="L881" t="s">
        <v>48</v>
      </c>
      <c r="M881">
        <v>15</v>
      </c>
      <c r="N881">
        <v>7739.38</v>
      </c>
    </row>
    <row r="882" spans="1:14" ht="14.25" customHeight="1" x14ac:dyDescent="0.3">
      <c r="A882">
        <v>1881</v>
      </c>
      <c r="B882" t="s">
        <v>314</v>
      </c>
      <c r="C882" t="s">
        <v>39</v>
      </c>
      <c r="D882" t="s">
        <v>66</v>
      </c>
      <c r="E882" t="s">
        <v>34</v>
      </c>
      <c r="F882" t="s">
        <v>35</v>
      </c>
      <c r="G882" t="s">
        <v>67</v>
      </c>
      <c r="H882" t="s">
        <v>42</v>
      </c>
      <c r="I882">
        <v>2</v>
      </c>
      <c r="J882">
        <v>18177</v>
      </c>
      <c r="K882">
        <v>32718.6</v>
      </c>
      <c r="L882" t="s">
        <v>43</v>
      </c>
      <c r="M882">
        <v>10</v>
      </c>
      <c r="N882">
        <v>3823.7</v>
      </c>
    </row>
    <row r="883" spans="1:14" ht="14.25" customHeight="1" x14ac:dyDescent="0.3">
      <c r="A883">
        <v>1882</v>
      </c>
      <c r="B883" t="s">
        <v>314</v>
      </c>
      <c r="C883" t="s">
        <v>44</v>
      </c>
      <c r="D883" t="s">
        <v>66</v>
      </c>
      <c r="E883" t="s">
        <v>34</v>
      </c>
      <c r="F883" t="s">
        <v>51</v>
      </c>
      <c r="G883" t="s">
        <v>63</v>
      </c>
      <c r="H883" t="s">
        <v>37</v>
      </c>
      <c r="I883">
        <v>5</v>
      </c>
      <c r="J883">
        <v>41656</v>
      </c>
      <c r="K883">
        <v>197866</v>
      </c>
      <c r="L883" t="s">
        <v>43</v>
      </c>
      <c r="M883">
        <v>5</v>
      </c>
      <c r="N883">
        <v>44832.92</v>
      </c>
    </row>
    <row r="884" spans="1:14" ht="14.25" customHeight="1" x14ac:dyDescent="0.3">
      <c r="A884">
        <v>1883</v>
      </c>
      <c r="B884" t="s">
        <v>315</v>
      </c>
      <c r="C884" t="s">
        <v>32</v>
      </c>
      <c r="D884" t="s">
        <v>66</v>
      </c>
      <c r="E884" t="s">
        <v>34</v>
      </c>
      <c r="F884" t="s">
        <v>45</v>
      </c>
      <c r="G884" t="s">
        <v>57</v>
      </c>
      <c r="H884" t="s">
        <v>47</v>
      </c>
      <c r="I884">
        <v>4</v>
      </c>
      <c r="J884">
        <v>10200</v>
      </c>
      <c r="K884">
        <v>38760</v>
      </c>
      <c r="L884" t="s">
        <v>61</v>
      </c>
      <c r="M884">
        <v>5</v>
      </c>
      <c r="N884">
        <v>4457.82</v>
      </c>
    </row>
    <row r="885" spans="1:14" ht="14.25" customHeight="1" x14ac:dyDescent="0.3">
      <c r="A885">
        <v>1884</v>
      </c>
      <c r="B885" t="s">
        <v>315</v>
      </c>
      <c r="C885" t="s">
        <v>32</v>
      </c>
      <c r="D885" t="s">
        <v>66</v>
      </c>
      <c r="E885" t="s">
        <v>34</v>
      </c>
      <c r="F885" t="s">
        <v>51</v>
      </c>
      <c r="G885" t="s">
        <v>52</v>
      </c>
      <c r="H885" t="s">
        <v>47</v>
      </c>
      <c r="I885">
        <v>1</v>
      </c>
      <c r="J885">
        <v>7500</v>
      </c>
      <c r="K885">
        <v>7500</v>
      </c>
      <c r="L885" t="s">
        <v>43</v>
      </c>
      <c r="M885">
        <v>0</v>
      </c>
      <c r="N885">
        <v>1259.49</v>
      </c>
    </row>
    <row r="886" spans="1:14" ht="14.25" customHeight="1" x14ac:dyDescent="0.3">
      <c r="A886">
        <v>1885</v>
      </c>
      <c r="B886" t="s">
        <v>315</v>
      </c>
      <c r="C886" t="s">
        <v>39</v>
      </c>
      <c r="D886" t="s">
        <v>40</v>
      </c>
      <c r="E886" t="s">
        <v>41</v>
      </c>
      <c r="F886" t="s">
        <v>45</v>
      </c>
      <c r="G886" t="s">
        <v>69</v>
      </c>
      <c r="H886" t="s">
        <v>55</v>
      </c>
      <c r="I886">
        <v>5</v>
      </c>
      <c r="J886">
        <v>27588</v>
      </c>
      <c r="K886">
        <v>137940</v>
      </c>
      <c r="L886" t="s">
        <v>61</v>
      </c>
      <c r="M886">
        <v>0</v>
      </c>
      <c r="N886">
        <v>35071.5</v>
      </c>
    </row>
    <row r="887" spans="1:14" ht="14.25" customHeight="1" x14ac:dyDescent="0.3">
      <c r="A887">
        <v>1886</v>
      </c>
      <c r="B887" t="s">
        <v>315</v>
      </c>
      <c r="C887" t="s">
        <v>32</v>
      </c>
      <c r="D887" t="s">
        <v>58</v>
      </c>
      <c r="E887" t="s">
        <v>54</v>
      </c>
      <c r="F887" t="s">
        <v>35</v>
      </c>
      <c r="G887" t="s">
        <v>36</v>
      </c>
      <c r="H887" t="s">
        <v>55</v>
      </c>
      <c r="I887">
        <v>5</v>
      </c>
      <c r="J887">
        <v>34043</v>
      </c>
      <c r="K887">
        <v>144682.75</v>
      </c>
      <c r="L887" t="s">
        <v>48</v>
      </c>
      <c r="M887">
        <v>15</v>
      </c>
      <c r="N887">
        <v>30630.44</v>
      </c>
    </row>
    <row r="888" spans="1:14" ht="14.25" customHeight="1" x14ac:dyDescent="0.3">
      <c r="A888">
        <v>1887</v>
      </c>
      <c r="B888" t="s">
        <v>316</v>
      </c>
      <c r="C888" t="s">
        <v>50</v>
      </c>
      <c r="D888" t="s">
        <v>58</v>
      </c>
      <c r="E888" t="s">
        <v>54</v>
      </c>
      <c r="F888" t="s">
        <v>45</v>
      </c>
      <c r="G888" t="s">
        <v>57</v>
      </c>
      <c r="H888" t="s">
        <v>55</v>
      </c>
      <c r="I888">
        <v>4</v>
      </c>
      <c r="J888">
        <v>26023</v>
      </c>
      <c r="K888">
        <v>98887.4</v>
      </c>
      <c r="L888" t="s">
        <v>43</v>
      </c>
      <c r="M888">
        <v>5</v>
      </c>
      <c r="N888">
        <v>14774.98</v>
      </c>
    </row>
    <row r="889" spans="1:14" ht="14.25" customHeight="1" x14ac:dyDescent="0.3">
      <c r="A889">
        <v>1888</v>
      </c>
      <c r="B889" t="s">
        <v>316</v>
      </c>
      <c r="C889" t="s">
        <v>60</v>
      </c>
      <c r="D889" t="s">
        <v>58</v>
      </c>
      <c r="E889" t="s">
        <v>54</v>
      </c>
      <c r="F889" t="s">
        <v>45</v>
      </c>
      <c r="G889" t="s">
        <v>46</v>
      </c>
      <c r="H889" t="s">
        <v>42</v>
      </c>
      <c r="I889">
        <v>5</v>
      </c>
      <c r="J889">
        <v>8405</v>
      </c>
      <c r="K889">
        <v>42025</v>
      </c>
      <c r="L889" t="s">
        <v>48</v>
      </c>
      <c r="M889">
        <v>0</v>
      </c>
      <c r="N889">
        <v>10626.53</v>
      </c>
    </row>
    <row r="890" spans="1:14" ht="14.25" customHeight="1" x14ac:dyDescent="0.3">
      <c r="A890">
        <v>1889</v>
      </c>
      <c r="B890" t="s">
        <v>316</v>
      </c>
      <c r="C890" t="s">
        <v>39</v>
      </c>
      <c r="D890" t="s">
        <v>53</v>
      </c>
      <c r="E890" t="s">
        <v>54</v>
      </c>
      <c r="F890" t="s">
        <v>45</v>
      </c>
      <c r="G890" t="s">
        <v>57</v>
      </c>
      <c r="H890" t="s">
        <v>55</v>
      </c>
      <c r="I890">
        <v>1</v>
      </c>
      <c r="J890">
        <v>20859</v>
      </c>
      <c r="K890">
        <v>19816.05</v>
      </c>
      <c r="L890" t="s">
        <v>48</v>
      </c>
      <c r="M890">
        <v>5</v>
      </c>
      <c r="N890">
        <v>4238.91</v>
      </c>
    </row>
    <row r="891" spans="1:14" ht="14.25" customHeight="1" x14ac:dyDescent="0.3">
      <c r="A891">
        <v>1890</v>
      </c>
      <c r="B891" t="s">
        <v>316</v>
      </c>
      <c r="C891" t="s">
        <v>60</v>
      </c>
      <c r="D891" t="s">
        <v>53</v>
      </c>
      <c r="E891" t="s">
        <v>54</v>
      </c>
      <c r="F891" t="s">
        <v>45</v>
      </c>
      <c r="G891" t="s">
        <v>57</v>
      </c>
      <c r="H891" t="s">
        <v>47</v>
      </c>
      <c r="I891">
        <v>3</v>
      </c>
      <c r="J891">
        <v>5261</v>
      </c>
      <c r="K891">
        <v>14993.85</v>
      </c>
      <c r="L891" t="s">
        <v>38</v>
      </c>
      <c r="M891">
        <v>5</v>
      </c>
      <c r="N891">
        <v>3471.04</v>
      </c>
    </row>
    <row r="892" spans="1:14" ht="14.25" customHeight="1" x14ac:dyDescent="0.3">
      <c r="A892">
        <v>1891</v>
      </c>
      <c r="B892" t="s">
        <v>317</v>
      </c>
      <c r="C892" t="s">
        <v>44</v>
      </c>
      <c r="D892" t="s">
        <v>66</v>
      </c>
      <c r="E892" t="s">
        <v>34</v>
      </c>
      <c r="F892" t="s">
        <v>51</v>
      </c>
      <c r="G892" t="s">
        <v>63</v>
      </c>
      <c r="H892" t="s">
        <v>47</v>
      </c>
      <c r="I892">
        <v>3</v>
      </c>
      <c r="J892">
        <v>26917</v>
      </c>
      <c r="K892">
        <v>72675.899999999994</v>
      </c>
      <c r="L892" t="s">
        <v>38</v>
      </c>
      <c r="M892">
        <v>10</v>
      </c>
      <c r="N892">
        <v>8744.7099999999991</v>
      </c>
    </row>
    <row r="893" spans="1:14" ht="14.25" customHeight="1" x14ac:dyDescent="0.3">
      <c r="A893">
        <v>1892</v>
      </c>
      <c r="B893" t="s">
        <v>317</v>
      </c>
      <c r="C893" t="s">
        <v>39</v>
      </c>
      <c r="D893" t="s">
        <v>33</v>
      </c>
      <c r="E893" t="s">
        <v>34</v>
      </c>
      <c r="F893" t="s">
        <v>35</v>
      </c>
      <c r="G893" t="s">
        <v>65</v>
      </c>
      <c r="H893" t="s">
        <v>37</v>
      </c>
      <c r="I893">
        <v>2</v>
      </c>
      <c r="J893">
        <v>33777</v>
      </c>
      <c r="K893">
        <v>57420.9</v>
      </c>
      <c r="L893" t="s">
        <v>61</v>
      </c>
      <c r="M893">
        <v>15</v>
      </c>
      <c r="N893">
        <v>14160.72</v>
      </c>
    </row>
    <row r="894" spans="1:14" ht="14.25" customHeight="1" x14ac:dyDescent="0.3">
      <c r="A894">
        <v>1893</v>
      </c>
      <c r="B894" t="s">
        <v>317</v>
      </c>
      <c r="C894" t="s">
        <v>60</v>
      </c>
      <c r="D894" t="s">
        <v>33</v>
      </c>
      <c r="E894" t="s">
        <v>34</v>
      </c>
      <c r="F894" t="s">
        <v>51</v>
      </c>
      <c r="G894" t="s">
        <v>63</v>
      </c>
      <c r="H894" t="s">
        <v>55</v>
      </c>
      <c r="I894">
        <v>2</v>
      </c>
      <c r="J894">
        <v>47895</v>
      </c>
      <c r="K894">
        <v>95790</v>
      </c>
      <c r="L894" t="s">
        <v>43</v>
      </c>
      <c r="M894">
        <v>0</v>
      </c>
      <c r="N894">
        <v>15533.09</v>
      </c>
    </row>
    <row r="895" spans="1:14" ht="14.25" customHeight="1" x14ac:dyDescent="0.3">
      <c r="A895">
        <v>1894</v>
      </c>
      <c r="B895" t="s">
        <v>317</v>
      </c>
      <c r="C895" t="s">
        <v>32</v>
      </c>
      <c r="D895" t="s">
        <v>33</v>
      </c>
      <c r="E895" t="s">
        <v>34</v>
      </c>
      <c r="F895" t="s">
        <v>51</v>
      </c>
      <c r="G895" t="s">
        <v>62</v>
      </c>
      <c r="H895" t="s">
        <v>55</v>
      </c>
      <c r="I895">
        <v>3</v>
      </c>
      <c r="J895">
        <v>43721</v>
      </c>
      <c r="K895">
        <v>124604.85</v>
      </c>
      <c r="L895" t="s">
        <v>61</v>
      </c>
      <c r="M895">
        <v>5</v>
      </c>
      <c r="N895">
        <v>20619.87</v>
      </c>
    </row>
    <row r="896" spans="1:14" ht="14.25" customHeight="1" x14ac:dyDescent="0.3">
      <c r="A896">
        <v>1895</v>
      </c>
      <c r="B896" t="s">
        <v>318</v>
      </c>
      <c r="C896" t="s">
        <v>32</v>
      </c>
      <c r="D896" t="s">
        <v>40</v>
      </c>
      <c r="E896" t="s">
        <v>41</v>
      </c>
      <c r="F896" t="s">
        <v>45</v>
      </c>
      <c r="G896" t="s">
        <v>46</v>
      </c>
      <c r="H896" t="s">
        <v>55</v>
      </c>
      <c r="I896">
        <v>4</v>
      </c>
      <c r="J896">
        <v>19105</v>
      </c>
      <c r="K896">
        <v>68778</v>
      </c>
      <c r="L896" t="s">
        <v>61</v>
      </c>
      <c r="M896">
        <v>10</v>
      </c>
      <c r="N896">
        <v>12257.54</v>
      </c>
    </row>
    <row r="897" spans="1:14" ht="14.25" customHeight="1" x14ac:dyDescent="0.3">
      <c r="A897">
        <v>1896</v>
      </c>
      <c r="B897" t="s">
        <v>318</v>
      </c>
      <c r="C897" t="s">
        <v>44</v>
      </c>
      <c r="D897" t="s">
        <v>53</v>
      </c>
      <c r="E897" t="s">
        <v>54</v>
      </c>
      <c r="F897" t="s">
        <v>45</v>
      </c>
      <c r="G897" t="s">
        <v>69</v>
      </c>
      <c r="H897" t="s">
        <v>42</v>
      </c>
      <c r="I897">
        <v>3</v>
      </c>
      <c r="J897">
        <v>39174</v>
      </c>
      <c r="K897">
        <v>99893.7</v>
      </c>
      <c r="L897" t="s">
        <v>38</v>
      </c>
      <c r="M897">
        <v>15</v>
      </c>
      <c r="N897">
        <v>27355.66</v>
      </c>
    </row>
    <row r="898" spans="1:14" ht="14.25" customHeight="1" x14ac:dyDescent="0.3">
      <c r="A898">
        <v>1897</v>
      </c>
      <c r="B898" t="s">
        <v>318</v>
      </c>
      <c r="C898" t="s">
        <v>50</v>
      </c>
      <c r="D898" t="s">
        <v>40</v>
      </c>
      <c r="E898" t="s">
        <v>41</v>
      </c>
      <c r="F898" t="s">
        <v>45</v>
      </c>
      <c r="G898" t="s">
        <v>69</v>
      </c>
      <c r="H898" t="s">
        <v>37</v>
      </c>
      <c r="I898">
        <v>5</v>
      </c>
      <c r="J898">
        <v>48237</v>
      </c>
      <c r="K898">
        <v>229125.75</v>
      </c>
      <c r="L898" t="s">
        <v>61</v>
      </c>
      <c r="M898">
        <v>5</v>
      </c>
      <c r="N898">
        <v>52715.360000000001</v>
      </c>
    </row>
    <row r="899" spans="1:14" ht="14.25" customHeight="1" x14ac:dyDescent="0.3">
      <c r="A899">
        <v>1898</v>
      </c>
      <c r="B899" t="s">
        <v>319</v>
      </c>
      <c r="C899" t="s">
        <v>44</v>
      </c>
      <c r="D899" t="s">
        <v>33</v>
      </c>
      <c r="E899" t="s">
        <v>34</v>
      </c>
      <c r="F899" t="s">
        <v>35</v>
      </c>
      <c r="G899" t="s">
        <v>67</v>
      </c>
      <c r="H899" t="s">
        <v>55</v>
      </c>
      <c r="I899">
        <v>1</v>
      </c>
      <c r="J899">
        <v>2043</v>
      </c>
      <c r="K899">
        <v>1838.7</v>
      </c>
      <c r="L899" t="s">
        <v>48</v>
      </c>
      <c r="M899">
        <v>10</v>
      </c>
      <c r="N899">
        <v>406.5</v>
      </c>
    </row>
    <row r="900" spans="1:14" ht="14.25" customHeight="1" x14ac:dyDescent="0.3">
      <c r="A900">
        <v>1899</v>
      </c>
      <c r="B900" t="s">
        <v>319</v>
      </c>
      <c r="C900" t="s">
        <v>32</v>
      </c>
      <c r="D900" t="s">
        <v>33</v>
      </c>
      <c r="E900" t="s">
        <v>34</v>
      </c>
      <c r="F900" t="s">
        <v>51</v>
      </c>
      <c r="G900" t="s">
        <v>63</v>
      </c>
      <c r="H900" t="s">
        <v>37</v>
      </c>
      <c r="I900">
        <v>5</v>
      </c>
      <c r="J900">
        <v>1244</v>
      </c>
      <c r="K900">
        <v>5287</v>
      </c>
      <c r="L900" t="s">
        <v>48</v>
      </c>
      <c r="M900">
        <v>15</v>
      </c>
      <c r="N900">
        <v>1572.23</v>
      </c>
    </row>
    <row r="901" spans="1:14" ht="14.25" customHeight="1" x14ac:dyDescent="0.3">
      <c r="A901">
        <v>1900</v>
      </c>
      <c r="B901" t="s">
        <v>320</v>
      </c>
      <c r="C901" t="s">
        <v>32</v>
      </c>
      <c r="D901" t="s">
        <v>53</v>
      </c>
      <c r="E901" t="s">
        <v>54</v>
      </c>
      <c r="F901" t="s">
        <v>35</v>
      </c>
      <c r="G901" t="s">
        <v>65</v>
      </c>
      <c r="H901" t="s">
        <v>55</v>
      </c>
      <c r="I901">
        <v>1</v>
      </c>
      <c r="J901">
        <v>9632</v>
      </c>
      <c r="K901">
        <v>9632</v>
      </c>
      <c r="L901" t="s">
        <v>61</v>
      </c>
      <c r="M901">
        <v>0</v>
      </c>
      <c r="N901">
        <v>1876.63</v>
      </c>
    </row>
    <row r="902" spans="1:14" ht="14.25" customHeight="1" x14ac:dyDescent="0.3">
      <c r="A902">
        <v>1901</v>
      </c>
      <c r="B902" t="s">
        <v>320</v>
      </c>
      <c r="C902" t="s">
        <v>60</v>
      </c>
      <c r="D902" t="s">
        <v>58</v>
      </c>
      <c r="E902" t="s">
        <v>54</v>
      </c>
      <c r="F902" t="s">
        <v>51</v>
      </c>
      <c r="G902" t="s">
        <v>62</v>
      </c>
      <c r="H902" t="s">
        <v>42</v>
      </c>
      <c r="I902">
        <v>2</v>
      </c>
      <c r="J902">
        <v>36589</v>
      </c>
      <c r="K902">
        <v>73178</v>
      </c>
      <c r="L902" t="s">
        <v>48</v>
      </c>
      <c r="M902">
        <v>0</v>
      </c>
      <c r="N902">
        <v>16898.84</v>
      </c>
    </row>
    <row r="903" spans="1:14" ht="14.25" customHeight="1" x14ac:dyDescent="0.3">
      <c r="A903">
        <v>1902</v>
      </c>
      <c r="B903" t="s">
        <v>320</v>
      </c>
      <c r="C903" t="s">
        <v>39</v>
      </c>
      <c r="D903" t="s">
        <v>40</v>
      </c>
      <c r="E903" t="s">
        <v>41</v>
      </c>
      <c r="F903" t="s">
        <v>45</v>
      </c>
      <c r="G903" t="s">
        <v>69</v>
      </c>
      <c r="H903" t="s">
        <v>55</v>
      </c>
      <c r="I903">
        <v>4</v>
      </c>
      <c r="J903">
        <v>43005</v>
      </c>
      <c r="K903">
        <v>172020</v>
      </c>
      <c r="L903" t="s">
        <v>43</v>
      </c>
      <c r="M903">
        <v>0</v>
      </c>
      <c r="N903">
        <v>50777.32</v>
      </c>
    </row>
    <row r="904" spans="1:14" ht="14.25" customHeight="1" x14ac:dyDescent="0.3">
      <c r="A904">
        <v>1903</v>
      </c>
      <c r="B904" t="s">
        <v>320</v>
      </c>
      <c r="C904" t="s">
        <v>60</v>
      </c>
      <c r="D904" t="s">
        <v>53</v>
      </c>
      <c r="E904" t="s">
        <v>54</v>
      </c>
      <c r="F904" t="s">
        <v>35</v>
      </c>
      <c r="G904" t="s">
        <v>67</v>
      </c>
      <c r="H904" t="s">
        <v>47</v>
      </c>
      <c r="I904">
        <v>5</v>
      </c>
      <c r="J904">
        <v>37449</v>
      </c>
      <c r="K904">
        <v>159158.25</v>
      </c>
      <c r="L904" t="s">
        <v>38</v>
      </c>
      <c r="M904">
        <v>15</v>
      </c>
      <c r="N904">
        <v>20876.41</v>
      </c>
    </row>
    <row r="905" spans="1:14" ht="14.25" customHeight="1" x14ac:dyDescent="0.3">
      <c r="A905">
        <v>1904</v>
      </c>
      <c r="B905" t="s">
        <v>320</v>
      </c>
      <c r="C905" t="s">
        <v>39</v>
      </c>
      <c r="D905" t="s">
        <v>33</v>
      </c>
      <c r="E905" t="s">
        <v>34</v>
      </c>
      <c r="F905" t="s">
        <v>45</v>
      </c>
      <c r="G905" t="s">
        <v>69</v>
      </c>
      <c r="H905" t="s">
        <v>42</v>
      </c>
      <c r="I905">
        <v>3</v>
      </c>
      <c r="J905">
        <v>10827</v>
      </c>
      <c r="K905">
        <v>29232.9</v>
      </c>
      <c r="L905" t="s">
        <v>38</v>
      </c>
      <c r="M905">
        <v>10</v>
      </c>
      <c r="N905">
        <v>7560.53</v>
      </c>
    </row>
    <row r="906" spans="1:14" ht="14.25" customHeight="1" x14ac:dyDescent="0.3">
      <c r="A906">
        <v>1905</v>
      </c>
      <c r="B906" t="s">
        <v>321</v>
      </c>
      <c r="C906" t="s">
        <v>39</v>
      </c>
      <c r="D906" t="s">
        <v>40</v>
      </c>
      <c r="E906" t="s">
        <v>41</v>
      </c>
      <c r="F906" t="s">
        <v>35</v>
      </c>
      <c r="G906" t="s">
        <v>65</v>
      </c>
      <c r="H906" t="s">
        <v>42</v>
      </c>
      <c r="I906">
        <v>1</v>
      </c>
      <c r="J906">
        <v>32685</v>
      </c>
      <c r="K906">
        <v>32685</v>
      </c>
      <c r="L906" t="s">
        <v>48</v>
      </c>
      <c r="M906">
        <v>0</v>
      </c>
      <c r="N906">
        <v>6967.95</v>
      </c>
    </row>
    <row r="907" spans="1:14" ht="14.25" customHeight="1" x14ac:dyDescent="0.3">
      <c r="A907">
        <v>1906</v>
      </c>
      <c r="B907" t="s">
        <v>321</v>
      </c>
      <c r="C907" t="s">
        <v>44</v>
      </c>
      <c r="D907" t="s">
        <v>40</v>
      </c>
      <c r="E907" t="s">
        <v>41</v>
      </c>
      <c r="F907" t="s">
        <v>35</v>
      </c>
      <c r="G907" t="s">
        <v>36</v>
      </c>
      <c r="H907" t="s">
        <v>42</v>
      </c>
      <c r="I907">
        <v>2</v>
      </c>
      <c r="J907">
        <v>9311</v>
      </c>
      <c r="K907">
        <v>16759.8</v>
      </c>
      <c r="L907" t="s">
        <v>48</v>
      </c>
      <c r="M907">
        <v>10</v>
      </c>
      <c r="N907">
        <v>2383.37</v>
      </c>
    </row>
    <row r="908" spans="1:14" ht="14.25" customHeight="1" x14ac:dyDescent="0.3">
      <c r="A908">
        <v>1907</v>
      </c>
      <c r="B908" t="s">
        <v>322</v>
      </c>
      <c r="C908" t="s">
        <v>44</v>
      </c>
      <c r="D908" t="s">
        <v>33</v>
      </c>
      <c r="E908" t="s">
        <v>34</v>
      </c>
      <c r="F908" t="s">
        <v>35</v>
      </c>
      <c r="G908" t="s">
        <v>67</v>
      </c>
      <c r="H908" t="s">
        <v>37</v>
      </c>
      <c r="I908">
        <v>4</v>
      </c>
      <c r="J908">
        <v>7755</v>
      </c>
      <c r="K908">
        <v>31020</v>
      </c>
      <c r="L908" t="s">
        <v>48</v>
      </c>
      <c r="M908">
        <v>0</v>
      </c>
      <c r="N908">
        <v>4198.43</v>
      </c>
    </row>
    <row r="909" spans="1:14" ht="14.25" customHeight="1" x14ac:dyDescent="0.3">
      <c r="A909">
        <v>1908</v>
      </c>
      <c r="B909" t="s">
        <v>322</v>
      </c>
      <c r="C909" t="s">
        <v>39</v>
      </c>
      <c r="D909" t="s">
        <v>66</v>
      </c>
      <c r="E909" t="s">
        <v>34</v>
      </c>
      <c r="F909" t="s">
        <v>51</v>
      </c>
      <c r="G909" t="s">
        <v>52</v>
      </c>
      <c r="H909" t="s">
        <v>55</v>
      </c>
      <c r="I909">
        <v>3</v>
      </c>
      <c r="J909">
        <v>3825</v>
      </c>
      <c r="K909">
        <v>9753.75</v>
      </c>
      <c r="L909" t="s">
        <v>61</v>
      </c>
      <c r="M909">
        <v>15</v>
      </c>
      <c r="N909">
        <v>2190.4899999999998</v>
      </c>
    </row>
    <row r="910" spans="1:14" ht="14.25" customHeight="1" x14ac:dyDescent="0.3">
      <c r="A910">
        <v>1909</v>
      </c>
      <c r="B910" t="s">
        <v>322</v>
      </c>
      <c r="C910" t="s">
        <v>44</v>
      </c>
      <c r="D910" t="s">
        <v>40</v>
      </c>
      <c r="E910" t="s">
        <v>41</v>
      </c>
      <c r="F910" t="s">
        <v>35</v>
      </c>
      <c r="G910" t="s">
        <v>65</v>
      </c>
      <c r="H910" t="s">
        <v>47</v>
      </c>
      <c r="I910">
        <v>1</v>
      </c>
      <c r="J910">
        <v>26579</v>
      </c>
      <c r="K910">
        <v>25250.05</v>
      </c>
      <c r="L910" t="s">
        <v>38</v>
      </c>
      <c r="M910">
        <v>5</v>
      </c>
      <c r="N910">
        <v>3539.37</v>
      </c>
    </row>
    <row r="911" spans="1:14" ht="14.25" customHeight="1" x14ac:dyDescent="0.3">
      <c r="A911">
        <v>1910</v>
      </c>
      <c r="B911" t="s">
        <v>322</v>
      </c>
      <c r="C911" t="s">
        <v>60</v>
      </c>
      <c r="D911" t="s">
        <v>58</v>
      </c>
      <c r="E911" t="s">
        <v>54</v>
      </c>
      <c r="F911" t="s">
        <v>35</v>
      </c>
      <c r="G911" t="s">
        <v>67</v>
      </c>
      <c r="H911" t="s">
        <v>55</v>
      </c>
      <c r="I911">
        <v>1</v>
      </c>
      <c r="J911">
        <v>36581</v>
      </c>
      <c r="K911">
        <v>36581</v>
      </c>
      <c r="L911" t="s">
        <v>61</v>
      </c>
      <c r="M911">
        <v>0</v>
      </c>
      <c r="N911">
        <v>5928.96</v>
      </c>
    </row>
    <row r="912" spans="1:14" ht="14.25" customHeight="1" x14ac:dyDescent="0.3">
      <c r="A912">
        <v>1911</v>
      </c>
      <c r="B912" t="s">
        <v>322</v>
      </c>
      <c r="C912" t="s">
        <v>44</v>
      </c>
      <c r="D912" t="s">
        <v>40</v>
      </c>
      <c r="E912" t="s">
        <v>41</v>
      </c>
      <c r="F912" t="s">
        <v>35</v>
      </c>
      <c r="G912" t="s">
        <v>36</v>
      </c>
      <c r="H912" t="s">
        <v>37</v>
      </c>
      <c r="I912">
        <v>5</v>
      </c>
      <c r="J912">
        <v>31508</v>
      </c>
      <c r="K912">
        <v>141786</v>
      </c>
      <c r="L912" t="s">
        <v>38</v>
      </c>
      <c r="M912">
        <v>10</v>
      </c>
      <c r="N912">
        <v>35471.370000000003</v>
      </c>
    </row>
    <row r="913" spans="1:14" ht="14.25" customHeight="1" x14ac:dyDescent="0.3">
      <c r="A913">
        <v>1912</v>
      </c>
      <c r="B913" t="s">
        <v>323</v>
      </c>
      <c r="C913" t="s">
        <v>32</v>
      </c>
      <c r="D913" t="s">
        <v>33</v>
      </c>
      <c r="E913" t="s">
        <v>34</v>
      </c>
      <c r="F913" t="s">
        <v>45</v>
      </c>
      <c r="G913" t="s">
        <v>46</v>
      </c>
      <c r="H913" t="s">
        <v>47</v>
      </c>
      <c r="I913">
        <v>5</v>
      </c>
      <c r="J913">
        <v>42729</v>
      </c>
      <c r="K913">
        <v>181598.25</v>
      </c>
      <c r="L913" t="s">
        <v>43</v>
      </c>
      <c r="M913">
        <v>15</v>
      </c>
      <c r="N913">
        <v>30834.85</v>
      </c>
    </row>
    <row r="914" spans="1:14" ht="14.25" customHeight="1" x14ac:dyDescent="0.3">
      <c r="A914">
        <v>1913</v>
      </c>
      <c r="B914" t="s">
        <v>323</v>
      </c>
      <c r="C914" t="s">
        <v>50</v>
      </c>
      <c r="D914" t="s">
        <v>66</v>
      </c>
      <c r="E914" t="s">
        <v>34</v>
      </c>
      <c r="F914" t="s">
        <v>35</v>
      </c>
      <c r="G914" t="s">
        <v>67</v>
      </c>
      <c r="H914" t="s">
        <v>37</v>
      </c>
      <c r="I914">
        <v>1</v>
      </c>
      <c r="J914">
        <v>19914</v>
      </c>
      <c r="K914">
        <v>18918.3</v>
      </c>
      <c r="L914" t="s">
        <v>48</v>
      </c>
      <c r="M914">
        <v>5</v>
      </c>
      <c r="N914">
        <v>3330.73</v>
      </c>
    </row>
    <row r="915" spans="1:14" ht="14.25" customHeight="1" x14ac:dyDescent="0.3">
      <c r="A915">
        <v>1914</v>
      </c>
      <c r="B915" t="s">
        <v>323</v>
      </c>
      <c r="C915" t="s">
        <v>60</v>
      </c>
      <c r="D915" t="s">
        <v>40</v>
      </c>
      <c r="E915" t="s">
        <v>41</v>
      </c>
      <c r="F915" t="s">
        <v>51</v>
      </c>
      <c r="G915" t="s">
        <v>63</v>
      </c>
      <c r="H915" t="s">
        <v>47</v>
      </c>
      <c r="I915">
        <v>3</v>
      </c>
      <c r="J915">
        <v>16056</v>
      </c>
      <c r="K915">
        <v>40942.800000000003</v>
      </c>
      <c r="L915" t="s">
        <v>48</v>
      </c>
      <c r="M915">
        <v>15</v>
      </c>
      <c r="N915">
        <v>7340.68</v>
      </c>
    </row>
    <row r="916" spans="1:14" ht="14.25" customHeight="1" x14ac:dyDescent="0.3">
      <c r="A916">
        <v>1915</v>
      </c>
      <c r="B916" t="s">
        <v>323</v>
      </c>
      <c r="C916" t="s">
        <v>44</v>
      </c>
      <c r="D916" t="s">
        <v>40</v>
      </c>
      <c r="E916" t="s">
        <v>41</v>
      </c>
      <c r="F916" t="s">
        <v>45</v>
      </c>
      <c r="G916" t="s">
        <v>69</v>
      </c>
      <c r="H916" t="s">
        <v>37</v>
      </c>
      <c r="I916">
        <v>5</v>
      </c>
      <c r="J916">
        <v>28626</v>
      </c>
      <c r="K916">
        <v>135973.5</v>
      </c>
      <c r="L916" t="s">
        <v>61</v>
      </c>
      <c r="M916">
        <v>5</v>
      </c>
      <c r="N916">
        <v>32145.87</v>
      </c>
    </row>
    <row r="917" spans="1:14" ht="14.25" customHeight="1" x14ac:dyDescent="0.3">
      <c r="A917">
        <v>1916</v>
      </c>
      <c r="B917" t="s">
        <v>324</v>
      </c>
      <c r="C917" t="s">
        <v>50</v>
      </c>
      <c r="D917" t="s">
        <v>40</v>
      </c>
      <c r="E917" t="s">
        <v>41</v>
      </c>
      <c r="F917" t="s">
        <v>45</v>
      </c>
      <c r="G917" t="s">
        <v>46</v>
      </c>
      <c r="H917" t="s">
        <v>55</v>
      </c>
      <c r="I917">
        <v>1</v>
      </c>
      <c r="J917">
        <v>26376</v>
      </c>
      <c r="K917">
        <v>22419.599999999999</v>
      </c>
      <c r="L917" t="s">
        <v>48</v>
      </c>
      <c r="M917">
        <v>15</v>
      </c>
      <c r="N917">
        <v>4495.5</v>
      </c>
    </row>
    <row r="918" spans="1:14" ht="14.25" customHeight="1" x14ac:dyDescent="0.3">
      <c r="A918">
        <v>1917</v>
      </c>
      <c r="B918" t="s">
        <v>324</v>
      </c>
      <c r="C918" t="s">
        <v>60</v>
      </c>
      <c r="D918" t="s">
        <v>40</v>
      </c>
      <c r="E918" t="s">
        <v>41</v>
      </c>
      <c r="F918" t="s">
        <v>45</v>
      </c>
      <c r="G918" t="s">
        <v>69</v>
      </c>
      <c r="H918" t="s">
        <v>37</v>
      </c>
      <c r="I918">
        <v>2</v>
      </c>
      <c r="J918">
        <v>12798</v>
      </c>
      <c r="K918">
        <v>25596</v>
      </c>
      <c r="L918" t="s">
        <v>61</v>
      </c>
      <c r="M918">
        <v>0</v>
      </c>
      <c r="N918">
        <v>5856.04</v>
      </c>
    </row>
    <row r="919" spans="1:14" ht="14.25" customHeight="1" x14ac:dyDescent="0.3">
      <c r="A919">
        <v>1918</v>
      </c>
      <c r="B919" t="s">
        <v>324</v>
      </c>
      <c r="C919" t="s">
        <v>60</v>
      </c>
      <c r="D919" t="s">
        <v>33</v>
      </c>
      <c r="E919" t="s">
        <v>34</v>
      </c>
      <c r="F919" t="s">
        <v>45</v>
      </c>
      <c r="G919" t="s">
        <v>57</v>
      </c>
      <c r="H919" t="s">
        <v>37</v>
      </c>
      <c r="I919">
        <v>3</v>
      </c>
      <c r="J919">
        <v>44029</v>
      </c>
      <c r="K919">
        <v>132087</v>
      </c>
      <c r="L919" t="s">
        <v>43</v>
      </c>
      <c r="M919">
        <v>0</v>
      </c>
      <c r="N919">
        <v>13401.11</v>
      </c>
    </row>
    <row r="920" spans="1:14" ht="14.25" customHeight="1" x14ac:dyDescent="0.3">
      <c r="A920">
        <v>1919</v>
      </c>
      <c r="B920" t="s">
        <v>324</v>
      </c>
      <c r="C920" t="s">
        <v>50</v>
      </c>
      <c r="D920" t="s">
        <v>40</v>
      </c>
      <c r="E920" t="s">
        <v>41</v>
      </c>
      <c r="F920" t="s">
        <v>45</v>
      </c>
      <c r="G920" t="s">
        <v>46</v>
      </c>
      <c r="H920" t="s">
        <v>37</v>
      </c>
      <c r="I920">
        <v>3</v>
      </c>
      <c r="J920">
        <v>42274</v>
      </c>
      <c r="K920">
        <v>114139.8</v>
      </c>
      <c r="L920" t="s">
        <v>43</v>
      </c>
      <c r="M920">
        <v>10</v>
      </c>
      <c r="N920">
        <v>17592.68</v>
      </c>
    </row>
    <row r="921" spans="1:14" ht="14.25" customHeight="1" x14ac:dyDescent="0.3">
      <c r="A921">
        <v>1920</v>
      </c>
      <c r="B921" t="s">
        <v>324</v>
      </c>
      <c r="C921" t="s">
        <v>39</v>
      </c>
      <c r="D921" t="s">
        <v>58</v>
      </c>
      <c r="E921" t="s">
        <v>54</v>
      </c>
      <c r="F921" t="s">
        <v>51</v>
      </c>
      <c r="G921" t="s">
        <v>62</v>
      </c>
      <c r="H921" t="s">
        <v>47</v>
      </c>
      <c r="I921">
        <v>5</v>
      </c>
      <c r="J921">
        <v>47012</v>
      </c>
      <c r="K921">
        <v>211554</v>
      </c>
      <c r="L921" t="s">
        <v>61</v>
      </c>
      <c r="M921">
        <v>10</v>
      </c>
      <c r="N921">
        <v>37615.300000000003</v>
      </c>
    </row>
    <row r="922" spans="1:14" ht="14.25" customHeight="1" x14ac:dyDescent="0.3">
      <c r="A922">
        <v>1921</v>
      </c>
      <c r="B922" t="s">
        <v>325</v>
      </c>
      <c r="C922" t="s">
        <v>39</v>
      </c>
      <c r="D922" t="s">
        <v>53</v>
      </c>
      <c r="E922" t="s">
        <v>54</v>
      </c>
      <c r="F922" t="s">
        <v>51</v>
      </c>
      <c r="G922" t="s">
        <v>63</v>
      </c>
      <c r="H922" t="s">
        <v>47</v>
      </c>
      <c r="I922">
        <v>5</v>
      </c>
      <c r="J922">
        <v>23141</v>
      </c>
      <c r="K922">
        <v>109919.75</v>
      </c>
      <c r="L922" t="s">
        <v>38</v>
      </c>
      <c r="M922">
        <v>5</v>
      </c>
      <c r="N922">
        <v>11440.48</v>
      </c>
    </row>
    <row r="923" spans="1:14" ht="14.25" customHeight="1" x14ac:dyDescent="0.3">
      <c r="A923">
        <v>1922</v>
      </c>
      <c r="B923" t="s">
        <v>325</v>
      </c>
      <c r="C923" t="s">
        <v>32</v>
      </c>
      <c r="D923" t="s">
        <v>66</v>
      </c>
      <c r="E923" t="s">
        <v>34</v>
      </c>
      <c r="F923" t="s">
        <v>35</v>
      </c>
      <c r="G923" t="s">
        <v>65</v>
      </c>
      <c r="H923" t="s">
        <v>55</v>
      </c>
      <c r="I923">
        <v>4</v>
      </c>
      <c r="J923">
        <v>47796</v>
      </c>
      <c r="K923">
        <v>191184</v>
      </c>
      <c r="L923" t="s">
        <v>48</v>
      </c>
      <c r="M923">
        <v>0</v>
      </c>
      <c r="N923">
        <v>33584.18</v>
      </c>
    </row>
    <row r="924" spans="1:14" ht="14.25" customHeight="1" x14ac:dyDescent="0.3">
      <c r="A924">
        <v>1923</v>
      </c>
      <c r="B924" t="s">
        <v>325</v>
      </c>
      <c r="C924" t="s">
        <v>39</v>
      </c>
      <c r="D924" t="s">
        <v>66</v>
      </c>
      <c r="E924" t="s">
        <v>34</v>
      </c>
      <c r="F924" t="s">
        <v>51</v>
      </c>
      <c r="G924" t="s">
        <v>62</v>
      </c>
      <c r="H924" t="s">
        <v>37</v>
      </c>
      <c r="I924">
        <v>4</v>
      </c>
      <c r="J924">
        <v>13458</v>
      </c>
      <c r="K924">
        <v>53832</v>
      </c>
      <c r="L924" t="s">
        <v>38</v>
      </c>
      <c r="M924">
        <v>0</v>
      </c>
      <c r="N924">
        <v>9052.25</v>
      </c>
    </row>
    <row r="925" spans="1:14" ht="14.25" customHeight="1" x14ac:dyDescent="0.3">
      <c r="A925">
        <v>1924</v>
      </c>
      <c r="B925" t="s">
        <v>326</v>
      </c>
      <c r="C925" t="s">
        <v>39</v>
      </c>
      <c r="D925" t="s">
        <v>58</v>
      </c>
      <c r="E925" t="s">
        <v>54</v>
      </c>
      <c r="F925" t="s">
        <v>35</v>
      </c>
      <c r="G925" t="s">
        <v>36</v>
      </c>
      <c r="H925" t="s">
        <v>42</v>
      </c>
      <c r="I925">
        <v>5</v>
      </c>
      <c r="J925">
        <v>48275</v>
      </c>
      <c r="K925">
        <v>217237.5</v>
      </c>
      <c r="L925" t="s">
        <v>43</v>
      </c>
      <c r="M925">
        <v>10</v>
      </c>
      <c r="N925">
        <v>55853.71</v>
      </c>
    </row>
    <row r="926" spans="1:14" ht="14.25" customHeight="1" x14ac:dyDescent="0.3">
      <c r="A926">
        <v>1925</v>
      </c>
      <c r="B926" t="s">
        <v>326</v>
      </c>
      <c r="C926" t="s">
        <v>60</v>
      </c>
      <c r="D926" t="s">
        <v>58</v>
      </c>
      <c r="E926" t="s">
        <v>54</v>
      </c>
      <c r="F926" t="s">
        <v>51</v>
      </c>
      <c r="G926" t="s">
        <v>52</v>
      </c>
      <c r="H926" t="s">
        <v>47</v>
      </c>
      <c r="I926">
        <v>3</v>
      </c>
      <c r="J926">
        <v>25140</v>
      </c>
      <c r="K926">
        <v>71649</v>
      </c>
      <c r="L926" t="s">
        <v>61</v>
      </c>
      <c r="M926">
        <v>5</v>
      </c>
      <c r="N926">
        <v>18859.509999999998</v>
      </c>
    </row>
    <row r="927" spans="1:14" ht="14.25" customHeight="1" x14ac:dyDescent="0.3">
      <c r="A927">
        <v>1926</v>
      </c>
      <c r="B927" t="s">
        <v>326</v>
      </c>
      <c r="C927" t="s">
        <v>32</v>
      </c>
      <c r="D927" t="s">
        <v>58</v>
      </c>
      <c r="E927" t="s">
        <v>54</v>
      </c>
      <c r="F927" t="s">
        <v>35</v>
      </c>
      <c r="G927" t="s">
        <v>36</v>
      </c>
      <c r="H927" t="s">
        <v>55</v>
      </c>
      <c r="I927">
        <v>1</v>
      </c>
      <c r="J927">
        <v>28177</v>
      </c>
      <c r="K927">
        <v>23950.45</v>
      </c>
      <c r="L927" t="s">
        <v>43</v>
      </c>
      <c r="M927">
        <v>15</v>
      </c>
      <c r="N927">
        <v>6410.05</v>
      </c>
    </row>
    <row r="928" spans="1:14" ht="14.25" customHeight="1" x14ac:dyDescent="0.3">
      <c r="A928">
        <v>1927</v>
      </c>
      <c r="B928" t="s">
        <v>326</v>
      </c>
      <c r="C928" t="s">
        <v>39</v>
      </c>
      <c r="D928" t="s">
        <v>33</v>
      </c>
      <c r="E928" t="s">
        <v>34</v>
      </c>
      <c r="F928" t="s">
        <v>35</v>
      </c>
      <c r="G928" t="s">
        <v>67</v>
      </c>
      <c r="H928" t="s">
        <v>47</v>
      </c>
      <c r="I928">
        <v>4</v>
      </c>
      <c r="J928">
        <v>3008</v>
      </c>
      <c r="K928">
        <v>10828.8</v>
      </c>
      <c r="L928" t="s">
        <v>38</v>
      </c>
      <c r="M928">
        <v>10</v>
      </c>
      <c r="N928">
        <v>2391.16</v>
      </c>
    </row>
    <row r="929" spans="1:14" ht="14.25" customHeight="1" x14ac:dyDescent="0.3">
      <c r="A929">
        <v>1928</v>
      </c>
      <c r="B929" t="s">
        <v>327</v>
      </c>
      <c r="C929" t="s">
        <v>50</v>
      </c>
      <c r="D929" t="s">
        <v>40</v>
      </c>
      <c r="E929" t="s">
        <v>41</v>
      </c>
      <c r="F929" t="s">
        <v>51</v>
      </c>
      <c r="G929" t="s">
        <v>63</v>
      </c>
      <c r="H929" t="s">
        <v>47</v>
      </c>
      <c r="I929">
        <v>3</v>
      </c>
      <c r="J929">
        <v>47373</v>
      </c>
      <c r="K929">
        <v>135013.04999999999</v>
      </c>
      <c r="L929" t="s">
        <v>43</v>
      </c>
      <c r="M929">
        <v>5</v>
      </c>
      <c r="N929">
        <v>13871.4</v>
      </c>
    </row>
    <row r="930" spans="1:14" ht="14.25" customHeight="1" x14ac:dyDescent="0.3">
      <c r="A930">
        <v>1929</v>
      </c>
      <c r="B930" t="s">
        <v>327</v>
      </c>
      <c r="C930" t="s">
        <v>50</v>
      </c>
      <c r="D930" t="s">
        <v>58</v>
      </c>
      <c r="E930" t="s">
        <v>54</v>
      </c>
      <c r="F930" t="s">
        <v>51</v>
      </c>
      <c r="G930" t="s">
        <v>63</v>
      </c>
      <c r="H930" t="s">
        <v>47</v>
      </c>
      <c r="I930">
        <v>4</v>
      </c>
      <c r="J930">
        <v>7706</v>
      </c>
      <c r="K930">
        <v>27741.599999999999</v>
      </c>
      <c r="L930" t="s">
        <v>38</v>
      </c>
      <c r="M930">
        <v>10</v>
      </c>
      <c r="N930">
        <v>5889.61</v>
      </c>
    </row>
    <row r="931" spans="1:14" ht="14.25" customHeight="1" x14ac:dyDescent="0.3">
      <c r="A931">
        <v>1930</v>
      </c>
      <c r="B931" t="s">
        <v>328</v>
      </c>
      <c r="C931" t="s">
        <v>60</v>
      </c>
      <c r="D931" t="s">
        <v>58</v>
      </c>
      <c r="E931" t="s">
        <v>54</v>
      </c>
      <c r="F931" t="s">
        <v>35</v>
      </c>
      <c r="G931" t="s">
        <v>36</v>
      </c>
      <c r="H931" t="s">
        <v>42</v>
      </c>
      <c r="I931">
        <v>2</v>
      </c>
      <c r="J931">
        <v>40955</v>
      </c>
      <c r="K931">
        <v>69623.5</v>
      </c>
      <c r="L931" t="s">
        <v>38</v>
      </c>
      <c r="M931">
        <v>15</v>
      </c>
      <c r="N931">
        <v>16847.13</v>
      </c>
    </row>
    <row r="932" spans="1:14" ht="14.25" customHeight="1" x14ac:dyDescent="0.3">
      <c r="A932">
        <v>1931</v>
      </c>
      <c r="B932" t="s">
        <v>328</v>
      </c>
      <c r="C932" t="s">
        <v>44</v>
      </c>
      <c r="D932" t="s">
        <v>33</v>
      </c>
      <c r="E932" t="s">
        <v>34</v>
      </c>
      <c r="F932" t="s">
        <v>45</v>
      </c>
      <c r="G932" t="s">
        <v>57</v>
      </c>
      <c r="H932" t="s">
        <v>55</v>
      </c>
      <c r="I932">
        <v>2</v>
      </c>
      <c r="J932">
        <v>14887</v>
      </c>
      <c r="K932">
        <v>29774</v>
      </c>
      <c r="L932" t="s">
        <v>43</v>
      </c>
      <c r="M932">
        <v>0</v>
      </c>
      <c r="N932">
        <v>3671.15</v>
      </c>
    </row>
    <row r="933" spans="1:14" ht="14.25" customHeight="1" x14ac:dyDescent="0.3">
      <c r="A933">
        <v>1932</v>
      </c>
      <c r="B933" t="s">
        <v>328</v>
      </c>
      <c r="C933" t="s">
        <v>39</v>
      </c>
      <c r="D933" t="s">
        <v>53</v>
      </c>
      <c r="E933" t="s">
        <v>54</v>
      </c>
      <c r="F933" t="s">
        <v>51</v>
      </c>
      <c r="G933" t="s">
        <v>62</v>
      </c>
      <c r="H933" t="s">
        <v>37</v>
      </c>
      <c r="I933">
        <v>1</v>
      </c>
      <c r="J933">
        <v>29691</v>
      </c>
      <c r="K933">
        <v>29691</v>
      </c>
      <c r="L933" t="s">
        <v>43</v>
      </c>
      <c r="M933">
        <v>0</v>
      </c>
      <c r="N933">
        <v>5258.5</v>
      </c>
    </row>
    <row r="934" spans="1:14" ht="14.25" customHeight="1" x14ac:dyDescent="0.3">
      <c r="A934">
        <v>1933</v>
      </c>
      <c r="B934" t="s">
        <v>328</v>
      </c>
      <c r="C934" t="s">
        <v>44</v>
      </c>
      <c r="D934" t="s">
        <v>66</v>
      </c>
      <c r="E934" t="s">
        <v>34</v>
      </c>
      <c r="F934" t="s">
        <v>45</v>
      </c>
      <c r="G934" t="s">
        <v>69</v>
      </c>
      <c r="H934" t="s">
        <v>55</v>
      </c>
      <c r="I934">
        <v>1</v>
      </c>
      <c r="J934">
        <v>2051</v>
      </c>
      <c r="K934">
        <v>2051</v>
      </c>
      <c r="L934" t="s">
        <v>38</v>
      </c>
      <c r="M934">
        <v>0</v>
      </c>
      <c r="N934">
        <v>210.78</v>
      </c>
    </row>
    <row r="935" spans="1:14" ht="14.25" customHeight="1" x14ac:dyDescent="0.3">
      <c r="A935">
        <v>1934</v>
      </c>
      <c r="B935" t="s">
        <v>328</v>
      </c>
      <c r="C935" t="s">
        <v>44</v>
      </c>
      <c r="D935" t="s">
        <v>53</v>
      </c>
      <c r="E935" t="s">
        <v>54</v>
      </c>
      <c r="F935" t="s">
        <v>45</v>
      </c>
      <c r="G935" t="s">
        <v>57</v>
      </c>
      <c r="H935" t="s">
        <v>42</v>
      </c>
      <c r="I935">
        <v>1</v>
      </c>
      <c r="J935">
        <v>44554</v>
      </c>
      <c r="K935">
        <v>40098.6</v>
      </c>
      <c r="L935" t="s">
        <v>38</v>
      </c>
      <c r="M935">
        <v>10</v>
      </c>
      <c r="N935">
        <v>5632.61</v>
      </c>
    </row>
    <row r="936" spans="1:14" ht="14.25" customHeight="1" x14ac:dyDescent="0.3">
      <c r="A936">
        <v>1935</v>
      </c>
      <c r="B936" t="s">
        <v>329</v>
      </c>
      <c r="C936" t="s">
        <v>32</v>
      </c>
      <c r="D936" t="s">
        <v>58</v>
      </c>
      <c r="E936" t="s">
        <v>54</v>
      </c>
      <c r="F936" t="s">
        <v>45</v>
      </c>
      <c r="G936" t="s">
        <v>46</v>
      </c>
      <c r="H936" t="s">
        <v>37</v>
      </c>
      <c r="I936">
        <v>4</v>
      </c>
      <c r="J936">
        <v>5190</v>
      </c>
      <c r="K936">
        <v>17646</v>
      </c>
      <c r="L936" t="s">
        <v>48</v>
      </c>
      <c r="M936">
        <v>15</v>
      </c>
      <c r="N936">
        <v>5195.3900000000003</v>
      </c>
    </row>
    <row r="937" spans="1:14" ht="14.25" customHeight="1" x14ac:dyDescent="0.3">
      <c r="A937">
        <v>1936</v>
      </c>
      <c r="B937" t="s">
        <v>329</v>
      </c>
      <c r="C937" t="s">
        <v>39</v>
      </c>
      <c r="D937" t="s">
        <v>53</v>
      </c>
      <c r="E937" t="s">
        <v>54</v>
      </c>
      <c r="F937" t="s">
        <v>51</v>
      </c>
      <c r="G937" t="s">
        <v>62</v>
      </c>
      <c r="H937" t="s">
        <v>55</v>
      </c>
      <c r="I937">
        <v>3</v>
      </c>
      <c r="J937">
        <v>29280</v>
      </c>
      <c r="K937">
        <v>79056</v>
      </c>
      <c r="L937" t="s">
        <v>61</v>
      </c>
      <c r="M937">
        <v>10</v>
      </c>
      <c r="N937">
        <v>15889.63</v>
      </c>
    </row>
    <row r="938" spans="1:14" ht="14.25" customHeight="1" x14ac:dyDescent="0.3">
      <c r="A938">
        <v>1937</v>
      </c>
      <c r="B938" t="s">
        <v>330</v>
      </c>
      <c r="C938" t="s">
        <v>39</v>
      </c>
      <c r="D938" t="s">
        <v>40</v>
      </c>
      <c r="E938" t="s">
        <v>41</v>
      </c>
      <c r="F938" t="s">
        <v>35</v>
      </c>
      <c r="G938" t="s">
        <v>36</v>
      </c>
      <c r="H938" t="s">
        <v>42</v>
      </c>
      <c r="I938">
        <v>5</v>
      </c>
      <c r="J938">
        <v>4471</v>
      </c>
      <c r="K938">
        <v>21237.25</v>
      </c>
      <c r="L938" t="s">
        <v>43</v>
      </c>
      <c r="M938">
        <v>5</v>
      </c>
      <c r="N938">
        <v>5378.18</v>
      </c>
    </row>
    <row r="939" spans="1:14" ht="14.25" customHeight="1" x14ac:dyDescent="0.3">
      <c r="A939">
        <v>1938</v>
      </c>
      <c r="B939" t="s">
        <v>330</v>
      </c>
      <c r="C939" t="s">
        <v>60</v>
      </c>
      <c r="D939" t="s">
        <v>40</v>
      </c>
      <c r="E939" t="s">
        <v>41</v>
      </c>
      <c r="F939" t="s">
        <v>35</v>
      </c>
      <c r="G939" t="s">
        <v>36</v>
      </c>
      <c r="H939" t="s">
        <v>47</v>
      </c>
      <c r="I939">
        <v>2</v>
      </c>
      <c r="J939">
        <v>44838</v>
      </c>
      <c r="K939">
        <v>89676</v>
      </c>
      <c r="L939" t="s">
        <v>43</v>
      </c>
      <c r="M939">
        <v>0</v>
      </c>
      <c r="N939">
        <v>22179.08</v>
      </c>
    </row>
    <row r="940" spans="1:14" ht="14.25" customHeight="1" x14ac:dyDescent="0.3">
      <c r="A940">
        <v>1939</v>
      </c>
      <c r="B940" t="s">
        <v>331</v>
      </c>
      <c r="C940" t="s">
        <v>60</v>
      </c>
      <c r="D940" t="s">
        <v>66</v>
      </c>
      <c r="E940" t="s">
        <v>34</v>
      </c>
      <c r="F940" t="s">
        <v>45</v>
      </c>
      <c r="G940" t="s">
        <v>69</v>
      </c>
      <c r="H940" t="s">
        <v>55</v>
      </c>
      <c r="I940">
        <v>1</v>
      </c>
      <c r="J940">
        <v>49337</v>
      </c>
      <c r="K940">
        <v>49337</v>
      </c>
      <c r="L940" t="s">
        <v>61</v>
      </c>
      <c r="M940">
        <v>0</v>
      </c>
      <c r="N940">
        <v>5386.7</v>
      </c>
    </row>
    <row r="941" spans="1:14" ht="14.25" customHeight="1" x14ac:dyDescent="0.3">
      <c r="A941">
        <v>1940</v>
      </c>
      <c r="B941" t="s">
        <v>331</v>
      </c>
      <c r="C941" t="s">
        <v>44</v>
      </c>
      <c r="D941" t="s">
        <v>66</v>
      </c>
      <c r="E941" t="s">
        <v>34</v>
      </c>
      <c r="F941" t="s">
        <v>51</v>
      </c>
      <c r="G941" t="s">
        <v>52</v>
      </c>
      <c r="H941" t="s">
        <v>37</v>
      </c>
      <c r="I941">
        <v>4</v>
      </c>
      <c r="J941">
        <v>48378</v>
      </c>
      <c r="K941">
        <v>164485.20000000001</v>
      </c>
      <c r="L941" t="s">
        <v>48</v>
      </c>
      <c r="M941">
        <v>15</v>
      </c>
      <c r="N941">
        <v>39417.120000000003</v>
      </c>
    </row>
    <row r="942" spans="1:14" ht="14.25" customHeight="1" x14ac:dyDescent="0.3">
      <c r="A942">
        <v>1941</v>
      </c>
      <c r="B942" t="s">
        <v>331</v>
      </c>
      <c r="C942" t="s">
        <v>32</v>
      </c>
      <c r="D942" t="s">
        <v>40</v>
      </c>
      <c r="E942" t="s">
        <v>41</v>
      </c>
      <c r="F942" t="s">
        <v>51</v>
      </c>
      <c r="G942" t="s">
        <v>63</v>
      </c>
      <c r="H942" t="s">
        <v>37</v>
      </c>
      <c r="I942">
        <v>5</v>
      </c>
      <c r="J942">
        <v>26187</v>
      </c>
      <c r="K942">
        <v>117841.5</v>
      </c>
      <c r="L942" t="s">
        <v>48</v>
      </c>
      <c r="M942">
        <v>10</v>
      </c>
      <c r="N942">
        <v>15962.1</v>
      </c>
    </row>
    <row r="943" spans="1:14" ht="14.25" customHeight="1" x14ac:dyDescent="0.3">
      <c r="A943">
        <v>1942</v>
      </c>
      <c r="B943" t="s">
        <v>331</v>
      </c>
      <c r="C943" t="s">
        <v>32</v>
      </c>
      <c r="D943" t="s">
        <v>53</v>
      </c>
      <c r="E943" t="s">
        <v>54</v>
      </c>
      <c r="F943" t="s">
        <v>51</v>
      </c>
      <c r="G943" t="s">
        <v>63</v>
      </c>
      <c r="H943" t="s">
        <v>55</v>
      </c>
      <c r="I943">
        <v>2</v>
      </c>
      <c r="J943">
        <v>1964</v>
      </c>
      <c r="K943">
        <v>3928</v>
      </c>
      <c r="L943" t="s">
        <v>61</v>
      </c>
      <c r="M943">
        <v>0</v>
      </c>
      <c r="N943">
        <v>589.14</v>
      </c>
    </row>
    <row r="944" spans="1:14" ht="14.25" customHeight="1" x14ac:dyDescent="0.3">
      <c r="A944">
        <v>1943</v>
      </c>
      <c r="B944" t="s">
        <v>331</v>
      </c>
      <c r="C944" t="s">
        <v>39</v>
      </c>
      <c r="D944" t="s">
        <v>53</v>
      </c>
      <c r="E944" t="s">
        <v>54</v>
      </c>
      <c r="F944" t="s">
        <v>51</v>
      </c>
      <c r="G944" t="s">
        <v>52</v>
      </c>
      <c r="H944" t="s">
        <v>47</v>
      </c>
      <c r="I944">
        <v>2</v>
      </c>
      <c r="J944">
        <v>14831</v>
      </c>
      <c r="K944">
        <v>29662</v>
      </c>
      <c r="L944" t="s">
        <v>43</v>
      </c>
      <c r="M944">
        <v>0</v>
      </c>
      <c r="N944">
        <v>4379.17</v>
      </c>
    </row>
    <row r="945" spans="1:14" ht="14.25" customHeight="1" x14ac:dyDescent="0.3">
      <c r="A945">
        <v>1944</v>
      </c>
      <c r="B945" t="s">
        <v>332</v>
      </c>
      <c r="C945" t="s">
        <v>60</v>
      </c>
      <c r="D945" t="s">
        <v>58</v>
      </c>
      <c r="E945" t="s">
        <v>54</v>
      </c>
      <c r="F945" t="s">
        <v>35</v>
      </c>
      <c r="G945" t="s">
        <v>65</v>
      </c>
      <c r="H945" t="s">
        <v>42</v>
      </c>
      <c r="I945">
        <v>2</v>
      </c>
      <c r="J945">
        <v>3567</v>
      </c>
      <c r="K945">
        <v>6063.9</v>
      </c>
      <c r="L945" t="s">
        <v>43</v>
      </c>
      <c r="M945">
        <v>15</v>
      </c>
      <c r="N945">
        <v>936.85</v>
      </c>
    </row>
    <row r="946" spans="1:14" ht="14.25" customHeight="1" x14ac:dyDescent="0.3">
      <c r="A946">
        <v>1945</v>
      </c>
      <c r="B946" t="s">
        <v>332</v>
      </c>
      <c r="C946" t="s">
        <v>60</v>
      </c>
      <c r="D946" t="s">
        <v>33</v>
      </c>
      <c r="E946" t="s">
        <v>34</v>
      </c>
      <c r="F946" t="s">
        <v>35</v>
      </c>
      <c r="G946" t="s">
        <v>36</v>
      </c>
      <c r="H946" t="s">
        <v>42</v>
      </c>
      <c r="I946">
        <v>3</v>
      </c>
      <c r="J946">
        <v>46017</v>
      </c>
      <c r="K946">
        <v>138051</v>
      </c>
      <c r="L946" t="s">
        <v>48</v>
      </c>
      <c r="M946">
        <v>0</v>
      </c>
      <c r="N946">
        <v>14869.14</v>
      </c>
    </row>
    <row r="947" spans="1:14" ht="14.25" customHeight="1" x14ac:dyDescent="0.3">
      <c r="A947">
        <v>1946</v>
      </c>
      <c r="B947" t="s">
        <v>332</v>
      </c>
      <c r="C947" t="s">
        <v>60</v>
      </c>
      <c r="D947" t="s">
        <v>53</v>
      </c>
      <c r="E947" t="s">
        <v>54</v>
      </c>
      <c r="F947" t="s">
        <v>51</v>
      </c>
      <c r="G947" t="s">
        <v>62</v>
      </c>
      <c r="H947" t="s">
        <v>42</v>
      </c>
      <c r="I947">
        <v>3</v>
      </c>
      <c r="J947">
        <v>6838</v>
      </c>
      <c r="K947">
        <v>19488.3</v>
      </c>
      <c r="L947" t="s">
        <v>48</v>
      </c>
      <c r="M947">
        <v>5</v>
      </c>
      <c r="N947">
        <v>3356.07</v>
      </c>
    </row>
    <row r="948" spans="1:14" ht="14.25" customHeight="1" x14ac:dyDescent="0.3">
      <c r="A948">
        <v>1947</v>
      </c>
      <c r="B948" t="s">
        <v>333</v>
      </c>
      <c r="C948" t="s">
        <v>44</v>
      </c>
      <c r="D948" t="s">
        <v>66</v>
      </c>
      <c r="E948" t="s">
        <v>34</v>
      </c>
      <c r="F948" t="s">
        <v>35</v>
      </c>
      <c r="G948" t="s">
        <v>65</v>
      </c>
      <c r="H948" t="s">
        <v>47</v>
      </c>
      <c r="I948">
        <v>1</v>
      </c>
      <c r="J948">
        <v>23510</v>
      </c>
      <c r="K948">
        <v>21159</v>
      </c>
      <c r="L948" t="s">
        <v>43</v>
      </c>
      <c r="M948">
        <v>10</v>
      </c>
      <c r="N948">
        <v>5842.83</v>
      </c>
    </row>
    <row r="949" spans="1:14" ht="14.25" customHeight="1" x14ac:dyDescent="0.3">
      <c r="A949">
        <v>1948</v>
      </c>
      <c r="B949" t="s">
        <v>333</v>
      </c>
      <c r="C949" t="s">
        <v>50</v>
      </c>
      <c r="D949" t="s">
        <v>58</v>
      </c>
      <c r="E949" t="s">
        <v>54</v>
      </c>
      <c r="F949" t="s">
        <v>45</v>
      </c>
      <c r="G949" t="s">
        <v>57</v>
      </c>
      <c r="H949" t="s">
        <v>47</v>
      </c>
      <c r="I949">
        <v>4</v>
      </c>
      <c r="J949">
        <v>3677</v>
      </c>
      <c r="K949">
        <v>14708</v>
      </c>
      <c r="L949" t="s">
        <v>48</v>
      </c>
      <c r="M949">
        <v>0</v>
      </c>
      <c r="N949">
        <v>2646.89</v>
      </c>
    </row>
    <row r="950" spans="1:14" ht="14.25" customHeight="1" x14ac:dyDescent="0.3">
      <c r="A950">
        <v>1949</v>
      </c>
      <c r="B950" t="s">
        <v>334</v>
      </c>
      <c r="C950" t="s">
        <v>50</v>
      </c>
      <c r="D950" t="s">
        <v>66</v>
      </c>
      <c r="E950" t="s">
        <v>34</v>
      </c>
      <c r="F950" t="s">
        <v>35</v>
      </c>
      <c r="G950" t="s">
        <v>36</v>
      </c>
      <c r="H950" t="s">
        <v>42</v>
      </c>
      <c r="I950">
        <v>4</v>
      </c>
      <c r="J950">
        <v>38901</v>
      </c>
      <c r="K950">
        <v>155604</v>
      </c>
      <c r="L950" t="s">
        <v>61</v>
      </c>
      <c r="M950">
        <v>0</v>
      </c>
      <c r="N950">
        <v>32553.94</v>
      </c>
    </row>
    <row r="951" spans="1:14" ht="14.25" customHeight="1" x14ac:dyDescent="0.3">
      <c r="A951">
        <v>1950</v>
      </c>
      <c r="B951" t="s">
        <v>334</v>
      </c>
      <c r="C951" t="s">
        <v>39</v>
      </c>
      <c r="D951" t="s">
        <v>40</v>
      </c>
      <c r="E951" t="s">
        <v>41</v>
      </c>
      <c r="F951" t="s">
        <v>45</v>
      </c>
      <c r="G951" t="s">
        <v>57</v>
      </c>
      <c r="H951" t="s">
        <v>47</v>
      </c>
      <c r="I951">
        <v>3</v>
      </c>
      <c r="J951">
        <v>7523</v>
      </c>
      <c r="K951">
        <v>22569</v>
      </c>
      <c r="L951" t="s">
        <v>43</v>
      </c>
      <c r="M951">
        <v>0</v>
      </c>
      <c r="N951">
        <v>6577.08</v>
      </c>
    </row>
    <row r="952" spans="1:14" ht="14.25" customHeight="1" x14ac:dyDescent="0.3">
      <c r="A952">
        <v>1951</v>
      </c>
      <c r="B952" t="s">
        <v>334</v>
      </c>
      <c r="C952" t="s">
        <v>50</v>
      </c>
      <c r="D952" t="s">
        <v>58</v>
      </c>
      <c r="E952" t="s">
        <v>54</v>
      </c>
      <c r="F952" t="s">
        <v>45</v>
      </c>
      <c r="G952" t="s">
        <v>46</v>
      </c>
      <c r="H952" t="s">
        <v>47</v>
      </c>
      <c r="I952">
        <v>3</v>
      </c>
      <c r="J952">
        <v>38360</v>
      </c>
      <c r="K952">
        <v>103572</v>
      </c>
      <c r="L952" t="s">
        <v>38</v>
      </c>
      <c r="M952">
        <v>10</v>
      </c>
      <c r="N952">
        <v>27009.33</v>
      </c>
    </row>
    <row r="953" spans="1:14" ht="14.25" customHeight="1" x14ac:dyDescent="0.3">
      <c r="A953">
        <v>1952</v>
      </c>
      <c r="B953" t="s">
        <v>334</v>
      </c>
      <c r="C953" t="s">
        <v>39</v>
      </c>
      <c r="D953" t="s">
        <v>33</v>
      </c>
      <c r="E953" t="s">
        <v>34</v>
      </c>
      <c r="F953" t="s">
        <v>51</v>
      </c>
      <c r="G953" t="s">
        <v>62</v>
      </c>
      <c r="H953" t="s">
        <v>55</v>
      </c>
      <c r="I953">
        <v>2</v>
      </c>
      <c r="J953">
        <v>38071</v>
      </c>
      <c r="K953">
        <v>68527.8</v>
      </c>
      <c r="L953" t="s">
        <v>61</v>
      </c>
      <c r="M953">
        <v>10</v>
      </c>
      <c r="N953">
        <v>18586.86</v>
      </c>
    </row>
    <row r="954" spans="1:14" ht="14.25" customHeight="1" x14ac:dyDescent="0.3">
      <c r="A954">
        <v>1953</v>
      </c>
      <c r="B954" t="s">
        <v>335</v>
      </c>
      <c r="C954" t="s">
        <v>44</v>
      </c>
      <c r="D954" t="s">
        <v>53</v>
      </c>
      <c r="E954" t="s">
        <v>54</v>
      </c>
      <c r="F954" t="s">
        <v>35</v>
      </c>
      <c r="G954" t="s">
        <v>36</v>
      </c>
      <c r="H954" t="s">
        <v>42</v>
      </c>
      <c r="I954">
        <v>3</v>
      </c>
      <c r="J954">
        <v>41341</v>
      </c>
      <c r="K954">
        <v>124023</v>
      </c>
      <c r="L954" t="s">
        <v>38</v>
      </c>
      <c r="M954">
        <v>0</v>
      </c>
      <c r="N954">
        <v>17474.169999999998</v>
      </c>
    </row>
    <row r="955" spans="1:14" ht="14.25" customHeight="1" x14ac:dyDescent="0.3">
      <c r="A955">
        <v>1954</v>
      </c>
      <c r="B955" t="s">
        <v>335</v>
      </c>
      <c r="C955" t="s">
        <v>60</v>
      </c>
      <c r="D955" t="s">
        <v>53</v>
      </c>
      <c r="E955" t="s">
        <v>54</v>
      </c>
      <c r="F955" t="s">
        <v>45</v>
      </c>
      <c r="G955" t="s">
        <v>57</v>
      </c>
      <c r="H955" t="s">
        <v>42</v>
      </c>
      <c r="I955">
        <v>4</v>
      </c>
      <c r="J955">
        <v>4312</v>
      </c>
      <c r="K955">
        <v>14660.8</v>
      </c>
      <c r="L955" t="s">
        <v>61</v>
      </c>
      <c r="M955">
        <v>15</v>
      </c>
      <c r="N955">
        <v>1964</v>
      </c>
    </row>
    <row r="956" spans="1:14" ht="14.25" customHeight="1" x14ac:dyDescent="0.3">
      <c r="A956">
        <v>1955</v>
      </c>
      <c r="B956" t="s">
        <v>335</v>
      </c>
      <c r="C956" t="s">
        <v>39</v>
      </c>
      <c r="D956" t="s">
        <v>40</v>
      </c>
      <c r="E956" t="s">
        <v>41</v>
      </c>
      <c r="F956" t="s">
        <v>51</v>
      </c>
      <c r="G956" t="s">
        <v>62</v>
      </c>
      <c r="H956" t="s">
        <v>42</v>
      </c>
      <c r="I956">
        <v>2</v>
      </c>
      <c r="J956">
        <v>36102</v>
      </c>
      <c r="K956">
        <v>61373.4</v>
      </c>
      <c r="L956" t="s">
        <v>43</v>
      </c>
      <c r="M956">
        <v>15</v>
      </c>
      <c r="N956">
        <v>11771.14</v>
      </c>
    </row>
    <row r="957" spans="1:14" ht="14.25" customHeight="1" x14ac:dyDescent="0.3">
      <c r="A957">
        <v>1956</v>
      </c>
      <c r="B957" t="s">
        <v>335</v>
      </c>
      <c r="C957" t="s">
        <v>50</v>
      </c>
      <c r="D957" t="s">
        <v>53</v>
      </c>
      <c r="E957" t="s">
        <v>54</v>
      </c>
      <c r="F957" t="s">
        <v>35</v>
      </c>
      <c r="G957" t="s">
        <v>67</v>
      </c>
      <c r="H957" t="s">
        <v>37</v>
      </c>
      <c r="I957">
        <v>1</v>
      </c>
      <c r="J957">
        <v>19412</v>
      </c>
      <c r="K957">
        <v>17470.8</v>
      </c>
      <c r="L957" t="s">
        <v>38</v>
      </c>
      <c r="M957">
        <v>10</v>
      </c>
      <c r="N957">
        <v>5075.04</v>
      </c>
    </row>
    <row r="958" spans="1:14" ht="14.25" customHeight="1" x14ac:dyDescent="0.3">
      <c r="A958">
        <v>1957</v>
      </c>
      <c r="B958" t="s">
        <v>336</v>
      </c>
      <c r="C958" t="s">
        <v>50</v>
      </c>
      <c r="D958" t="s">
        <v>66</v>
      </c>
      <c r="E958" t="s">
        <v>34</v>
      </c>
      <c r="F958" t="s">
        <v>35</v>
      </c>
      <c r="G958" t="s">
        <v>65</v>
      </c>
      <c r="H958" t="s">
        <v>47</v>
      </c>
      <c r="I958">
        <v>3</v>
      </c>
      <c r="J958">
        <v>15787</v>
      </c>
      <c r="K958">
        <v>42624.9</v>
      </c>
      <c r="L958" t="s">
        <v>48</v>
      </c>
      <c r="M958">
        <v>10</v>
      </c>
      <c r="N958">
        <v>5093.99</v>
      </c>
    </row>
    <row r="959" spans="1:14" ht="14.25" customHeight="1" x14ac:dyDescent="0.3">
      <c r="A959">
        <v>1958</v>
      </c>
      <c r="B959" t="s">
        <v>336</v>
      </c>
      <c r="C959" t="s">
        <v>39</v>
      </c>
      <c r="D959" t="s">
        <v>66</v>
      </c>
      <c r="E959" t="s">
        <v>34</v>
      </c>
      <c r="F959" t="s">
        <v>35</v>
      </c>
      <c r="G959" t="s">
        <v>36</v>
      </c>
      <c r="H959" t="s">
        <v>42</v>
      </c>
      <c r="I959">
        <v>5</v>
      </c>
      <c r="J959">
        <v>47355</v>
      </c>
      <c r="K959">
        <v>201258.75</v>
      </c>
      <c r="L959" t="s">
        <v>48</v>
      </c>
      <c r="M959">
        <v>15</v>
      </c>
      <c r="N959">
        <v>22259.94</v>
      </c>
    </row>
    <row r="960" spans="1:14" ht="14.25" customHeight="1" x14ac:dyDescent="0.3">
      <c r="A960">
        <v>1959</v>
      </c>
      <c r="B960" t="s">
        <v>336</v>
      </c>
      <c r="C960" t="s">
        <v>44</v>
      </c>
      <c r="D960" t="s">
        <v>33</v>
      </c>
      <c r="E960" t="s">
        <v>34</v>
      </c>
      <c r="F960" t="s">
        <v>45</v>
      </c>
      <c r="G960" t="s">
        <v>69</v>
      </c>
      <c r="H960" t="s">
        <v>55</v>
      </c>
      <c r="I960">
        <v>4</v>
      </c>
      <c r="J960">
        <v>2815</v>
      </c>
      <c r="K960">
        <v>9571</v>
      </c>
      <c r="L960" t="s">
        <v>61</v>
      </c>
      <c r="M960">
        <v>15</v>
      </c>
      <c r="N960">
        <v>2363.08</v>
      </c>
    </row>
    <row r="961" spans="1:14" ht="14.25" customHeight="1" x14ac:dyDescent="0.3">
      <c r="A961">
        <v>1960</v>
      </c>
      <c r="B961" t="s">
        <v>336</v>
      </c>
      <c r="C961" t="s">
        <v>60</v>
      </c>
      <c r="D961" t="s">
        <v>53</v>
      </c>
      <c r="E961" t="s">
        <v>54</v>
      </c>
      <c r="F961" t="s">
        <v>35</v>
      </c>
      <c r="G961" t="s">
        <v>36</v>
      </c>
      <c r="H961" t="s">
        <v>47</v>
      </c>
      <c r="I961">
        <v>4</v>
      </c>
      <c r="J961">
        <v>41203</v>
      </c>
      <c r="K961">
        <v>148330.79999999999</v>
      </c>
      <c r="L961" t="s">
        <v>38</v>
      </c>
      <c r="M961">
        <v>10</v>
      </c>
      <c r="N961">
        <v>37686.269999999997</v>
      </c>
    </row>
    <row r="962" spans="1:14" ht="14.25" customHeight="1" x14ac:dyDescent="0.3">
      <c r="A962">
        <v>1961</v>
      </c>
      <c r="B962" t="s">
        <v>337</v>
      </c>
      <c r="C962" t="s">
        <v>44</v>
      </c>
      <c r="D962" t="s">
        <v>40</v>
      </c>
      <c r="E962" t="s">
        <v>41</v>
      </c>
      <c r="F962" t="s">
        <v>45</v>
      </c>
      <c r="G962" t="s">
        <v>46</v>
      </c>
      <c r="H962" t="s">
        <v>55</v>
      </c>
      <c r="I962">
        <v>3</v>
      </c>
      <c r="J962">
        <v>13912</v>
      </c>
      <c r="K962">
        <v>39649.199999999997</v>
      </c>
      <c r="L962" t="s">
        <v>38</v>
      </c>
      <c r="M962">
        <v>5</v>
      </c>
      <c r="N962">
        <v>11321.59</v>
      </c>
    </row>
    <row r="963" spans="1:14" ht="14.25" customHeight="1" x14ac:dyDescent="0.3">
      <c r="A963">
        <v>1962</v>
      </c>
      <c r="B963" t="s">
        <v>337</v>
      </c>
      <c r="C963" t="s">
        <v>39</v>
      </c>
      <c r="D963" t="s">
        <v>53</v>
      </c>
      <c r="E963" t="s">
        <v>54</v>
      </c>
      <c r="F963" t="s">
        <v>35</v>
      </c>
      <c r="G963" t="s">
        <v>65</v>
      </c>
      <c r="H963" t="s">
        <v>55</v>
      </c>
      <c r="I963">
        <v>5</v>
      </c>
      <c r="J963">
        <v>44334</v>
      </c>
      <c r="K963">
        <v>221670</v>
      </c>
      <c r="L963" t="s">
        <v>43</v>
      </c>
      <c r="M963">
        <v>0</v>
      </c>
      <c r="N963">
        <v>22978.92</v>
      </c>
    </row>
    <row r="964" spans="1:14" ht="14.25" customHeight="1" x14ac:dyDescent="0.3">
      <c r="A964">
        <v>1963</v>
      </c>
      <c r="B964" t="s">
        <v>337</v>
      </c>
      <c r="C964" t="s">
        <v>32</v>
      </c>
      <c r="D964" t="s">
        <v>66</v>
      </c>
      <c r="E964" t="s">
        <v>34</v>
      </c>
      <c r="F964" t="s">
        <v>45</v>
      </c>
      <c r="G964" t="s">
        <v>57</v>
      </c>
      <c r="H964" t="s">
        <v>37</v>
      </c>
      <c r="I964">
        <v>1</v>
      </c>
      <c r="J964">
        <v>48951</v>
      </c>
      <c r="K964">
        <v>44055.9</v>
      </c>
      <c r="L964" t="s">
        <v>38</v>
      </c>
      <c r="M964">
        <v>10</v>
      </c>
      <c r="N964">
        <v>7364.93</v>
      </c>
    </row>
    <row r="965" spans="1:14" ht="14.25" customHeight="1" x14ac:dyDescent="0.3">
      <c r="A965">
        <v>1964</v>
      </c>
      <c r="B965" t="s">
        <v>337</v>
      </c>
      <c r="C965" t="s">
        <v>44</v>
      </c>
      <c r="D965" t="s">
        <v>33</v>
      </c>
      <c r="E965" t="s">
        <v>34</v>
      </c>
      <c r="F965" t="s">
        <v>45</v>
      </c>
      <c r="G965" t="s">
        <v>57</v>
      </c>
      <c r="H965" t="s">
        <v>47</v>
      </c>
      <c r="I965">
        <v>2</v>
      </c>
      <c r="J965">
        <v>37820</v>
      </c>
      <c r="K965">
        <v>68076</v>
      </c>
      <c r="L965" t="s">
        <v>38</v>
      </c>
      <c r="M965">
        <v>10</v>
      </c>
      <c r="N965">
        <v>19163.13</v>
      </c>
    </row>
    <row r="966" spans="1:14" ht="14.25" customHeight="1" x14ac:dyDescent="0.3">
      <c r="A966">
        <v>1965</v>
      </c>
      <c r="B966" t="s">
        <v>337</v>
      </c>
      <c r="C966" t="s">
        <v>32</v>
      </c>
      <c r="D966" t="s">
        <v>40</v>
      </c>
      <c r="E966" t="s">
        <v>41</v>
      </c>
      <c r="F966" t="s">
        <v>45</v>
      </c>
      <c r="G966" t="s">
        <v>46</v>
      </c>
      <c r="H966" t="s">
        <v>47</v>
      </c>
      <c r="I966">
        <v>5</v>
      </c>
      <c r="J966">
        <v>41215</v>
      </c>
      <c r="K966">
        <v>185467.5</v>
      </c>
      <c r="L966" t="s">
        <v>38</v>
      </c>
      <c r="M966">
        <v>10</v>
      </c>
      <c r="N966">
        <v>30271.46</v>
      </c>
    </row>
    <row r="967" spans="1:14" ht="14.25" customHeight="1" x14ac:dyDescent="0.3">
      <c r="A967">
        <v>1966</v>
      </c>
      <c r="B967" t="s">
        <v>338</v>
      </c>
      <c r="C967" t="s">
        <v>60</v>
      </c>
      <c r="D967" t="s">
        <v>40</v>
      </c>
      <c r="E967" t="s">
        <v>41</v>
      </c>
      <c r="F967" t="s">
        <v>51</v>
      </c>
      <c r="G967" t="s">
        <v>63</v>
      </c>
      <c r="H967" t="s">
        <v>37</v>
      </c>
      <c r="I967">
        <v>3</v>
      </c>
      <c r="J967">
        <v>27152</v>
      </c>
      <c r="K967">
        <v>73310.399999999994</v>
      </c>
      <c r="L967" t="s">
        <v>61</v>
      </c>
      <c r="M967">
        <v>10</v>
      </c>
      <c r="N967">
        <v>8505.6</v>
      </c>
    </row>
    <row r="968" spans="1:14" ht="14.25" customHeight="1" x14ac:dyDescent="0.3">
      <c r="A968">
        <v>1967</v>
      </c>
      <c r="B968" t="s">
        <v>338</v>
      </c>
      <c r="C968" t="s">
        <v>50</v>
      </c>
      <c r="D968" t="s">
        <v>58</v>
      </c>
      <c r="E968" t="s">
        <v>54</v>
      </c>
      <c r="F968" t="s">
        <v>35</v>
      </c>
      <c r="G968" t="s">
        <v>65</v>
      </c>
      <c r="H968" t="s">
        <v>42</v>
      </c>
      <c r="I968">
        <v>2</v>
      </c>
      <c r="J968">
        <v>29783</v>
      </c>
      <c r="K968">
        <v>53609.4</v>
      </c>
      <c r="L968" t="s">
        <v>38</v>
      </c>
      <c r="M968">
        <v>10</v>
      </c>
      <c r="N968">
        <v>16032.01</v>
      </c>
    </row>
    <row r="969" spans="1:14" ht="14.25" customHeight="1" x14ac:dyDescent="0.3">
      <c r="A969">
        <v>1968</v>
      </c>
      <c r="B969" t="s">
        <v>338</v>
      </c>
      <c r="C969" t="s">
        <v>60</v>
      </c>
      <c r="D969" t="s">
        <v>40</v>
      </c>
      <c r="E969" t="s">
        <v>41</v>
      </c>
      <c r="F969" t="s">
        <v>51</v>
      </c>
      <c r="G969" t="s">
        <v>52</v>
      </c>
      <c r="H969" t="s">
        <v>47</v>
      </c>
      <c r="I969">
        <v>5</v>
      </c>
      <c r="J969">
        <v>16984</v>
      </c>
      <c r="K969">
        <v>76428</v>
      </c>
      <c r="L969" t="s">
        <v>43</v>
      </c>
      <c r="M969">
        <v>10</v>
      </c>
      <c r="N969">
        <v>19018.099999999999</v>
      </c>
    </row>
    <row r="970" spans="1:14" ht="14.25" customHeight="1" x14ac:dyDescent="0.3">
      <c r="A970">
        <v>1969</v>
      </c>
      <c r="B970" t="s">
        <v>339</v>
      </c>
      <c r="C970" t="s">
        <v>50</v>
      </c>
      <c r="D970" t="s">
        <v>40</v>
      </c>
      <c r="E970" t="s">
        <v>41</v>
      </c>
      <c r="F970" t="s">
        <v>45</v>
      </c>
      <c r="G970" t="s">
        <v>69</v>
      </c>
      <c r="H970" t="s">
        <v>55</v>
      </c>
      <c r="I970">
        <v>1</v>
      </c>
      <c r="J970">
        <v>33078</v>
      </c>
      <c r="K970">
        <v>28116.3</v>
      </c>
      <c r="L970" t="s">
        <v>48</v>
      </c>
      <c r="M970">
        <v>15</v>
      </c>
      <c r="N970">
        <v>6368.05</v>
      </c>
    </row>
    <row r="971" spans="1:14" ht="14.25" customHeight="1" x14ac:dyDescent="0.3">
      <c r="A971">
        <v>1970</v>
      </c>
      <c r="B971" t="s">
        <v>339</v>
      </c>
      <c r="C971" t="s">
        <v>44</v>
      </c>
      <c r="D971" t="s">
        <v>53</v>
      </c>
      <c r="E971" t="s">
        <v>54</v>
      </c>
      <c r="F971" t="s">
        <v>45</v>
      </c>
      <c r="G971" t="s">
        <v>69</v>
      </c>
      <c r="H971" t="s">
        <v>47</v>
      </c>
      <c r="I971">
        <v>4</v>
      </c>
      <c r="J971">
        <v>40592</v>
      </c>
      <c r="K971">
        <v>162368</v>
      </c>
      <c r="L971" t="s">
        <v>43</v>
      </c>
      <c r="M971">
        <v>0</v>
      </c>
      <c r="N971">
        <v>45239.09</v>
      </c>
    </row>
    <row r="972" spans="1:14" ht="14.25" customHeight="1" x14ac:dyDescent="0.3">
      <c r="A972">
        <v>1971</v>
      </c>
      <c r="B972" t="s">
        <v>339</v>
      </c>
      <c r="C972" t="s">
        <v>60</v>
      </c>
      <c r="D972" t="s">
        <v>40</v>
      </c>
      <c r="E972" t="s">
        <v>41</v>
      </c>
      <c r="F972" t="s">
        <v>35</v>
      </c>
      <c r="G972" t="s">
        <v>67</v>
      </c>
      <c r="H972" t="s">
        <v>37</v>
      </c>
      <c r="I972">
        <v>4</v>
      </c>
      <c r="J972">
        <v>27341</v>
      </c>
      <c r="K972">
        <v>98427.6</v>
      </c>
      <c r="L972" t="s">
        <v>43</v>
      </c>
      <c r="M972">
        <v>10</v>
      </c>
      <c r="N972">
        <v>26754.69</v>
      </c>
    </row>
    <row r="973" spans="1:14" ht="14.25" customHeight="1" x14ac:dyDescent="0.3">
      <c r="A973">
        <v>1972</v>
      </c>
      <c r="B973" t="s">
        <v>339</v>
      </c>
      <c r="C973" t="s">
        <v>50</v>
      </c>
      <c r="D973" t="s">
        <v>58</v>
      </c>
      <c r="E973" t="s">
        <v>54</v>
      </c>
      <c r="F973" t="s">
        <v>45</v>
      </c>
      <c r="G973" t="s">
        <v>69</v>
      </c>
      <c r="H973" t="s">
        <v>47</v>
      </c>
      <c r="I973">
        <v>5</v>
      </c>
      <c r="J973">
        <v>45834</v>
      </c>
      <c r="K973">
        <v>229170</v>
      </c>
      <c r="L973" t="s">
        <v>38</v>
      </c>
      <c r="M973">
        <v>0</v>
      </c>
      <c r="N973">
        <v>66126.06</v>
      </c>
    </row>
    <row r="974" spans="1:14" ht="14.25" customHeight="1" x14ac:dyDescent="0.3">
      <c r="A974">
        <v>1973</v>
      </c>
      <c r="B974" t="s">
        <v>339</v>
      </c>
      <c r="C974" t="s">
        <v>32</v>
      </c>
      <c r="D974" t="s">
        <v>33</v>
      </c>
      <c r="E974" t="s">
        <v>34</v>
      </c>
      <c r="F974" t="s">
        <v>51</v>
      </c>
      <c r="G974" t="s">
        <v>52</v>
      </c>
      <c r="H974" t="s">
        <v>37</v>
      </c>
      <c r="I974">
        <v>3</v>
      </c>
      <c r="J974">
        <v>47021</v>
      </c>
      <c r="K974">
        <v>119903.55</v>
      </c>
      <c r="L974" t="s">
        <v>43</v>
      </c>
      <c r="M974">
        <v>15</v>
      </c>
      <c r="N974">
        <v>15394.22</v>
      </c>
    </row>
    <row r="975" spans="1:14" ht="14.25" customHeight="1" x14ac:dyDescent="0.3">
      <c r="A975">
        <v>1974</v>
      </c>
      <c r="B975" t="s">
        <v>340</v>
      </c>
      <c r="C975" t="s">
        <v>39</v>
      </c>
      <c r="D975" t="s">
        <v>33</v>
      </c>
      <c r="E975" t="s">
        <v>34</v>
      </c>
      <c r="F975" t="s">
        <v>35</v>
      </c>
      <c r="G975" t="s">
        <v>67</v>
      </c>
      <c r="H975" t="s">
        <v>37</v>
      </c>
      <c r="I975">
        <v>2</v>
      </c>
      <c r="J975">
        <v>48187</v>
      </c>
      <c r="K975">
        <v>91555.3</v>
      </c>
      <c r="L975" t="s">
        <v>43</v>
      </c>
      <c r="M975">
        <v>5</v>
      </c>
      <c r="N975">
        <v>19197.759999999998</v>
      </c>
    </row>
    <row r="976" spans="1:14" ht="14.25" customHeight="1" x14ac:dyDescent="0.3">
      <c r="A976">
        <v>1975</v>
      </c>
      <c r="B976" t="s">
        <v>340</v>
      </c>
      <c r="C976" t="s">
        <v>60</v>
      </c>
      <c r="D976" t="s">
        <v>40</v>
      </c>
      <c r="E976" t="s">
        <v>41</v>
      </c>
      <c r="F976" t="s">
        <v>35</v>
      </c>
      <c r="G976" t="s">
        <v>65</v>
      </c>
      <c r="H976" t="s">
        <v>47</v>
      </c>
      <c r="I976">
        <v>2</v>
      </c>
      <c r="J976">
        <v>47583</v>
      </c>
      <c r="K976">
        <v>90407.7</v>
      </c>
      <c r="L976" t="s">
        <v>38</v>
      </c>
      <c r="M976">
        <v>5</v>
      </c>
      <c r="N976">
        <v>21231.93</v>
      </c>
    </row>
    <row r="977" spans="1:14" ht="14.25" customHeight="1" x14ac:dyDescent="0.3">
      <c r="A977">
        <v>1976</v>
      </c>
      <c r="B977" t="s">
        <v>340</v>
      </c>
      <c r="C977" t="s">
        <v>39</v>
      </c>
      <c r="D977" t="s">
        <v>40</v>
      </c>
      <c r="E977" t="s">
        <v>41</v>
      </c>
      <c r="F977" t="s">
        <v>35</v>
      </c>
      <c r="G977" t="s">
        <v>36</v>
      </c>
      <c r="H977" t="s">
        <v>37</v>
      </c>
      <c r="I977">
        <v>3</v>
      </c>
      <c r="J977">
        <v>5393</v>
      </c>
      <c r="K977">
        <v>13752.15</v>
      </c>
      <c r="L977" t="s">
        <v>43</v>
      </c>
      <c r="M977">
        <v>15</v>
      </c>
      <c r="N977">
        <v>1979.87</v>
      </c>
    </row>
    <row r="978" spans="1:14" ht="14.25" customHeight="1" x14ac:dyDescent="0.3">
      <c r="A978">
        <v>1977</v>
      </c>
      <c r="B978" t="s">
        <v>340</v>
      </c>
      <c r="C978" t="s">
        <v>32</v>
      </c>
      <c r="D978" t="s">
        <v>53</v>
      </c>
      <c r="E978" t="s">
        <v>54</v>
      </c>
      <c r="F978" t="s">
        <v>35</v>
      </c>
      <c r="G978" t="s">
        <v>67</v>
      </c>
      <c r="H978" t="s">
        <v>42</v>
      </c>
      <c r="I978">
        <v>5</v>
      </c>
      <c r="J978">
        <v>5951</v>
      </c>
      <c r="K978">
        <v>25291.75</v>
      </c>
      <c r="L978" t="s">
        <v>61</v>
      </c>
      <c r="M978">
        <v>15</v>
      </c>
      <c r="N978">
        <v>2934.61</v>
      </c>
    </row>
    <row r="979" spans="1:14" ht="14.25" customHeight="1" x14ac:dyDescent="0.3">
      <c r="A979">
        <v>1978</v>
      </c>
      <c r="B979" t="s">
        <v>341</v>
      </c>
      <c r="C979" t="s">
        <v>32</v>
      </c>
      <c r="D979" t="s">
        <v>33</v>
      </c>
      <c r="E979" t="s">
        <v>34</v>
      </c>
      <c r="F979" t="s">
        <v>45</v>
      </c>
      <c r="G979" t="s">
        <v>46</v>
      </c>
      <c r="H979" t="s">
        <v>47</v>
      </c>
      <c r="I979">
        <v>2</v>
      </c>
      <c r="J979">
        <v>4829</v>
      </c>
      <c r="K979">
        <v>9658</v>
      </c>
      <c r="L979" t="s">
        <v>48</v>
      </c>
      <c r="M979">
        <v>0</v>
      </c>
      <c r="N979">
        <v>2761.85</v>
      </c>
    </row>
    <row r="980" spans="1:14" ht="14.25" customHeight="1" x14ac:dyDescent="0.3">
      <c r="A980">
        <v>1979</v>
      </c>
      <c r="B980" t="s">
        <v>341</v>
      </c>
      <c r="C980" t="s">
        <v>32</v>
      </c>
      <c r="D980" t="s">
        <v>33</v>
      </c>
      <c r="E980" t="s">
        <v>34</v>
      </c>
      <c r="F980" t="s">
        <v>45</v>
      </c>
      <c r="G980" t="s">
        <v>46</v>
      </c>
      <c r="H980" t="s">
        <v>37</v>
      </c>
      <c r="I980">
        <v>1</v>
      </c>
      <c r="J980">
        <v>21468</v>
      </c>
      <c r="K980">
        <v>21468</v>
      </c>
      <c r="L980" t="s">
        <v>43</v>
      </c>
      <c r="M980">
        <v>0</v>
      </c>
      <c r="N980">
        <v>5766.8</v>
      </c>
    </row>
    <row r="981" spans="1:14" ht="14.25" customHeight="1" x14ac:dyDescent="0.3">
      <c r="A981">
        <v>1980</v>
      </c>
      <c r="B981" t="s">
        <v>341</v>
      </c>
      <c r="C981" t="s">
        <v>50</v>
      </c>
      <c r="D981" t="s">
        <v>66</v>
      </c>
      <c r="E981" t="s">
        <v>34</v>
      </c>
      <c r="F981" t="s">
        <v>45</v>
      </c>
      <c r="G981" t="s">
        <v>46</v>
      </c>
      <c r="H981" t="s">
        <v>42</v>
      </c>
      <c r="I981">
        <v>3</v>
      </c>
      <c r="J981">
        <v>25946</v>
      </c>
      <c r="K981">
        <v>70054.2</v>
      </c>
      <c r="L981" t="s">
        <v>38</v>
      </c>
      <c r="M981">
        <v>10</v>
      </c>
      <c r="N981">
        <v>10085.98</v>
      </c>
    </row>
    <row r="982" spans="1:14" ht="14.25" customHeight="1" x14ac:dyDescent="0.3">
      <c r="A982">
        <v>1981</v>
      </c>
      <c r="B982" t="s">
        <v>342</v>
      </c>
      <c r="C982" t="s">
        <v>44</v>
      </c>
      <c r="D982" t="s">
        <v>33</v>
      </c>
      <c r="E982" t="s">
        <v>34</v>
      </c>
      <c r="F982" t="s">
        <v>45</v>
      </c>
      <c r="G982" t="s">
        <v>57</v>
      </c>
      <c r="H982" t="s">
        <v>37</v>
      </c>
      <c r="I982">
        <v>1</v>
      </c>
      <c r="J982">
        <v>2193</v>
      </c>
      <c r="K982">
        <v>2193</v>
      </c>
      <c r="L982" t="s">
        <v>48</v>
      </c>
      <c r="M982">
        <v>0</v>
      </c>
      <c r="N982">
        <v>235.48</v>
      </c>
    </row>
    <row r="983" spans="1:14" ht="14.25" customHeight="1" x14ac:dyDescent="0.3">
      <c r="A983">
        <v>1982</v>
      </c>
      <c r="B983" t="s">
        <v>342</v>
      </c>
      <c r="C983" t="s">
        <v>44</v>
      </c>
      <c r="D983" t="s">
        <v>33</v>
      </c>
      <c r="E983" t="s">
        <v>34</v>
      </c>
      <c r="F983" t="s">
        <v>51</v>
      </c>
      <c r="G983" t="s">
        <v>52</v>
      </c>
      <c r="H983" t="s">
        <v>55</v>
      </c>
      <c r="I983">
        <v>4</v>
      </c>
      <c r="J983">
        <v>42212</v>
      </c>
      <c r="K983">
        <v>160405.6</v>
      </c>
      <c r="L983" t="s">
        <v>38</v>
      </c>
      <c r="M983">
        <v>5</v>
      </c>
      <c r="N983">
        <v>30168.26</v>
      </c>
    </row>
    <row r="984" spans="1:14" ht="14.25" customHeight="1" x14ac:dyDescent="0.3">
      <c r="A984">
        <v>1983</v>
      </c>
      <c r="B984" t="s">
        <v>342</v>
      </c>
      <c r="C984" t="s">
        <v>39</v>
      </c>
      <c r="D984" t="s">
        <v>58</v>
      </c>
      <c r="E984" t="s">
        <v>54</v>
      </c>
      <c r="F984" t="s">
        <v>51</v>
      </c>
      <c r="G984" t="s">
        <v>52</v>
      </c>
      <c r="H984" t="s">
        <v>55</v>
      </c>
      <c r="I984">
        <v>5</v>
      </c>
      <c r="J984">
        <v>12567</v>
      </c>
      <c r="K984">
        <v>56551.5</v>
      </c>
      <c r="L984" t="s">
        <v>48</v>
      </c>
      <c r="M984">
        <v>10</v>
      </c>
      <c r="N984">
        <v>12866.36</v>
      </c>
    </row>
    <row r="985" spans="1:14" ht="14.25" customHeight="1" x14ac:dyDescent="0.3">
      <c r="A985">
        <v>1984</v>
      </c>
      <c r="B985" t="s">
        <v>342</v>
      </c>
      <c r="C985" t="s">
        <v>50</v>
      </c>
      <c r="D985" t="s">
        <v>40</v>
      </c>
      <c r="E985" t="s">
        <v>41</v>
      </c>
      <c r="F985" t="s">
        <v>45</v>
      </c>
      <c r="G985" t="s">
        <v>57</v>
      </c>
      <c r="H985" t="s">
        <v>42</v>
      </c>
      <c r="I985">
        <v>2</v>
      </c>
      <c r="J985">
        <v>18712</v>
      </c>
      <c r="K985">
        <v>31810.400000000001</v>
      </c>
      <c r="L985" t="s">
        <v>38</v>
      </c>
      <c r="M985">
        <v>15</v>
      </c>
      <c r="N985">
        <v>8980.93</v>
      </c>
    </row>
    <row r="986" spans="1:14" ht="14.25" customHeight="1" x14ac:dyDescent="0.3">
      <c r="A986">
        <v>1985</v>
      </c>
      <c r="B986" t="s">
        <v>342</v>
      </c>
      <c r="C986" t="s">
        <v>60</v>
      </c>
      <c r="D986" t="s">
        <v>53</v>
      </c>
      <c r="E986" t="s">
        <v>54</v>
      </c>
      <c r="F986" t="s">
        <v>51</v>
      </c>
      <c r="G986" t="s">
        <v>62</v>
      </c>
      <c r="H986" t="s">
        <v>55</v>
      </c>
      <c r="I986">
        <v>2</v>
      </c>
      <c r="J986">
        <v>35647</v>
      </c>
      <c r="K986">
        <v>64164.6</v>
      </c>
      <c r="L986" t="s">
        <v>61</v>
      </c>
      <c r="M986">
        <v>10</v>
      </c>
      <c r="N986">
        <v>18708.23</v>
      </c>
    </row>
    <row r="987" spans="1:14" ht="14.25" customHeight="1" x14ac:dyDescent="0.3">
      <c r="A987">
        <v>1986</v>
      </c>
      <c r="B987" t="s">
        <v>343</v>
      </c>
      <c r="C987" t="s">
        <v>39</v>
      </c>
      <c r="D987" t="s">
        <v>33</v>
      </c>
      <c r="E987" t="s">
        <v>34</v>
      </c>
      <c r="F987" t="s">
        <v>51</v>
      </c>
      <c r="G987" t="s">
        <v>63</v>
      </c>
      <c r="H987" t="s">
        <v>37</v>
      </c>
      <c r="I987">
        <v>3</v>
      </c>
      <c r="J987">
        <v>47267</v>
      </c>
      <c r="K987">
        <v>141801</v>
      </c>
      <c r="L987" t="s">
        <v>61</v>
      </c>
      <c r="M987">
        <v>0</v>
      </c>
      <c r="N987">
        <v>37118.33</v>
      </c>
    </row>
    <row r="988" spans="1:14" ht="14.25" customHeight="1" x14ac:dyDescent="0.3">
      <c r="A988">
        <v>1987</v>
      </c>
      <c r="B988" t="s">
        <v>343</v>
      </c>
      <c r="C988" t="s">
        <v>60</v>
      </c>
      <c r="D988" t="s">
        <v>58</v>
      </c>
      <c r="E988" t="s">
        <v>54</v>
      </c>
      <c r="F988" t="s">
        <v>45</v>
      </c>
      <c r="G988" t="s">
        <v>69</v>
      </c>
      <c r="H988" t="s">
        <v>42</v>
      </c>
      <c r="I988">
        <v>5</v>
      </c>
      <c r="J988">
        <v>39577</v>
      </c>
      <c r="K988">
        <v>197885</v>
      </c>
      <c r="L988" t="s">
        <v>43</v>
      </c>
      <c r="M988">
        <v>0</v>
      </c>
      <c r="N988">
        <v>19791.060000000001</v>
      </c>
    </row>
    <row r="989" spans="1:14" ht="14.25" customHeight="1" x14ac:dyDescent="0.3">
      <c r="A989">
        <v>1988</v>
      </c>
      <c r="B989" t="s">
        <v>344</v>
      </c>
      <c r="C989" t="s">
        <v>44</v>
      </c>
      <c r="D989" t="s">
        <v>58</v>
      </c>
      <c r="E989" t="s">
        <v>54</v>
      </c>
      <c r="F989" t="s">
        <v>51</v>
      </c>
      <c r="G989" t="s">
        <v>52</v>
      </c>
      <c r="H989" t="s">
        <v>37</v>
      </c>
      <c r="I989">
        <v>3</v>
      </c>
      <c r="J989">
        <v>38805</v>
      </c>
      <c r="K989">
        <v>98952.75</v>
      </c>
      <c r="L989" t="s">
        <v>43</v>
      </c>
      <c r="M989">
        <v>15</v>
      </c>
      <c r="N989">
        <v>18053.990000000002</v>
      </c>
    </row>
    <row r="990" spans="1:14" ht="14.25" customHeight="1" x14ac:dyDescent="0.3">
      <c r="A990">
        <v>1989</v>
      </c>
      <c r="B990" t="s">
        <v>344</v>
      </c>
      <c r="C990" t="s">
        <v>39</v>
      </c>
      <c r="D990" t="s">
        <v>53</v>
      </c>
      <c r="E990" t="s">
        <v>54</v>
      </c>
      <c r="F990" t="s">
        <v>45</v>
      </c>
      <c r="G990" t="s">
        <v>69</v>
      </c>
      <c r="H990" t="s">
        <v>55</v>
      </c>
      <c r="I990">
        <v>3</v>
      </c>
      <c r="J990">
        <v>21069</v>
      </c>
      <c r="K990">
        <v>63207</v>
      </c>
      <c r="L990" t="s">
        <v>48</v>
      </c>
      <c r="M990">
        <v>0</v>
      </c>
      <c r="N990">
        <v>16887.849999999999</v>
      </c>
    </row>
    <row r="991" spans="1:14" ht="14.25" customHeight="1" x14ac:dyDescent="0.3">
      <c r="A991">
        <v>1990</v>
      </c>
      <c r="B991" t="s">
        <v>344</v>
      </c>
      <c r="C991" t="s">
        <v>39</v>
      </c>
      <c r="D991" t="s">
        <v>58</v>
      </c>
      <c r="E991" t="s">
        <v>54</v>
      </c>
      <c r="F991" t="s">
        <v>51</v>
      </c>
      <c r="G991" t="s">
        <v>52</v>
      </c>
      <c r="H991" t="s">
        <v>37</v>
      </c>
      <c r="I991">
        <v>4</v>
      </c>
      <c r="J991">
        <v>32009</v>
      </c>
      <c r="K991">
        <v>115232.4</v>
      </c>
      <c r="L991" t="s">
        <v>43</v>
      </c>
      <c r="M991">
        <v>10</v>
      </c>
      <c r="N991">
        <v>20750.04</v>
      </c>
    </row>
    <row r="992" spans="1:14" ht="14.25" customHeight="1" x14ac:dyDescent="0.3">
      <c r="A992">
        <v>1991</v>
      </c>
      <c r="B992" t="s">
        <v>344</v>
      </c>
      <c r="C992" t="s">
        <v>44</v>
      </c>
      <c r="D992" t="s">
        <v>66</v>
      </c>
      <c r="E992" t="s">
        <v>34</v>
      </c>
      <c r="F992" t="s">
        <v>45</v>
      </c>
      <c r="G992" t="s">
        <v>69</v>
      </c>
      <c r="H992" t="s">
        <v>47</v>
      </c>
      <c r="I992">
        <v>4</v>
      </c>
      <c r="J992">
        <v>39874</v>
      </c>
      <c r="K992">
        <v>143546.4</v>
      </c>
      <c r="L992" t="s">
        <v>61</v>
      </c>
      <c r="M992">
        <v>10</v>
      </c>
      <c r="N992">
        <v>35911.519999999997</v>
      </c>
    </row>
    <row r="993" spans="1:14" ht="14.25" customHeight="1" x14ac:dyDescent="0.3">
      <c r="A993">
        <v>1992</v>
      </c>
      <c r="B993" t="s">
        <v>344</v>
      </c>
      <c r="C993" t="s">
        <v>32</v>
      </c>
      <c r="D993" t="s">
        <v>53</v>
      </c>
      <c r="E993" t="s">
        <v>54</v>
      </c>
      <c r="F993" t="s">
        <v>35</v>
      </c>
      <c r="G993" t="s">
        <v>67</v>
      </c>
      <c r="H993" t="s">
        <v>42</v>
      </c>
      <c r="I993">
        <v>5</v>
      </c>
      <c r="J993">
        <v>11916</v>
      </c>
      <c r="K993">
        <v>56601</v>
      </c>
      <c r="L993" t="s">
        <v>43</v>
      </c>
      <c r="M993">
        <v>5</v>
      </c>
      <c r="N993">
        <v>11669.9</v>
      </c>
    </row>
    <row r="994" spans="1:14" ht="14.25" customHeight="1" x14ac:dyDescent="0.3">
      <c r="A994">
        <v>1993</v>
      </c>
      <c r="B994" t="s">
        <v>345</v>
      </c>
      <c r="C994" t="s">
        <v>60</v>
      </c>
      <c r="D994" t="s">
        <v>53</v>
      </c>
      <c r="E994" t="s">
        <v>54</v>
      </c>
      <c r="F994" t="s">
        <v>35</v>
      </c>
      <c r="G994" t="s">
        <v>36</v>
      </c>
      <c r="H994" t="s">
        <v>42</v>
      </c>
      <c r="I994">
        <v>2</v>
      </c>
      <c r="J994">
        <v>19820</v>
      </c>
      <c r="K994">
        <v>35676</v>
      </c>
      <c r="L994" t="s">
        <v>48</v>
      </c>
      <c r="M994">
        <v>10</v>
      </c>
      <c r="N994">
        <v>6752.54</v>
      </c>
    </row>
    <row r="995" spans="1:14" ht="14.25" customHeight="1" x14ac:dyDescent="0.3">
      <c r="A995">
        <v>1994</v>
      </c>
      <c r="B995" t="s">
        <v>345</v>
      </c>
      <c r="C995" t="s">
        <v>60</v>
      </c>
      <c r="D995" t="s">
        <v>66</v>
      </c>
      <c r="E995" t="s">
        <v>34</v>
      </c>
      <c r="F995" t="s">
        <v>51</v>
      </c>
      <c r="G995" t="s">
        <v>63</v>
      </c>
      <c r="H995" t="s">
        <v>47</v>
      </c>
      <c r="I995">
        <v>3</v>
      </c>
      <c r="J995">
        <v>2153</v>
      </c>
      <c r="K995">
        <v>5813.1</v>
      </c>
      <c r="L995" t="s">
        <v>61</v>
      </c>
      <c r="M995">
        <v>10</v>
      </c>
      <c r="N995">
        <v>953.59</v>
      </c>
    </row>
    <row r="996" spans="1:14" ht="14.25" customHeight="1" x14ac:dyDescent="0.3">
      <c r="A996">
        <v>1995</v>
      </c>
      <c r="B996" t="s">
        <v>345</v>
      </c>
      <c r="C996" t="s">
        <v>60</v>
      </c>
      <c r="D996" t="s">
        <v>33</v>
      </c>
      <c r="E996" t="s">
        <v>34</v>
      </c>
      <c r="F996" t="s">
        <v>51</v>
      </c>
      <c r="G996" t="s">
        <v>63</v>
      </c>
      <c r="H996" t="s">
        <v>55</v>
      </c>
      <c r="I996">
        <v>1</v>
      </c>
      <c r="J996">
        <v>3170</v>
      </c>
      <c r="K996">
        <v>2694.5</v>
      </c>
      <c r="L996" t="s">
        <v>48</v>
      </c>
      <c r="M996">
        <v>15</v>
      </c>
      <c r="N996">
        <v>775.23</v>
      </c>
    </row>
    <row r="997" spans="1:14" ht="14.25" customHeight="1" x14ac:dyDescent="0.3">
      <c r="A997">
        <v>1996</v>
      </c>
      <c r="B997" t="s">
        <v>345</v>
      </c>
      <c r="C997" t="s">
        <v>32</v>
      </c>
      <c r="D997" t="s">
        <v>40</v>
      </c>
      <c r="E997" t="s">
        <v>41</v>
      </c>
      <c r="F997" t="s">
        <v>45</v>
      </c>
      <c r="G997" t="s">
        <v>46</v>
      </c>
      <c r="H997" t="s">
        <v>42</v>
      </c>
      <c r="I997">
        <v>2</v>
      </c>
      <c r="J997">
        <v>46859</v>
      </c>
      <c r="K997">
        <v>93718</v>
      </c>
      <c r="L997" t="s">
        <v>38</v>
      </c>
      <c r="M997">
        <v>0</v>
      </c>
      <c r="N997">
        <v>20079.259999999998</v>
      </c>
    </row>
    <row r="998" spans="1:14" ht="14.25" customHeight="1" x14ac:dyDescent="0.3">
      <c r="A998">
        <v>1997</v>
      </c>
      <c r="B998" t="s">
        <v>345</v>
      </c>
      <c r="C998" t="s">
        <v>39</v>
      </c>
      <c r="D998" t="s">
        <v>33</v>
      </c>
      <c r="E998" t="s">
        <v>34</v>
      </c>
      <c r="F998" t="s">
        <v>45</v>
      </c>
      <c r="G998" t="s">
        <v>46</v>
      </c>
      <c r="H998" t="s">
        <v>55</v>
      </c>
      <c r="I998">
        <v>3</v>
      </c>
      <c r="J998">
        <v>17934</v>
      </c>
      <c r="K998">
        <v>51111.9</v>
      </c>
      <c r="L998" t="s">
        <v>38</v>
      </c>
      <c r="M998">
        <v>5</v>
      </c>
      <c r="N998">
        <v>7896.17</v>
      </c>
    </row>
    <row r="999" spans="1:14" ht="14.25" customHeight="1" x14ac:dyDescent="0.3">
      <c r="A999">
        <v>1998</v>
      </c>
      <c r="B999" t="s">
        <v>346</v>
      </c>
      <c r="C999" t="s">
        <v>60</v>
      </c>
      <c r="D999" t="s">
        <v>53</v>
      </c>
      <c r="E999" t="s">
        <v>54</v>
      </c>
      <c r="F999" t="s">
        <v>35</v>
      </c>
      <c r="G999" t="s">
        <v>36</v>
      </c>
      <c r="H999" t="s">
        <v>55</v>
      </c>
      <c r="I999">
        <v>5</v>
      </c>
      <c r="J999">
        <v>15415</v>
      </c>
      <c r="K999">
        <v>73221.25</v>
      </c>
      <c r="L999" t="s">
        <v>38</v>
      </c>
      <c r="M999">
        <v>5</v>
      </c>
      <c r="N999">
        <v>20681.28</v>
      </c>
    </row>
    <row r="1000" spans="1:14" ht="14.25" customHeight="1" x14ac:dyDescent="0.3">
      <c r="A1000">
        <v>1999</v>
      </c>
      <c r="B1000" t="s">
        <v>346</v>
      </c>
      <c r="C1000" t="s">
        <v>50</v>
      </c>
      <c r="D1000" t="s">
        <v>33</v>
      </c>
      <c r="E1000" t="s">
        <v>34</v>
      </c>
      <c r="F1000" t="s">
        <v>35</v>
      </c>
      <c r="G1000" t="s">
        <v>36</v>
      </c>
      <c r="H1000" t="s">
        <v>42</v>
      </c>
      <c r="I1000">
        <v>4</v>
      </c>
      <c r="J1000">
        <v>42187</v>
      </c>
      <c r="K1000">
        <v>160310.6</v>
      </c>
      <c r="L1000" t="s">
        <v>43</v>
      </c>
      <c r="M1000">
        <v>5</v>
      </c>
      <c r="N1000">
        <v>40486.870000000003</v>
      </c>
    </row>
    <row r="1001" spans="1:14" ht="14.25" customHeight="1" x14ac:dyDescent="0.3">
      <c r="A1001">
        <v>2000</v>
      </c>
      <c r="B1001" t="s">
        <v>347</v>
      </c>
      <c r="C1001" t="s">
        <v>60</v>
      </c>
      <c r="D1001" t="s">
        <v>33</v>
      </c>
      <c r="E1001" t="s">
        <v>34</v>
      </c>
      <c r="F1001" t="s">
        <v>35</v>
      </c>
      <c r="G1001" t="s">
        <v>36</v>
      </c>
      <c r="H1001" t="s">
        <v>42</v>
      </c>
      <c r="I1001">
        <v>3</v>
      </c>
      <c r="J1001">
        <v>39915</v>
      </c>
      <c r="K1001">
        <v>101783.25</v>
      </c>
      <c r="L1001" t="s">
        <v>38</v>
      </c>
      <c r="M1001">
        <v>15</v>
      </c>
      <c r="N1001">
        <v>17814.66</v>
      </c>
    </row>
    <row r="1002" spans="1:14" ht="14.25" customHeight="1" x14ac:dyDescent="0.3">
      <c r="A1002">
        <v>2001</v>
      </c>
      <c r="B1002" t="s">
        <v>347</v>
      </c>
      <c r="C1002" t="s">
        <v>60</v>
      </c>
      <c r="D1002" t="s">
        <v>58</v>
      </c>
      <c r="E1002" t="s">
        <v>54</v>
      </c>
      <c r="F1002" t="s">
        <v>45</v>
      </c>
      <c r="G1002" t="s">
        <v>46</v>
      </c>
      <c r="H1002" t="s">
        <v>47</v>
      </c>
      <c r="I1002">
        <v>5</v>
      </c>
      <c r="J1002">
        <v>23127</v>
      </c>
      <c r="K1002">
        <v>98289.75</v>
      </c>
      <c r="L1002" t="s">
        <v>48</v>
      </c>
      <c r="M1002">
        <v>15</v>
      </c>
      <c r="N1002">
        <v>26534.17</v>
      </c>
    </row>
    <row r="1003" spans="1:14" ht="14.25" customHeight="1" x14ac:dyDescent="0.3">
      <c r="A1003">
        <v>2002</v>
      </c>
      <c r="B1003" t="s">
        <v>347</v>
      </c>
      <c r="C1003" t="s">
        <v>50</v>
      </c>
      <c r="D1003" t="s">
        <v>58</v>
      </c>
      <c r="E1003" t="s">
        <v>54</v>
      </c>
      <c r="F1003" t="s">
        <v>45</v>
      </c>
      <c r="G1003" t="s">
        <v>46</v>
      </c>
      <c r="H1003" t="s">
        <v>37</v>
      </c>
      <c r="I1003">
        <v>1</v>
      </c>
      <c r="J1003">
        <v>48208</v>
      </c>
      <c r="K1003">
        <v>45797.599999999999</v>
      </c>
      <c r="L1003" t="s">
        <v>38</v>
      </c>
      <c r="M1003">
        <v>5</v>
      </c>
      <c r="N1003">
        <v>8542.83</v>
      </c>
    </row>
    <row r="1004" spans="1:14" ht="14.25" customHeight="1" x14ac:dyDescent="0.3">
      <c r="A1004">
        <v>2003</v>
      </c>
      <c r="B1004" t="s">
        <v>347</v>
      </c>
      <c r="C1004" t="s">
        <v>50</v>
      </c>
      <c r="D1004" t="s">
        <v>66</v>
      </c>
      <c r="E1004" t="s">
        <v>34</v>
      </c>
      <c r="F1004" t="s">
        <v>35</v>
      </c>
      <c r="G1004" t="s">
        <v>65</v>
      </c>
      <c r="H1004" t="s">
        <v>55</v>
      </c>
      <c r="I1004">
        <v>4</v>
      </c>
      <c r="J1004">
        <v>13927</v>
      </c>
      <c r="K1004">
        <v>52922.6</v>
      </c>
      <c r="L1004" t="s">
        <v>43</v>
      </c>
      <c r="M1004">
        <v>5</v>
      </c>
      <c r="N1004">
        <v>5619.84</v>
      </c>
    </row>
    <row r="1005" spans="1:14" ht="14.25" customHeight="1" x14ac:dyDescent="0.3">
      <c r="A1005">
        <v>2004</v>
      </c>
      <c r="B1005" t="s">
        <v>347</v>
      </c>
      <c r="C1005" t="s">
        <v>39</v>
      </c>
      <c r="D1005" t="s">
        <v>66</v>
      </c>
      <c r="E1005" t="s">
        <v>34</v>
      </c>
      <c r="F1005" t="s">
        <v>35</v>
      </c>
      <c r="G1005" t="s">
        <v>67</v>
      </c>
      <c r="H1005" t="s">
        <v>55</v>
      </c>
      <c r="I1005">
        <v>3</v>
      </c>
      <c r="J1005">
        <v>12178</v>
      </c>
      <c r="K1005">
        <v>34707.300000000003</v>
      </c>
      <c r="L1005" t="s">
        <v>43</v>
      </c>
      <c r="M1005">
        <v>5</v>
      </c>
      <c r="N1005">
        <v>8343.49</v>
      </c>
    </row>
    <row r="1006" spans="1:14" ht="14.25" customHeight="1" x14ac:dyDescent="0.3">
      <c r="A1006">
        <v>2005</v>
      </c>
      <c r="B1006" t="s">
        <v>348</v>
      </c>
      <c r="C1006" t="s">
        <v>60</v>
      </c>
      <c r="D1006" t="s">
        <v>33</v>
      </c>
      <c r="E1006" t="s">
        <v>34</v>
      </c>
      <c r="F1006" t="s">
        <v>45</v>
      </c>
      <c r="G1006" t="s">
        <v>46</v>
      </c>
      <c r="H1006" t="s">
        <v>47</v>
      </c>
      <c r="I1006">
        <v>2</v>
      </c>
      <c r="J1006">
        <v>16744</v>
      </c>
      <c r="K1006">
        <v>30139.200000000001</v>
      </c>
      <c r="L1006" t="s">
        <v>43</v>
      </c>
      <c r="M1006">
        <v>10</v>
      </c>
      <c r="N1006">
        <v>8624.17</v>
      </c>
    </row>
    <row r="1007" spans="1:14" ht="14.25" customHeight="1" x14ac:dyDescent="0.3">
      <c r="A1007">
        <v>2006</v>
      </c>
      <c r="B1007" t="s">
        <v>348</v>
      </c>
      <c r="C1007" t="s">
        <v>39</v>
      </c>
      <c r="D1007" t="s">
        <v>66</v>
      </c>
      <c r="E1007" t="s">
        <v>34</v>
      </c>
      <c r="F1007" t="s">
        <v>45</v>
      </c>
      <c r="G1007" t="s">
        <v>46</v>
      </c>
      <c r="H1007" t="s">
        <v>42</v>
      </c>
      <c r="I1007">
        <v>2</v>
      </c>
      <c r="J1007">
        <v>5080</v>
      </c>
      <c r="K1007">
        <v>9144</v>
      </c>
      <c r="L1007" t="s">
        <v>48</v>
      </c>
      <c r="M1007">
        <v>10</v>
      </c>
      <c r="N1007">
        <v>1628.35</v>
      </c>
    </row>
    <row r="1008" spans="1:14" ht="14.25" customHeight="1" x14ac:dyDescent="0.3">
      <c r="A1008">
        <v>2007</v>
      </c>
      <c r="B1008" t="s">
        <v>348</v>
      </c>
      <c r="C1008" t="s">
        <v>39</v>
      </c>
      <c r="D1008" t="s">
        <v>53</v>
      </c>
      <c r="E1008" t="s">
        <v>54</v>
      </c>
      <c r="F1008" t="s">
        <v>51</v>
      </c>
      <c r="G1008" t="s">
        <v>62</v>
      </c>
      <c r="H1008" t="s">
        <v>37</v>
      </c>
      <c r="I1008">
        <v>5</v>
      </c>
      <c r="J1008">
        <v>2258</v>
      </c>
      <c r="K1008">
        <v>9596.5</v>
      </c>
      <c r="L1008" t="s">
        <v>48</v>
      </c>
      <c r="M1008">
        <v>15</v>
      </c>
      <c r="N1008">
        <v>1179.9100000000001</v>
      </c>
    </row>
    <row r="1009" spans="1:14" ht="14.25" customHeight="1" x14ac:dyDescent="0.3">
      <c r="A1009">
        <v>2008</v>
      </c>
      <c r="B1009" t="s">
        <v>348</v>
      </c>
      <c r="C1009" t="s">
        <v>60</v>
      </c>
      <c r="D1009" t="s">
        <v>66</v>
      </c>
      <c r="E1009" t="s">
        <v>34</v>
      </c>
      <c r="F1009" t="s">
        <v>51</v>
      </c>
      <c r="G1009" t="s">
        <v>52</v>
      </c>
      <c r="H1009" t="s">
        <v>37</v>
      </c>
      <c r="I1009">
        <v>3</v>
      </c>
      <c r="J1009">
        <v>48751</v>
      </c>
      <c r="K1009">
        <v>146253</v>
      </c>
      <c r="L1009" t="s">
        <v>38</v>
      </c>
      <c r="M1009">
        <v>0</v>
      </c>
      <c r="N1009">
        <v>21967.43</v>
      </c>
    </row>
    <row r="1010" spans="1:14" ht="14.25" customHeight="1" x14ac:dyDescent="0.3">
      <c r="A1010">
        <v>2009</v>
      </c>
      <c r="B1010" t="s">
        <v>348</v>
      </c>
      <c r="C1010" t="s">
        <v>50</v>
      </c>
      <c r="D1010" t="s">
        <v>33</v>
      </c>
      <c r="E1010" t="s">
        <v>34</v>
      </c>
      <c r="F1010" t="s">
        <v>45</v>
      </c>
      <c r="G1010" t="s">
        <v>57</v>
      </c>
      <c r="H1010" t="s">
        <v>37</v>
      </c>
      <c r="I1010">
        <v>3</v>
      </c>
      <c r="J1010">
        <v>28823</v>
      </c>
      <c r="K1010">
        <v>77822.100000000006</v>
      </c>
      <c r="L1010" t="s">
        <v>48</v>
      </c>
      <c r="M1010">
        <v>10</v>
      </c>
      <c r="N1010">
        <v>8418.18</v>
      </c>
    </row>
    <row r="1011" spans="1:14" ht="14.25" customHeight="1" x14ac:dyDescent="0.3">
      <c r="A1011">
        <v>2010</v>
      </c>
      <c r="B1011" t="s">
        <v>349</v>
      </c>
      <c r="C1011" t="s">
        <v>39</v>
      </c>
      <c r="D1011" t="s">
        <v>66</v>
      </c>
      <c r="E1011" t="s">
        <v>34</v>
      </c>
      <c r="F1011" t="s">
        <v>51</v>
      </c>
      <c r="G1011" t="s">
        <v>62</v>
      </c>
      <c r="H1011" t="s">
        <v>47</v>
      </c>
      <c r="I1011">
        <v>5</v>
      </c>
      <c r="J1011">
        <v>4737</v>
      </c>
      <c r="K1011">
        <v>21316.5</v>
      </c>
      <c r="L1011" t="s">
        <v>61</v>
      </c>
      <c r="M1011">
        <v>10</v>
      </c>
      <c r="N1011">
        <v>2418.42</v>
      </c>
    </row>
    <row r="1012" spans="1:14" ht="14.25" customHeight="1" x14ac:dyDescent="0.3">
      <c r="A1012">
        <v>2011</v>
      </c>
      <c r="B1012" t="s">
        <v>349</v>
      </c>
      <c r="C1012" t="s">
        <v>39</v>
      </c>
      <c r="D1012" t="s">
        <v>33</v>
      </c>
      <c r="E1012" t="s">
        <v>34</v>
      </c>
      <c r="F1012" t="s">
        <v>35</v>
      </c>
      <c r="G1012" t="s">
        <v>65</v>
      </c>
      <c r="H1012" t="s">
        <v>42</v>
      </c>
      <c r="I1012">
        <v>4</v>
      </c>
      <c r="J1012">
        <v>7577</v>
      </c>
      <c r="K1012">
        <v>25761.8</v>
      </c>
      <c r="L1012" t="s">
        <v>38</v>
      </c>
      <c r="M1012">
        <v>15</v>
      </c>
      <c r="N1012">
        <v>3793.03</v>
      </c>
    </row>
    <row r="1013" spans="1:14" ht="14.25" customHeight="1" x14ac:dyDescent="0.3">
      <c r="A1013">
        <v>2012</v>
      </c>
      <c r="B1013" t="s">
        <v>349</v>
      </c>
      <c r="C1013" t="s">
        <v>44</v>
      </c>
      <c r="D1013" t="s">
        <v>58</v>
      </c>
      <c r="E1013" t="s">
        <v>54</v>
      </c>
      <c r="F1013" t="s">
        <v>51</v>
      </c>
      <c r="G1013" t="s">
        <v>62</v>
      </c>
      <c r="H1013" t="s">
        <v>55</v>
      </c>
      <c r="I1013">
        <v>5</v>
      </c>
      <c r="J1013">
        <v>44686</v>
      </c>
      <c r="K1013">
        <v>189915.5</v>
      </c>
      <c r="L1013" t="s">
        <v>48</v>
      </c>
      <c r="M1013">
        <v>15</v>
      </c>
      <c r="N1013">
        <v>30275.52</v>
      </c>
    </row>
    <row r="1014" spans="1:14" ht="14.25" customHeight="1" x14ac:dyDescent="0.3">
      <c r="A1014">
        <v>2013</v>
      </c>
      <c r="B1014" t="s">
        <v>349</v>
      </c>
      <c r="C1014" t="s">
        <v>32</v>
      </c>
      <c r="D1014" t="s">
        <v>66</v>
      </c>
      <c r="E1014" t="s">
        <v>34</v>
      </c>
      <c r="F1014" t="s">
        <v>35</v>
      </c>
      <c r="G1014" t="s">
        <v>36</v>
      </c>
      <c r="H1014" t="s">
        <v>55</v>
      </c>
      <c r="I1014">
        <v>2</v>
      </c>
      <c r="J1014">
        <v>26929</v>
      </c>
      <c r="K1014">
        <v>53858</v>
      </c>
      <c r="L1014" t="s">
        <v>38</v>
      </c>
      <c r="M1014">
        <v>0</v>
      </c>
      <c r="N1014">
        <v>15041.86</v>
      </c>
    </row>
    <row r="1015" spans="1:14" ht="14.25" customHeight="1" x14ac:dyDescent="0.3">
      <c r="A1015">
        <v>2014</v>
      </c>
      <c r="B1015" t="s">
        <v>349</v>
      </c>
      <c r="C1015" t="s">
        <v>50</v>
      </c>
      <c r="D1015" t="s">
        <v>58</v>
      </c>
      <c r="E1015" t="s">
        <v>54</v>
      </c>
      <c r="F1015" t="s">
        <v>45</v>
      </c>
      <c r="G1015" t="s">
        <v>46</v>
      </c>
      <c r="H1015" t="s">
        <v>42</v>
      </c>
      <c r="I1015">
        <v>5</v>
      </c>
      <c r="J1015">
        <v>14927</v>
      </c>
      <c r="K1015">
        <v>70903.25</v>
      </c>
      <c r="L1015" t="s">
        <v>48</v>
      </c>
      <c r="M1015">
        <v>5</v>
      </c>
      <c r="N1015">
        <v>14560.58</v>
      </c>
    </row>
    <row r="1016" spans="1:14" ht="14.25" customHeight="1" x14ac:dyDescent="0.3">
      <c r="A1016">
        <v>2015</v>
      </c>
      <c r="B1016" t="s">
        <v>350</v>
      </c>
      <c r="C1016" t="s">
        <v>44</v>
      </c>
      <c r="D1016" t="s">
        <v>58</v>
      </c>
      <c r="E1016" t="s">
        <v>54</v>
      </c>
      <c r="F1016" t="s">
        <v>45</v>
      </c>
      <c r="G1016" t="s">
        <v>57</v>
      </c>
      <c r="H1016" t="s">
        <v>42</v>
      </c>
      <c r="I1016">
        <v>3</v>
      </c>
      <c r="J1016">
        <v>32549</v>
      </c>
      <c r="K1016">
        <v>92764.65</v>
      </c>
      <c r="L1016" t="s">
        <v>48</v>
      </c>
      <c r="M1016">
        <v>5</v>
      </c>
      <c r="N1016">
        <v>9642.8799999999992</v>
      </c>
    </row>
    <row r="1017" spans="1:14" ht="14.25" customHeight="1" x14ac:dyDescent="0.3">
      <c r="A1017">
        <v>2016</v>
      </c>
      <c r="B1017" t="s">
        <v>350</v>
      </c>
      <c r="C1017" t="s">
        <v>60</v>
      </c>
      <c r="D1017" t="s">
        <v>53</v>
      </c>
      <c r="E1017" t="s">
        <v>54</v>
      </c>
      <c r="F1017" t="s">
        <v>35</v>
      </c>
      <c r="G1017" t="s">
        <v>67</v>
      </c>
      <c r="H1017" t="s">
        <v>37</v>
      </c>
      <c r="I1017">
        <v>5</v>
      </c>
      <c r="J1017">
        <v>29831</v>
      </c>
      <c r="K1017">
        <v>126781.75</v>
      </c>
      <c r="L1017" t="s">
        <v>61</v>
      </c>
      <c r="M1017">
        <v>15</v>
      </c>
      <c r="N1017">
        <v>31405.759999999998</v>
      </c>
    </row>
    <row r="1018" spans="1:14" ht="14.25" customHeight="1" x14ac:dyDescent="0.3">
      <c r="A1018">
        <v>2017</v>
      </c>
      <c r="B1018" t="s">
        <v>351</v>
      </c>
      <c r="C1018" t="s">
        <v>60</v>
      </c>
      <c r="D1018" t="s">
        <v>53</v>
      </c>
      <c r="E1018" t="s">
        <v>54</v>
      </c>
      <c r="F1018" t="s">
        <v>51</v>
      </c>
      <c r="G1018" t="s">
        <v>63</v>
      </c>
      <c r="H1018" t="s">
        <v>42</v>
      </c>
      <c r="I1018">
        <v>5</v>
      </c>
      <c r="J1018">
        <v>39954</v>
      </c>
      <c r="K1018">
        <v>169804.5</v>
      </c>
      <c r="L1018" t="s">
        <v>38</v>
      </c>
      <c r="M1018">
        <v>15</v>
      </c>
      <c r="N1018">
        <v>22532.720000000001</v>
      </c>
    </row>
    <row r="1019" spans="1:14" ht="14.25" customHeight="1" x14ac:dyDescent="0.3">
      <c r="A1019">
        <v>2018</v>
      </c>
      <c r="B1019" t="s">
        <v>351</v>
      </c>
      <c r="C1019" t="s">
        <v>39</v>
      </c>
      <c r="D1019" t="s">
        <v>40</v>
      </c>
      <c r="E1019" t="s">
        <v>41</v>
      </c>
      <c r="F1019" t="s">
        <v>51</v>
      </c>
      <c r="G1019" t="s">
        <v>63</v>
      </c>
      <c r="H1019" t="s">
        <v>42</v>
      </c>
      <c r="I1019">
        <v>5</v>
      </c>
      <c r="J1019">
        <v>43227</v>
      </c>
      <c r="K1019">
        <v>183714.75</v>
      </c>
      <c r="L1019" t="s">
        <v>43</v>
      </c>
      <c r="M1019">
        <v>15</v>
      </c>
      <c r="N1019">
        <v>34315.339999999997</v>
      </c>
    </row>
    <row r="1020" spans="1:14" ht="14.25" customHeight="1" x14ac:dyDescent="0.3">
      <c r="A1020">
        <v>2019</v>
      </c>
      <c r="B1020" t="s">
        <v>351</v>
      </c>
      <c r="C1020" t="s">
        <v>44</v>
      </c>
      <c r="D1020" t="s">
        <v>58</v>
      </c>
      <c r="E1020" t="s">
        <v>54</v>
      </c>
      <c r="F1020" t="s">
        <v>51</v>
      </c>
      <c r="G1020" t="s">
        <v>63</v>
      </c>
      <c r="H1020" t="s">
        <v>42</v>
      </c>
      <c r="I1020">
        <v>5</v>
      </c>
      <c r="J1020">
        <v>29628</v>
      </c>
      <c r="K1020">
        <v>148140</v>
      </c>
      <c r="L1020" t="s">
        <v>48</v>
      </c>
      <c r="M1020">
        <v>0</v>
      </c>
      <c r="N1020">
        <v>20894.060000000001</v>
      </c>
    </row>
    <row r="1021" spans="1:14" ht="14.25" customHeight="1" x14ac:dyDescent="0.3">
      <c r="A1021">
        <v>2020</v>
      </c>
      <c r="B1021" t="s">
        <v>352</v>
      </c>
      <c r="C1021" t="s">
        <v>32</v>
      </c>
      <c r="D1021" t="s">
        <v>53</v>
      </c>
      <c r="E1021" t="s">
        <v>54</v>
      </c>
      <c r="F1021" t="s">
        <v>51</v>
      </c>
      <c r="G1021" t="s">
        <v>52</v>
      </c>
      <c r="H1021" t="s">
        <v>37</v>
      </c>
      <c r="I1021">
        <v>1</v>
      </c>
      <c r="J1021">
        <v>1382</v>
      </c>
      <c r="K1021">
        <v>1382</v>
      </c>
      <c r="L1021" t="s">
        <v>43</v>
      </c>
      <c r="M1021">
        <v>0</v>
      </c>
      <c r="N1021">
        <v>329.2</v>
      </c>
    </row>
    <row r="1022" spans="1:14" ht="14.25" customHeight="1" x14ac:dyDescent="0.3">
      <c r="A1022">
        <v>2021</v>
      </c>
      <c r="B1022" t="s">
        <v>352</v>
      </c>
      <c r="C1022" t="s">
        <v>60</v>
      </c>
      <c r="D1022" t="s">
        <v>53</v>
      </c>
      <c r="E1022" t="s">
        <v>54</v>
      </c>
      <c r="F1022" t="s">
        <v>51</v>
      </c>
      <c r="G1022" t="s">
        <v>62</v>
      </c>
      <c r="H1022" t="s">
        <v>37</v>
      </c>
      <c r="I1022">
        <v>5</v>
      </c>
      <c r="J1022">
        <v>9135</v>
      </c>
      <c r="K1022">
        <v>45675</v>
      </c>
      <c r="L1022" t="s">
        <v>43</v>
      </c>
      <c r="M1022">
        <v>0</v>
      </c>
      <c r="N1022">
        <v>10245.540000000001</v>
      </c>
    </row>
    <row r="1023" spans="1:14" ht="14.25" customHeight="1" x14ac:dyDescent="0.3">
      <c r="A1023">
        <v>2022</v>
      </c>
      <c r="B1023" t="s">
        <v>352</v>
      </c>
      <c r="C1023" t="s">
        <v>60</v>
      </c>
      <c r="D1023" t="s">
        <v>58</v>
      </c>
      <c r="E1023" t="s">
        <v>54</v>
      </c>
      <c r="F1023" t="s">
        <v>51</v>
      </c>
      <c r="G1023" t="s">
        <v>62</v>
      </c>
      <c r="H1023" t="s">
        <v>47</v>
      </c>
      <c r="I1023">
        <v>4</v>
      </c>
      <c r="J1023">
        <v>46652</v>
      </c>
      <c r="K1023">
        <v>177277.6</v>
      </c>
      <c r="L1023" t="s">
        <v>61</v>
      </c>
      <c r="M1023">
        <v>5</v>
      </c>
      <c r="N1023">
        <v>50132.51</v>
      </c>
    </row>
    <row r="1024" spans="1:14" ht="14.25" customHeight="1" x14ac:dyDescent="0.3">
      <c r="A1024">
        <v>2023</v>
      </c>
      <c r="B1024" t="s">
        <v>352</v>
      </c>
      <c r="C1024" t="s">
        <v>39</v>
      </c>
      <c r="D1024" t="s">
        <v>40</v>
      </c>
      <c r="E1024" t="s">
        <v>41</v>
      </c>
      <c r="F1024" t="s">
        <v>51</v>
      </c>
      <c r="G1024" t="s">
        <v>52</v>
      </c>
      <c r="H1024" t="s">
        <v>42</v>
      </c>
      <c r="I1024">
        <v>3</v>
      </c>
      <c r="J1024">
        <v>1324</v>
      </c>
      <c r="K1024">
        <v>3376.2</v>
      </c>
      <c r="L1024" t="s">
        <v>48</v>
      </c>
      <c r="M1024">
        <v>15</v>
      </c>
      <c r="N1024">
        <v>573.79999999999995</v>
      </c>
    </row>
    <row r="1025" spans="1:14" ht="14.25" customHeight="1" x14ac:dyDescent="0.3">
      <c r="A1025">
        <v>2024</v>
      </c>
      <c r="B1025" t="s">
        <v>353</v>
      </c>
      <c r="C1025" t="s">
        <v>39</v>
      </c>
      <c r="D1025" t="s">
        <v>66</v>
      </c>
      <c r="E1025" t="s">
        <v>34</v>
      </c>
      <c r="F1025" t="s">
        <v>51</v>
      </c>
      <c r="G1025" t="s">
        <v>52</v>
      </c>
      <c r="H1025" t="s">
        <v>55</v>
      </c>
      <c r="I1025">
        <v>5</v>
      </c>
      <c r="J1025">
        <v>43489</v>
      </c>
      <c r="K1025">
        <v>195700.5</v>
      </c>
      <c r="L1025" t="s">
        <v>61</v>
      </c>
      <c r="M1025">
        <v>10</v>
      </c>
      <c r="N1025">
        <v>51773.84</v>
      </c>
    </row>
    <row r="1026" spans="1:14" ht="14.25" customHeight="1" x14ac:dyDescent="0.3">
      <c r="A1026">
        <v>2025</v>
      </c>
      <c r="B1026" t="s">
        <v>353</v>
      </c>
      <c r="C1026" t="s">
        <v>44</v>
      </c>
      <c r="D1026" t="s">
        <v>53</v>
      </c>
      <c r="E1026" t="s">
        <v>54</v>
      </c>
      <c r="F1026" t="s">
        <v>35</v>
      </c>
      <c r="G1026" t="s">
        <v>36</v>
      </c>
      <c r="H1026" t="s">
        <v>42</v>
      </c>
      <c r="I1026">
        <v>4</v>
      </c>
      <c r="J1026">
        <v>26282</v>
      </c>
      <c r="K1026">
        <v>99871.6</v>
      </c>
      <c r="L1026" t="s">
        <v>38</v>
      </c>
      <c r="M1026">
        <v>5</v>
      </c>
      <c r="N1026">
        <v>26121.79</v>
      </c>
    </row>
    <row r="1027" spans="1:14" ht="14.25" customHeight="1" x14ac:dyDescent="0.3">
      <c r="A1027">
        <v>2026</v>
      </c>
      <c r="B1027" t="s">
        <v>354</v>
      </c>
      <c r="C1027" t="s">
        <v>44</v>
      </c>
      <c r="D1027" t="s">
        <v>40</v>
      </c>
      <c r="E1027" t="s">
        <v>41</v>
      </c>
      <c r="F1027" t="s">
        <v>51</v>
      </c>
      <c r="G1027" t="s">
        <v>62</v>
      </c>
      <c r="H1027" t="s">
        <v>37</v>
      </c>
      <c r="I1027">
        <v>4</v>
      </c>
      <c r="J1027">
        <v>27869</v>
      </c>
      <c r="K1027">
        <v>105902.2</v>
      </c>
      <c r="L1027" t="s">
        <v>43</v>
      </c>
      <c r="M1027">
        <v>5</v>
      </c>
      <c r="N1027">
        <v>20030.5</v>
      </c>
    </row>
    <row r="1028" spans="1:14" ht="14.25" customHeight="1" x14ac:dyDescent="0.3">
      <c r="A1028">
        <v>2027</v>
      </c>
      <c r="B1028" t="s">
        <v>354</v>
      </c>
      <c r="C1028" t="s">
        <v>39</v>
      </c>
      <c r="D1028" t="s">
        <v>66</v>
      </c>
      <c r="E1028" t="s">
        <v>34</v>
      </c>
      <c r="F1028" t="s">
        <v>35</v>
      </c>
      <c r="G1028" t="s">
        <v>67</v>
      </c>
      <c r="H1028" t="s">
        <v>47</v>
      </c>
      <c r="I1028">
        <v>2</v>
      </c>
      <c r="J1028">
        <v>44815</v>
      </c>
      <c r="K1028">
        <v>80667</v>
      </c>
      <c r="L1028" t="s">
        <v>48</v>
      </c>
      <c r="M1028">
        <v>10</v>
      </c>
      <c r="N1028">
        <v>22814.560000000001</v>
      </c>
    </row>
    <row r="1029" spans="1:14" ht="14.25" customHeight="1" x14ac:dyDescent="0.3">
      <c r="A1029">
        <v>2028</v>
      </c>
      <c r="B1029" t="s">
        <v>355</v>
      </c>
      <c r="C1029" t="s">
        <v>44</v>
      </c>
      <c r="D1029" t="s">
        <v>58</v>
      </c>
      <c r="E1029" t="s">
        <v>54</v>
      </c>
      <c r="F1029" t="s">
        <v>35</v>
      </c>
      <c r="G1029" t="s">
        <v>65</v>
      </c>
      <c r="H1029" t="s">
        <v>37</v>
      </c>
      <c r="I1029">
        <v>2</v>
      </c>
      <c r="J1029">
        <v>40699</v>
      </c>
      <c r="K1029">
        <v>77328.100000000006</v>
      </c>
      <c r="L1029" t="s">
        <v>43</v>
      </c>
      <c r="M1029">
        <v>5</v>
      </c>
      <c r="N1029">
        <v>20406.150000000001</v>
      </c>
    </row>
    <row r="1030" spans="1:14" ht="14.25" customHeight="1" x14ac:dyDescent="0.3">
      <c r="A1030">
        <v>2029</v>
      </c>
      <c r="B1030" t="s">
        <v>355</v>
      </c>
      <c r="C1030" t="s">
        <v>60</v>
      </c>
      <c r="D1030" t="s">
        <v>53</v>
      </c>
      <c r="E1030" t="s">
        <v>54</v>
      </c>
      <c r="F1030" t="s">
        <v>35</v>
      </c>
      <c r="G1030" t="s">
        <v>67</v>
      </c>
      <c r="H1030" t="s">
        <v>47</v>
      </c>
      <c r="I1030">
        <v>3</v>
      </c>
      <c r="J1030">
        <v>11859</v>
      </c>
      <c r="K1030">
        <v>35577</v>
      </c>
      <c r="L1030" t="s">
        <v>43</v>
      </c>
      <c r="M1030">
        <v>0</v>
      </c>
      <c r="N1030">
        <v>6286.01</v>
      </c>
    </row>
    <row r="1031" spans="1:14" ht="14.25" customHeight="1" x14ac:dyDescent="0.3">
      <c r="A1031">
        <v>2030</v>
      </c>
      <c r="B1031" t="s">
        <v>356</v>
      </c>
      <c r="C1031" t="s">
        <v>60</v>
      </c>
      <c r="D1031" t="s">
        <v>53</v>
      </c>
      <c r="E1031" t="s">
        <v>54</v>
      </c>
      <c r="F1031" t="s">
        <v>45</v>
      </c>
      <c r="G1031" t="s">
        <v>69</v>
      </c>
      <c r="H1031" t="s">
        <v>47</v>
      </c>
      <c r="I1031">
        <v>4</v>
      </c>
      <c r="J1031">
        <v>31051</v>
      </c>
      <c r="K1031">
        <v>117993.8</v>
      </c>
      <c r="L1031" t="s">
        <v>61</v>
      </c>
      <c r="M1031">
        <v>5</v>
      </c>
      <c r="N1031">
        <v>32701.57</v>
      </c>
    </row>
    <row r="1032" spans="1:14" ht="14.25" customHeight="1" x14ac:dyDescent="0.3">
      <c r="A1032">
        <v>2031</v>
      </c>
      <c r="B1032" t="s">
        <v>356</v>
      </c>
      <c r="C1032" t="s">
        <v>39</v>
      </c>
      <c r="D1032" t="s">
        <v>53</v>
      </c>
      <c r="E1032" t="s">
        <v>54</v>
      </c>
      <c r="F1032" t="s">
        <v>35</v>
      </c>
      <c r="G1032" t="s">
        <v>36</v>
      </c>
      <c r="H1032" t="s">
        <v>37</v>
      </c>
      <c r="I1032">
        <v>3</v>
      </c>
      <c r="J1032">
        <v>5256</v>
      </c>
      <c r="K1032">
        <v>13402.8</v>
      </c>
      <c r="L1032" t="s">
        <v>43</v>
      </c>
      <c r="M1032">
        <v>15</v>
      </c>
      <c r="N1032">
        <v>1744.78</v>
      </c>
    </row>
    <row r="1033" spans="1:14" ht="14.25" customHeight="1" x14ac:dyDescent="0.3">
      <c r="A1033">
        <v>2032</v>
      </c>
      <c r="B1033" t="s">
        <v>356</v>
      </c>
      <c r="C1033" t="s">
        <v>32</v>
      </c>
      <c r="D1033" t="s">
        <v>58</v>
      </c>
      <c r="E1033" t="s">
        <v>54</v>
      </c>
      <c r="F1033" t="s">
        <v>51</v>
      </c>
      <c r="G1033" t="s">
        <v>62</v>
      </c>
      <c r="H1033" t="s">
        <v>42</v>
      </c>
      <c r="I1033">
        <v>4</v>
      </c>
      <c r="J1033">
        <v>3138</v>
      </c>
      <c r="K1033">
        <v>12552</v>
      </c>
      <c r="L1033" t="s">
        <v>38</v>
      </c>
      <c r="M1033">
        <v>0</v>
      </c>
      <c r="N1033">
        <v>2078.34</v>
      </c>
    </row>
    <row r="1034" spans="1:14" ht="14.25" customHeight="1" x14ac:dyDescent="0.3">
      <c r="A1034">
        <v>2033</v>
      </c>
      <c r="B1034" t="s">
        <v>356</v>
      </c>
      <c r="C1034" t="s">
        <v>44</v>
      </c>
      <c r="D1034" t="s">
        <v>58</v>
      </c>
      <c r="E1034" t="s">
        <v>54</v>
      </c>
      <c r="F1034" t="s">
        <v>51</v>
      </c>
      <c r="G1034" t="s">
        <v>52</v>
      </c>
      <c r="H1034" t="s">
        <v>47</v>
      </c>
      <c r="I1034">
        <v>1</v>
      </c>
      <c r="J1034">
        <v>35163</v>
      </c>
      <c r="K1034">
        <v>29888.55</v>
      </c>
      <c r="L1034" t="s">
        <v>61</v>
      </c>
      <c r="M1034">
        <v>15</v>
      </c>
      <c r="N1034">
        <v>7009.34</v>
      </c>
    </row>
    <row r="1035" spans="1:14" ht="14.25" customHeight="1" x14ac:dyDescent="0.3">
      <c r="A1035">
        <v>2034</v>
      </c>
      <c r="B1035" t="s">
        <v>356</v>
      </c>
      <c r="C1035" t="s">
        <v>39</v>
      </c>
      <c r="D1035" t="s">
        <v>40</v>
      </c>
      <c r="E1035" t="s">
        <v>41</v>
      </c>
      <c r="F1035" t="s">
        <v>35</v>
      </c>
      <c r="G1035" t="s">
        <v>65</v>
      </c>
      <c r="H1035" t="s">
        <v>55</v>
      </c>
      <c r="I1035">
        <v>1</v>
      </c>
      <c r="J1035">
        <v>577</v>
      </c>
      <c r="K1035">
        <v>577</v>
      </c>
      <c r="L1035" t="s">
        <v>38</v>
      </c>
      <c r="M1035">
        <v>0</v>
      </c>
      <c r="N1035">
        <v>131.71</v>
      </c>
    </row>
    <row r="1036" spans="1:14" ht="14.25" customHeight="1" x14ac:dyDescent="0.3">
      <c r="A1036">
        <v>2035</v>
      </c>
      <c r="B1036" t="s">
        <v>357</v>
      </c>
      <c r="C1036" t="s">
        <v>60</v>
      </c>
      <c r="D1036" t="s">
        <v>40</v>
      </c>
      <c r="E1036" t="s">
        <v>41</v>
      </c>
      <c r="F1036" t="s">
        <v>51</v>
      </c>
      <c r="G1036" t="s">
        <v>62</v>
      </c>
      <c r="H1036" t="s">
        <v>47</v>
      </c>
      <c r="I1036">
        <v>2</v>
      </c>
      <c r="J1036">
        <v>46777</v>
      </c>
      <c r="K1036">
        <v>84198.6</v>
      </c>
      <c r="L1036" t="s">
        <v>43</v>
      </c>
      <c r="M1036">
        <v>10</v>
      </c>
      <c r="N1036">
        <v>21409.05</v>
      </c>
    </row>
    <row r="1037" spans="1:14" ht="14.25" customHeight="1" x14ac:dyDescent="0.3">
      <c r="A1037">
        <v>2036</v>
      </c>
      <c r="B1037" t="s">
        <v>357</v>
      </c>
      <c r="C1037" t="s">
        <v>44</v>
      </c>
      <c r="D1037" t="s">
        <v>33</v>
      </c>
      <c r="E1037" t="s">
        <v>34</v>
      </c>
      <c r="F1037" t="s">
        <v>51</v>
      </c>
      <c r="G1037" t="s">
        <v>63</v>
      </c>
      <c r="H1037" t="s">
        <v>55</v>
      </c>
      <c r="I1037">
        <v>3</v>
      </c>
      <c r="J1037">
        <v>29594</v>
      </c>
      <c r="K1037">
        <v>88782</v>
      </c>
      <c r="L1037" t="s">
        <v>38</v>
      </c>
      <c r="M1037">
        <v>0</v>
      </c>
      <c r="N1037">
        <v>11668.75</v>
      </c>
    </row>
    <row r="1038" spans="1:14" ht="14.25" customHeight="1" x14ac:dyDescent="0.3">
      <c r="A1038">
        <v>2037</v>
      </c>
      <c r="B1038" t="s">
        <v>357</v>
      </c>
      <c r="C1038" t="s">
        <v>50</v>
      </c>
      <c r="D1038" t="s">
        <v>58</v>
      </c>
      <c r="E1038" t="s">
        <v>54</v>
      </c>
      <c r="F1038" t="s">
        <v>35</v>
      </c>
      <c r="G1038" t="s">
        <v>36</v>
      </c>
      <c r="H1038" t="s">
        <v>55</v>
      </c>
      <c r="I1038">
        <v>3</v>
      </c>
      <c r="J1038">
        <v>41010</v>
      </c>
      <c r="K1038">
        <v>116878.5</v>
      </c>
      <c r="L1038" t="s">
        <v>38</v>
      </c>
      <c r="M1038">
        <v>5</v>
      </c>
      <c r="N1038">
        <v>35059.879999999997</v>
      </c>
    </row>
    <row r="1039" spans="1:14" ht="14.25" customHeight="1" x14ac:dyDescent="0.3">
      <c r="A1039">
        <v>2038</v>
      </c>
      <c r="B1039" t="s">
        <v>357</v>
      </c>
      <c r="C1039" t="s">
        <v>60</v>
      </c>
      <c r="D1039" t="s">
        <v>58</v>
      </c>
      <c r="E1039" t="s">
        <v>54</v>
      </c>
      <c r="F1039" t="s">
        <v>45</v>
      </c>
      <c r="G1039" t="s">
        <v>46</v>
      </c>
      <c r="H1039" t="s">
        <v>47</v>
      </c>
      <c r="I1039">
        <v>3</v>
      </c>
      <c r="J1039">
        <v>29430</v>
      </c>
      <c r="K1039">
        <v>88290</v>
      </c>
      <c r="L1039" t="s">
        <v>43</v>
      </c>
      <c r="M1039">
        <v>0</v>
      </c>
      <c r="N1039">
        <v>18050.599999999999</v>
      </c>
    </row>
    <row r="1040" spans="1:14" ht="14.25" customHeight="1" x14ac:dyDescent="0.3">
      <c r="A1040">
        <v>2039</v>
      </c>
      <c r="B1040" t="s">
        <v>357</v>
      </c>
      <c r="C1040" t="s">
        <v>60</v>
      </c>
      <c r="D1040" t="s">
        <v>58</v>
      </c>
      <c r="E1040" t="s">
        <v>54</v>
      </c>
      <c r="F1040" t="s">
        <v>45</v>
      </c>
      <c r="G1040" t="s">
        <v>57</v>
      </c>
      <c r="H1040" t="s">
        <v>37</v>
      </c>
      <c r="I1040">
        <v>4</v>
      </c>
      <c r="J1040">
        <v>28024</v>
      </c>
      <c r="K1040">
        <v>112096</v>
      </c>
      <c r="L1040" t="s">
        <v>38</v>
      </c>
      <c r="M1040">
        <v>0</v>
      </c>
      <c r="N1040">
        <v>15511.55</v>
      </c>
    </row>
    <row r="1041" spans="1:14" ht="14.25" customHeight="1" x14ac:dyDescent="0.3">
      <c r="A1041">
        <v>2040</v>
      </c>
      <c r="B1041" t="s">
        <v>358</v>
      </c>
      <c r="C1041" t="s">
        <v>60</v>
      </c>
      <c r="D1041" t="s">
        <v>53</v>
      </c>
      <c r="E1041" t="s">
        <v>54</v>
      </c>
      <c r="F1041" t="s">
        <v>45</v>
      </c>
      <c r="G1041" t="s">
        <v>57</v>
      </c>
      <c r="H1041" t="s">
        <v>47</v>
      </c>
      <c r="I1041">
        <v>5</v>
      </c>
      <c r="J1041">
        <v>49537</v>
      </c>
      <c r="K1041">
        <v>222916.5</v>
      </c>
      <c r="L1041" t="s">
        <v>38</v>
      </c>
      <c r="M1041">
        <v>10</v>
      </c>
      <c r="N1041">
        <v>63495.12</v>
      </c>
    </row>
    <row r="1042" spans="1:14" ht="14.25" customHeight="1" x14ac:dyDescent="0.3">
      <c r="A1042">
        <v>2041</v>
      </c>
      <c r="B1042" t="s">
        <v>358</v>
      </c>
      <c r="C1042" t="s">
        <v>32</v>
      </c>
      <c r="D1042" t="s">
        <v>33</v>
      </c>
      <c r="E1042" t="s">
        <v>34</v>
      </c>
      <c r="F1042" t="s">
        <v>45</v>
      </c>
      <c r="G1042" t="s">
        <v>69</v>
      </c>
      <c r="H1042" t="s">
        <v>37</v>
      </c>
      <c r="I1042">
        <v>2</v>
      </c>
      <c r="J1042">
        <v>45162</v>
      </c>
      <c r="K1042">
        <v>90324</v>
      </c>
      <c r="L1042" t="s">
        <v>48</v>
      </c>
      <c r="M1042">
        <v>0</v>
      </c>
      <c r="N1042">
        <v>21880.07</v>
      </c>
    </row>
    <row r="1043" spans="1:14" ht="14.25" customHeight="1" x14ac:dyDescent="0.3">
      <c r="A1043">
        <v>2042</v>
      </c>
      <c r="B1043" t="s">
        <v>358</v>
      </c>
      <c r="C1043" t="s">
        <v>50</v>
      </c>
      <c r="D1043" t="s">
        <v>66</v>
      </c>
      <c r="E1043" t="s">
        <v>34</v>
      </c>
      <c r="F1043" t="s">
        <v>35</v>
      </c>
      <c r="G1043" t="s">
        <v>36</v>
      </c>
      <c r="H1043" t="s">
        <v>55</v>
      </c>
      <c r="I1043">
        <v>1</v>
      </c>
      <c r="J1043">
        <v>28767</v>
      </c>
      <c r="K1043">
        <v>25890.3</v>
      </c>
      <c r="L1043" t="s">
        <v>43</v>
      </c>
      <c r="M1043">
        <v>10</v>
      </c>
      <c r="N1043">
        <v>3950.88</v>
      </c>
    </row>
    <row r="1044" spans="1:14" ht="14.25" customHeight="1" x14ac:dyDescent="0.3">
      <c r="A1044">
        <v>2043</v>
      </c>
      <c r="B1044" t="s">
        <v>358</v>
      </c>
      <c r="C1044" t="s">
        <v>44</v>
      </c>
      <c r="D1044" t="s">
        <v>53</v>
      </c>
      <c r="E1044" t="s">
        <v>54</v>
      </c>
      <c r="F1044" t="s">
        <v>51</v>
      </c>
      <c r="G1044" t="s">
        <v>52</v>
      </c>
      <c r="H1044" t="s">
        <v>47</v>
      </c>
      <c r="I1044">
        <v>5</v>
      </c>
      <c r="J1044">
        <v>39175</v>
      </c>
      <c r="K1044">
        <v>186081.25</v>
      </c>
      <c r="L1044" t="s">
        <v>61</v>
      </c>
      <c r="M1044">
        <v>5</v>
      </c>
      <c r="N1044">
        <v>41818.5</v>
      </c>
    </row>
    <row r="1045" spans="1:14" ht="14.25" customHeight="1" x14ac:dyDescent="0.3">
      <c r="A1045">
        <v>2044</v>
      </c>
      <c r="B1045" t="s">
        <v>358</v>
      </c>
      <c r="C1045" t="s">
        <v>39</v>
      </c>
      <c r="D1045" t="s">
        <v>33</v>
      </c>
      <c r="E1045" t="s">
        <v>34</v>
      </c>
      <c r="F1045" t="s">
        <v>45</v>
      </c>
      <c r="G1045" t="s">
        <v>69</v>
      </c>
      <c r="H1045" t="s">
        <v>42</v>
      </c>
      <c r="I1045">
        <v>1</v>
      </c>
      <c r="J1045">
        <v>8712</v>
      </c>
      <c r="K1045">
        <v>8276.4</v>
      </c>
      <c r="L1045" t="s">
        <v>48</v>
      </c>
      <c r="M1045">
        <v>5</v>
      </c>
      <c r="N1045">
        <v>2312.31</v>
      </c>
    </row>
    <row r="1046" spans="1:14" ht="14.25" customHeight="1" x14ac:dyDescent="0.3">
      <c r="A1046">
        <v>2045</v>
      </c>
      <c r="B1046" t="s">
        <v>359</v>
      </c>
      <c r="C1046" t="s">
        <v>39</v>
      </c>
      <c r="D1046" t="s">
        <v>40</v>
      </c>
      <c r="E1046" t="s">
        <v>41</v>
      </c>
      <c r="F1046" t="s">
        <v>45</v>
      </c>
      <c r="G1046" t="s">
        <v>46</v>
      </c>
      <c r="H1046" t="s">
        <v>42</v>
      </c>
      <c r="I1046">
        <v>4</v>
      </c>
      <c r="J1046">
        <v>24611</v>
      </c>
      <c r="K1046">
        <v>88599.6</v>
      </c>
      <c r="L1046" t="s">
        <v>38</v>
      </c>
      <c r="M1046">
        <v>10</v>
      </c>
      <c r="N1046">
        <v>23119.08</v>
      </c>
    </row>
    <row r="1047" spans="1:14" ht="14.25" customHeight="1" x14ac:dyDescent="0.3">
      <c r="A1047">
        <v>2046</v>
      </c>
      <c r="B1047" t="s">
        <v>359</v>
      </c>
      <c r="C1047" t="s">
        <v>50</v>
      </c>
      <c r="D1047" t="s">
        <v>40</v>
      </c>
      <c r="E1047" t="s">
        <v>41</v>
      </c>
      <c r="F1047" t="s">
        <v>35</v>
      </c>
      <c r="G1047" t="s">
        <v>65</v>
      </c>
      <c r="H1047" t="s">
        <v>55</v>
      </c>
      <c r="I1047">
        <v>2</v>
      </c>
      <c r="J1047">
        <v>39837</v>
      </c>
      <c r="K1047">
        <v>79674</v>
      </c>
      <c r="L1047" t="s">
        <v>38</v>
      </c>
      <c r="M1047">
        <v>0</v>
      </c>
      <c r="N1047">
        <v>16674.189999999999</v>
      </c>
    </row>
    <row r="1048" spans="1:14" ht="14.25" customHeight="1" x14ac:dyDescent="0.3">
      <c r="A1048">
        <v>2047</v>
      </c>
      <c r="B1048" t="s">
        <v>359</v>
      </c>
      <c r="C1048" t="s">
        <v>39</v>
      </c>
      <c r="D1048" t="s">
        <v>66</v>
      </c>
      <c r="E1048" t="s">
        <v>34</v>
      </c>
      <c r="F1048" t="s">
        <v>35</v>
      </c>
      <c r="G1048" t="s">
        <v>36</v>
      </c>
      <c r="H1048" t="s">
        <v>37</v>
      </c>
      <c r="I1048">
        <v>3</v>
      </c>
      <c r="J1048">
        <v>38446</v>
      </c>
      <c r="K1048">
        <v>98037.3</v>
      </c>
      <c r="L1048" t="s">
        <v>43</v>
      </c>
      <c r="M1048">
        <v>15</v>
      </c>
      <c r="N1048">
        <v>23638.11</v>
      </c>
    </row>
    <row r="1049" spans="1:14" ht="14.25" customHeight="1" x14ac:dyDescent="0.3">
      <c r="A1049">
        <v>2048</v>
      </c>
      <c r="B1049" t="s">
        <v>359</v>
      </c>
      <c r="C1049" t="s">
        <v>32</v>
      </c>
      <c r="D1049" t="s">
        <v>58</v>
      </c>
      <c r="E1049" t="s">
        <v>54</v>
      </c>
      <c r="F1049" t="s">
        <v>35</v>
      </c>
      <c r="G1049" t="s">
        <v>65</v>
      </c>
      <c r="H1049" t="s">
        <v>42</v>
      </c>
      <c r="I1049">
        <v>5</v>
      </c>
      <c r="J1049">
        <v>43547</v>
      </c>
      <c r="K1049">
        <v>185074.75</v>
      </c>
      <c r="L1049" t="s">
        <v>61</v>
      </c>
      <c r="M1049">
        <v>15</v>
      </c>
      <c r="N1049">
        <v>45457.26</v>
      </c>
    </row>
    <row r="1050" spans="1:14" ht="14.25" customHeight="1" x14ac:dyDescent="0.3">
      <c r="A1050">
        <v>2049</v>
      </c>
      <c r="B1050" t="s">
        <v>360</v>
      </c>
      <c r="C1050" t="s">
        <v>44</v>
      </c>
      <c r="D1050" t="s">
        <v>40</v>
      </c>
      <c r="E1050" t="s">
        <v>41</v>
      </c>
      <c r="F1050" t="s">
        <v>45</v>
      </c>
      <c r="G1050" t="s">
        <v>69</v>
      </c>
      <c r="H1050" t="s">
        <v>55</v>
      </c>
      <c r="I1050">
        <v>1</v>
      </c>
      <c r="J1050">
        <v>9036</v>
      </c>
      <c r="K1050">
        <v>7680.6</v>
      </c>
      <c r="L1050" t="s">
        <v>61</v>
      </c>
      <c r="M1050">
        <v>15</v>
      </c>
      <c r="N1050">
        <v>1238.48</v>
      </c>
    </row>
    <row r="1051" spans="1:14" ht="14.25" customHeight="1" x14ac:dyDescent="0.3">
      <c r="A1051">
        <v>2050</v>
      </c>
      <c r="B1051" t="s">
        <v>360</v>
      </c>
      <c r="C1051" t="s">
        <v>44</v>
      </c>
      <c r="D1051" t="s">
        <v>66</v>
      </c>
      <c r="E1051" t="s">
        <v>34</v>
      </c>
      <c r="F1051" t="s">
        <v>51</v>
      </c>
      <c r="G1051" t="s">
        <v>52</v>
      </c>
      <c r="H1051" t="s">
        <v>42</v>
      </c>
      <c r="I1051">
        <v>5</v>
      </c>
      <c r="J1051">
        <v>47014</v>
      </c>
      <c r="K1051">
        <v>211563</v>
      </c>
      <c r="L1051" t="s">
        <v>48</v>
      </c>
      <c r="M1051">
        <v>10</v>
      </c>
      <c r="N1051">
        <v>21806.47</v>
      </c>
    </row>
    <row r="1052" spans="1:14" ht="14.25" customHeight="1" x14ac:dyDescent="0.3">
      <c r="A1052">
        <v>2051</v>
      </c>
      <c r="B1052" t="s">
        <v>360</v>
      </c>
      <c r="C1052" t="s">
        <v>50</v>
      </c>
      <c r="D1052" t="s">
        <v>53</v>
      </c>
      <c r="E1052" t="s">
        <v>54</v>
      </c>
      <c r="F1052" t="s">
        <v>51</v>
      </c>
      <c r="G1052" t="s">
        <v>52</v>
      </c>
      <c r="H1052" t="s">
        <v>42</v>
      </c>
      <c r="I1052">
        <v>4</v>
      </c>
      <c r="J1052">
        <v>41388</v>
      </c>
      <c r="K1052">
        <v>148996.79999999999</v>
      </c>
      <c r="L1052" t="s">
        <v>61</v>
      </c>
      <c r="M1052">
        <v>10</v>
      </c>
      <c r="N1052">
        <v>31121.9</v>
      </c>
    </row>
    <row r="1053" spans="1:14" ht="14.25" customHeight="1" x14ac:dyDescent="0.3">
      <c r="A1053">
        <v>2052</v>
      </c>
      <c r="B1053" t="s">
        <v>361</v>
      </c>
      <c r="C1053" t="s">
        <v>32</v>
      </c>
      <c r="D1053" t="s">
        <v>53</v>
      </c>
      <c r="E1053" t="s">
        <v>54</v>
      </c>
      <c r="F1053" t="s">
        <v>51</v>
      </c>
      <c r="G1053" t="s">
        <v>63</v>
      </c>
      <c r="H1053" t="s">
        <v>37</v>
      </c>
      <c r="I1053">
        <v>5</v>
      </c>
      <c r="J1053">
        <v>14736</v>
      </c>
      <c r="K1053">
        <v>66312</v>
      </c>
      <c r="L1053" t="s">
        <v>61</v>
      </c>
      <c r="M1053">
        <v>10</v>
      </c>
      <c r="N1053">
        <v>9438.74</v>
      </c>
    </row>
    <row r="1054" spans="1:14" ht="14.25" customHeight="1" x14ac:dyDescent="0.3">
      <c r="A1054">
        <v>2053</v>
      </c>
      <c r="B1054" t="s">
        <v>361</v>
      </c>
      <c r="C1054" t="s">
        <v>60</v>
      </c>
      <c r="D1054" t="s">
        <v>66</v>
      </c>
      <c r="E1054" t="s">
        <v>34</v>
      </c>
      <c r="F1054" t="s">
        <v>45</v>
      </c>
      <c r="G1054" t="s">
        <v>69</v>
      </c>
      <c r="H1054" t="s">
        <v>37</v>
      </c>
      <c r="I1054">
        <v>3</v>
      </c>
      <c r="J1054">
        <v>13488</v>
      </c>
      <c r="K1054">
        <v>40464</v>
      </c>
      <c r="L1054" t="s">
        <v>48</v>
      </c>
      <c r="M1054">
        <v>0</v>
      </c>
      <c r="N1054">
        <v>5439.27</v>
      </c>
    </row>
    <row r="1055" spans="1:14" ht="14.25" customHeight="1" x14ac:dyDescent="0.3">
      <c r="A1055">
        <v>2054</v>
      </c>
      <c r="B1055" t="s">
        <v>361</v>
      </c>
      <c r="C1055" t="s">
        <v>60</v>
      </c>
      <c r="D1055" t="s">
        <v>40</v>
      </c>
      <c r="E1055" t="s">
        <v>41</v>
      </c>
      <c r="F1055" t="s">
        <v>45</v>
      </c>
      <c r="G1055" t="s">
        <v>69</v>
      </c>
      <c r="H1055" t="s">
        <v>55</v>
      </c>
      <c r="I1055">
        <v>4</v>
      </c>
      <c r="J1055">
        <v>1490</v>
      </c>
      <c r="K1055">
        <v>5960</v>
      </c>
      <c r="L1055" t="s">
        <v>38</v>
      </c>
      <c r="M1055">
        <v>0</v>
      </c>
      <c r="N1055">
        <v>1028.3900000000001</v>
      </c>
    </row>
    <row r="1056" spans="1:14" ht="14.25" customHeight="1" x14ac:dyDescent="0.3">
      <c r="A1056">
        <v>2055</v>
      </c>
      <c r="B1056" t="s">
        <v>361</v>
      </c>
      <c r="C1056" t="s">
        <v>39</v>
      </c>
      <c r="D1056" t="s">
        <v>53</v>
      </c>
      <c r="E1056" t="s">
        <v>54</v>
      </c>
      <c r="F1056" t="s">
        <v>35</v>
      </c>
      <c r="G1056" t="s">
        <v>36</v>
      </c>
      <c r="H1056" t="s">
        <v>55</v>
      </c>
      <c r="I1056">
        <v>5</v>
      </c>
      <c r="J1056">
        <v>17123</v>
      </c>
      <c r="K1056">
        <v>77053.5</v>
      </c>
      <c r="L1056" t="s">
        <v>38</v>
      </c>
      <c r="M1056">
        <v>10</v>
      </c>
      <c r="N1056">
        <v>10543.21</v>
      </c>
    </row>
    <row r="1057" spans="1:14" ht="14.25" customHeight="1" x14ac:dyDescent="0.3">
      <c r="A1057">
        <v>2056</v>
      </c>
      <c r="B1057" t="s">
        <v>362</v>
      </c>
      <c r="C1057" t="s">
        <v>50</v>
      </c>
      <c r="D1057" t="s">
        <v>58</v>
      </c>
      <c r="E1057" t="s">
        <v>54</v>
      </c>
      <c r="F1057" t="s">
        <v>51</v>
      </c>
      <c r="G1057" t="s">
        <v>63</v>
      </c>
      <c r="H1057" t="s">
        <v>37</v>
      </c>
      <c r="I1057">
        <v>3</v>
      </c>
      <c r="J1057">
        <v>2770</v>
      </c>
      <c r="K1057">
        <v>7479</v>
      </c>
      <c r="L1057" t="s">
        <v>61</v>
      </c>
      <c r="M1057">
        <v>10</v>
      </c>
      <c r="N1057">
        <v>1068</v>
      </c>
    </row>
    <row r="1058" spans="1:14" ht="14.25" customHeight="1" x14ac:dyDescent="0.3">
      <c r="A1058">
        <v>2057</v>
      </c>
      <c r="B1058" t="s">
        <v>362</v>
      </c>
      <c r="C1058" t="s">
        <v>32</v>
      </c>
      <c r="D1058" t="s">
        <v>33</v>
      </c>
      <c r="E1058" t="s">
        <v>34</v>
      </c>
      <c r="F1058" t="s">
        <v>35</v>
      </c>
      <c r="G1058" t="s">
        <v>36</v>
      </c>
      <c r="H1058" t="s">
        <v>37</v>
      </c>
      <c r="I1058">
        <v>5</v>
      </c>
      <c r="J1058">
        <v>10700</v>
      </c>
      <c r="K1058">
        <v>45475</v>
      </c>
      <c r="L1058" t="s">
        <v>43</v>
      </c>
      <c r="M1058">
        <v>15</v>
      </c>
      <c r="N1058">
        <v>7178.85</v>
      </c>
    </row>
    <row r="1059" spans="1:14" ht="14.25" customHeight="1" x14ac:dyDescent="0.3">
      <c r="A1059">
        <v>2058</v>
      </c>
      <c r="B1059" t="s">
        <v>363</v>
      </c>
      <c r="C1059" t="s">
        <v>50</v>
      </c>
      <c r="D1059" t="s">
        <v>66</v>
      </c>
      <c r="E1059" t="s">
        <v>34</v>
      </c>
      <c r="F1059" t="s">
        <v>45</v>
      </c>
      <c r="G1059" t="s">
        <v>46</v>
      </c>
      <c r="H1059" t="s">
        <v>42</v>
      </c>
      <c r="I1059">
        <v>4</v>
      </c>
      <c r="J1059">
        <v>32911</v>
      </c>
      <c r="K1059">
        <v>131644</v>
      </c>
      <c r="L1059" t="s">
        <v>48</v>
      </c>
      <c r="M1059">
        <v>0</v>
      </c>
      <c r="N1059">
        <v>38765.53</v>
      </c>
    </row>
    <row r="1060" spans="1:14" ht="14.25" customHeight="1" x14ac:dyDescent="0.3">
      <c r="A1060">
        <v>2059</v>
      </c>
      <c r="B1060" t="s">
        <v>363</v>
      </c>
      <c r="C1060" t="s">
        <v>39</v>
      </c>
      <c r="D1060" t="s">
        <v>40</v>
      </c>
      <c r="E1060" t="s">
        <v>41</v>
      </c>
      <c r="F1060" t="s">
        <v>45</v>
      </c>
      <c r="G1060" t="s">
        <v>46</v>
      </c>
      <c r="H1060" t="s">
        <v>42</v>
      </c>
      <c r="I1060">
        <v>4</v>
      </c>
      <c r="J1060">
        <v>18268</v>
      </c>
      <c r="K1060">
        <v>69418.399999999994</v>
      </c>
      <c r="L1060" t="s">
        <v>43</v>
      </c>
      <c r="M1060">
        <v>5</v>
      </c>
      <c r="N1060">
        <v>16812.09</v>
      </c>
    </row>
    <row r="1061" spans="1:14" ht="14.25" customHeight="1" x14ac:dyDescent="0.3">
      <c r="A1061">
        <v>2060</v>
      </c>
      <c r="B1061" t="s">
        <v>363</v>
      </c>
      <c r="C1061" t="s">
        <v>32</v>
      </c>
      <c r="D1061" t="s">
        <v>53</v>
      </c>
      <c r="E1061" t="s">
        <v>54</v>
      </c>
      <c r="F1061" t="s">
        <v>35</v>
      </c>
      <c r="G1061" t="s">
        <v>65</v>
      </c>
      <c r="H1061" t="s">
        <v>37</v>
      </c>
      <c r="I1061">
        <v>1</v>
      </c>
      <c r="J1061">
        <v>29221</v>
      </c>
      <c r="K1061">
        <v>27759.95</v>
      </c>
      <c r="L1061" t="s">
        <v>61</v>
      </c>
      <c r="M1061">
        <v>5</v>
      </c>
      <c r="N1061">
        <v>6198.31</v>
      </c>
    </row>
    <row r="1062" spans="1:14" ht="14.25" customHeight="1" x14ac:dyDescent="0.3">
      <c r="A1062">
        <v>2061</v>
      </c>
      <c r="B1062" t="s">
        <v>364</v>
      </c>
      <c r="C1062" t="s">
        <v>44</v>
      </c>
      <c r="D1062" t="s">
        <v>66</v>
      </c>
      <c r="E1062" t="s">
        <v>34</v>
      </c>
      <c r="F1062" t="s">
        <v>45</v>
      </c>
      <c r="G1062" t="s">
        <v>57</v>
      </c>
      <c r="H1062" t="s">
        <v>37</v>
      </c>
      <c r="I1062">
        <v>4</v>
      </c>
      <c r="J1062">
        <v>44880</v>
      </c>
      <c r="K1062">
        <v>179520</v>
      </c>
      <c r="L1062" t="s">
        <v>61</v>
      </c>
      <c r="M1062">
        <v>0</v>
      </c>
      <c r="N1062">
        <v>20726.03</v>
      </c>
    </row>
    <row r="1063" spans="1:14" ht="14.25" customHeight="1" x14ac:dyDescent="0.3">
      <c r="A1063">
        <v>2062</v>
      </c>
      <c r="B1063" t="s">
        <v>364</v>
      </c>
      <c r="C1063" t="s">
        <v>32</v>
      </c>
      <c r="D1063" t="s">
        <v>40</v>
      </c>
      <c r="E1063" t="s">
        <v>41</v>
      </c>
      <c r="F1063" t="s">
        <v>35</v>
      </c>
      <c r="G1063" t="s">
        <v>36</v>
      </c>
      <c r="H1063" t="s">
        <v>42</v>
      </c>
      <c r="I1063">
        <v>4</v>
      </c>
      <c r="J1063">
        <v>33407</v>
      </c>
      <c r="K1063">
        <v>133628</v>
      </c>
      <c r="L1063" t="s">
        <v>38</v>
      </c>
      <c r="M1063">
        <v>0</v>
      </c>
      <c r="N1063">
        <v>38548.29</v>
      </c>
    </row>
    <row r="1064" spans="1:14" ht="14.25" customHeight="1" x14ac:dyDescent="0.3">
      <c r="A1064">
        <v>2063</v>
      </c>
      <c r="B1064" t="s">
        <v>365</v>
      </c>
      <c r="C1064" t="s">
        <v>60</v>
      </c>
      <c r="D1064" t="s">
        <v>66</v>
      </c>
      <c r="E1064" t="s">
        <v>34</v>
      </c>
      <c r="F1064" t="s">
        <v>51</v>
      </c>
      <c r="G1064" t="s">
        <v>52</v>
      </c>
      <c r="H1064" t="s">
        <v>37</v>
      </c>
      <c r="I1064">
        <v>5</v>
      </c>
      <c r="J1064">
        <v>21660</v>
      </c>
      <c r="K1064">
        <v>108300</v>
      </c>
      <c r="L1064" t="s">
        <v>48</v>
      </c>
      <c r="M1064">
        <v>0</v>
      </c>
      <c r="N1064">
        <v>32291.26</v>
      </c>
    </row>
    <row r="1065" spans="1:14" ht="14.25" customHeight="1" x14ac:dyDescent="0.3">
      <c r="A1065">
        <v>2064</v>
      </c>
      <c r="B1065" t="s">
        <v>365</v>
      </c>
      <c r="C1065" t="s">
        <v>44</v>
      </c>
      <c r="D1065" t="s">
        <v>33</v>
      </c>
      <c r="E1065" t="s">
        <v>34</v>
      </c>
      <c r="F1065" t="s">
        <v>45</v>
      </c>
      <c r="G1065" t="s">
        <v>57</v>
      </c>
      <c r="H1065" t="s">
        <v>55</v>
      </c>
      <c r="I1065">
        <v>5</v>
      </c>
      <c r="J1065">
        <v>10454</v>
      </c>
      <c r="K1065">
        <v>44429.5</v>
      </c>
      <c r="L1065" t="s">
        <v>43</v>
      </c>
      <c r="M1065">
        <v>15</v>
      </c>
      <c r="N1065">
        <v>5629.22</v>
      </c>
    </row>
    <row r="1066" spans="1:14" ht="14.25" customHeight="1" x14ac:dyDescent="0.3">
      <c r="A1066">
        <v>2065</v>
      </c>
      <c r="B1066" t="s">
        <v>365</v>
      </c>
      <c r="C1066" t="s">
        <v>39</v>
      </c>
      <c r="D1066" t="s">
        <v>33</v>
      </c>
      <c r="E1066" t="s">
        <v>34</v>
      </c>
      <c r="F1066" t="s">
        <v>35</v>
      </c>
      <c r="G1066" t="s">
        <v>36</v>
      </c>
      <c r="H1066" t="s">
        <v>47</v>
      </c>
      <c r="I1066">
        <v>2</v>
      </c>
      <c r="J1066">
        <v>17270</v>
      </c>
      <c r="K1066">
        <v>34540</v>
      </c>
      <c r="L1066" t="s">
        <v>48</v>
      </c>
      <c r="M1066">
        <v>0</v>
      </c>
      <c r="N1066">
        <v>6152.09</v>
      </c>
    </row>
    <row r="1067" spans="1:14" ht="14.25" customHeight="1" x14ac:dyDescent="0.3">
      <c r="A1067">
        <v>2066</v>
      </c>
      <c r="B1067" t="s">
        <v>365</v>
      </c>
      <c r="C1067" t="s">
        <v>50</v>
      </c>
      <c r="D1067" t="s">
        <v>53</v>
      </c>
      <c r="E1067" t="s">
        <v>54</v>
      </c>
      <c r="F1067" t="s">
        <v>45</v>
      </c>
      <c r="G1067" t="s">
        <v>69</v>
      </c>
      <c r="H1067" t="s">
        <v>37</v>
      </c>
      <c r="I1067">
        <v>4</v>
      </c>
      <c r="J1067">
        <v>27185</v>
      </c>
      <c r="K1067">
        <v>97866</v>
      </c>
      <c r="L1067" t="s">
        <v>61</v>
      </c>
      <c r="M1067">
        <v>10</v>
      </c>
      <c r="N1067">
        <v>24265.85</v>
      </c>
    </row>
    <row r="1068" spans="1:14" ht="14.25" customHeight="1" x14ac:dyDescent="0.3">
      <c r="A1068">
        <v>2067</v>
      </c>
      <c r="B1068" t="s">
        <v>365</v>
      </c>
      <c r="C1068" t="s">
        <v>60</v>
      </c>
      <c r="D1068" t="s">
        <v>53</v>
      </c>
      <c r="E1068" t="s">
        <v>54</v>
      </c>
      <c r="F1068" t="s">
        <v>51</v>
      </c>
      <c r="G1068" t="s">
        <v>52</v>
      </c>
      <c r="H1068" t="s">
        <v>37</v>
      </c>
      <c r="I1068">
        <v>5</v>
      </c>
      <c r="J1068">
        <v>9695</v>
      </c>
      <c r="K1068">
        <v>46051.25</v>
      </c>
      <c r="L1068" t="s">
        <v>48</v>
      </c>
      <c r="M1068">
        <v>5</v>
      </c>
      <c r="N1068">
        <v>10986.36</v>
      </c>
    </row>
    <row r="1069" spans="1:14" ht="14.25" customHeight="1" x14ac:dyDescent="0.3">
      <c r="A1069">
        <v>2068</v>
      </c>
      <c r="B1069" t="s">
        <v>366</v>
      </c>
      <c r="C1069" t="s">
        <v>32</v>
      </c>
      <c r="D1069" t="s">
        <v>40</v>
      </c>
      <c r="E1069" t="s">
        <v>41</v>
      </c>
      <c r="F1069" t="s">
        <v>51</v>
      </c>
      <c r="G1069" t="s">
        <v>62</v>
      </c>
      <c r="H1069" t="s">
        <v>37</v>
      </c>
      <c r="I1069">
        <v>5</v>
      </c>
      <c r="J1069">
        <v>31557</v>
      </c>
      <c r="K1069">
        <v>157785</v>
      </c>
      <c r="L1069" t="s">
        <v>43</v>
      </c>
      <c r="M1069">
        <v>0</v>
      </c>
      <c r="N1069">
        <v>28000.1</v>
      </c>
    </row>
    <row r="1070" spans="1:14" ht="14.25" customHeight="1" x14ac:dyDescent="0.3">
      <c r="A1070">
        <v>2069</v>
      </c>
      <c r="B1070" t="s">
        <v>366</v>
      </c>
      <c r="C1070" t="s">
        <v>39</v>
      </c>
      <c r="D1070" t="s">
        <v>33</v>
      </c>
      <c r="E1070" t="s">
        <v>34</v>
      </c>
      <c r="F1070" t="s">
        <v>51</v>
      </c>
      <c r="G1070" t="s">
        <v>62</v>
      </c>
      <c r="H1070" t="s">
        <v>42</v>
      </c>
      <c r="I1070">
        <v>4</v>
      </c>
      <c r="J1070">
        <v>1455</v>
      </c>
      <c r="K1070">
        <v>5529</v>
      </c>
      <c r="L1070" t="s">
        <v>61</v>
      </c>
      <c r="M1070">
        <v>5</v>
      </c>
      <c r="N1070">
        <v>750.63</v>
      </c>
    </row>
    <row r="1071" spans="1:14" ht="14.25" customHeight="1" x14ac:dyDescent="0.3">
      <c r="A1071">
        <v>2070</v>
      </c>
      <c r="B1071" t="s">
        <v>366</v>
      </c>
      <c r="C1071" t="s">
        <v>32</v>
      </c>
      <c r="D1071" t="s">
        <v>40</v>
      </c>
      <c r="E1071" t="s">
        <v>41</v>
      </c>
      <c r="F1071" t="s">
        <v>45</v>
      </c>
      <c r="G1071" t="s">
        <v>46</v>
      </c>
      <c r="H1071" t="s">
        <v>37</v>
      </c>
      <c r="I1071">
        <v>3</v>
      </c>
      <c r="J1071">
        <v>16941</v>
      </c>
      <c r="K1071">
        <v>48281.85</v>
      </c>
      <c r="L1071" t="s">
        <v>61</v>
      </c>
      <c r="M1071">
        <v>5</v>
      </c>
      <c r="N1071">
        <v>6191.27</v>
      </c>
    </row>
    <row r="1072" spans="1:14" ht="14.25" customHeight="1" x14ac:dyDescent="0.3">
      <c r="A1072">
        <v>2071</v>
      </c>
      <c r="B1072" t="s">
        <v>367</v>
      </c>
      <c r="C1072" t="s">
        <v>44</v>
      </c>
      <c r="D1072" t="s">
        <v>66</v>
      </c>
      <c r="E1072" t="s">
        <v>34</v>
      </c>
      <c r="F1072" t="s">
        <v>45</v>
      </c>
      <c r="G1072" t="s">
        <v>57</v>
      </c>
      <c r="H1072" t="s">
        <v>47</v>
      </c>
      <c r="I1072">
        <v>1</v>
      </c>
      <c r="J1072">
        <v>40952</v>
      </c>
      <c r="K1072">
        <v>34809.199999999997</v>
      </c>
      <c r="L1072" t="s">
        <v>48</v>
      </c>
      <c r="M1072">
        <v>15</v>
      </c>
      <c r="N1072">
        <v>10374.530000000001</v>
      </c>
    </row>
    <row r="1073" spans="1:14" ht="14.25" customHeight="1" x14ac:dyDescent="0.3">
      <c r="A1073">
        <v>2072</v>
      </c>
      <c r="B1073" t="s">
        <v>367</v>
      </c>
      <c r="C1073" t="s">
        <v>32</v>
      </c>
      <c r="D1073" t="s">
        <v>66</v>
      </c>
      <c r="E1073" t="s">
        <v>34</v>
      </c>
      <c r="F1073" t="s">
        <v>51</v>
      </c>
      <c r="G1073" t="s">
        <v>62</v>
      </c>
      <c r="H1073" t="s">
        <v>47</v>
      </c>
      <c r="I1073">
        <v>4</v>
      </c>
      <c r="J1073">
        <v>40566</v>
      </c>
      <c r="K1073">
        <v>146037.6</v>
      </c>
      <c r="L1073" t="s">
        <v>43</v>
      </c>
      <c r="M1073">
        <v>10</v>
      </c>
      <c r="N1073">
        <v>16131.33</v>
      </c>
    </row>
    <row r="1074" spans="1:14" ht="14.25" customHeight="1" x14ac:dyDescent="0.3">
      <c r="A1074">
        <v>2073</v>
      </c>
      <c r="B1074" t="s">
        <v>368</v>
      </c>
      <c r="C1074" t="s">
        <v>39</v>
      </c>
      <c r="D1074" t="s">
        <v>66</v>
      </c>
      <c r="E1074" t="s">
        <v>34</v>
      </c>
      <c r="F1074" t="s">
        <v>45</v>
      </c>
      <c r="G1074" t="s">
        <v>57</v>
      </c>
      <c r="H1074" t="s">
        <v>42</v>
      </c>
      <c r="I1074">
        <v>5</v>
      </c>
      <c r="J1074">
        <v>12108</v>
      </c>
      <c r="K1074">
        <v>51459</v>
      </c>
      <c r="L1074" t="s">
        <v>61</v>
      </c>
      <c r="M1074">
        <v>15</v>
      </c>
      <c r="N1074">
        <v>10608.12</v>
      </c>
    </row>
    <row r="1075" spans="1:14" ht="14.25" customHeight="1" x14ac:dyDescent="0.3">
      <c r="A1075">
        <v>2074</v>
      </c>
      <c r="B1075" t="s">
        <v>368</v>
      </c>
      <c r="C1075" t="s">
        <v>44</v>
      </c>
      <c r="D1075" t="s">
        <v>53</v>
      </c>
      <c r="E1075" t="s">
        <v>54</v>
      </c>
      <c r="F1075" t="s">
        <v>45</v>
      </c>
      <c r="G1075" t="s">
        <v>46</v>
      </c>
      <c r="H1075" t="s">
        <v>47</v>
      </c>
      <c r="I1075">
        <v>1</v>
      </c>
      <c r="J1075">
        <v>15779</v>
      </c>
      <c r="K1075">
        <v>14201.1</v>
      </c>
      <c r="L1075" t="s">
        <v>61</v>
      </c>
      <c r="M1075">
        <v>10</v>
      </c>
      <c r="N1075">
        <v>3313.68</v>
      </c>
    </row>
    <row r="1076" spans="1:14" ht="14.25" customHeight="1" x14ac:dyDescent="0.3">
      <c r="A1076">
        <v>2075</v>
      </c>
      <c r="B1076" t="s">
        <v>368</v>
      </c>
      <c r="C1076" t="s">
        <v>44</v>
      </c>
      <c r="D1076" t="s">
        <v>58</v>
      </c>
      <c r="E1076" t="s">
        <v>54</v>
      </c>
      <c r="F1076" t="s">
        <v>45</v>
      </c>
      <c r="G1076" t="s">
        <v>69</v>
      </c>
      <c r="H1076" t="s">
        <v>47</v>
      </c>
      <c r="I1076">
        <v>5</v>
      </c>
      <c r="J1076">
        <v>12216</v>
      </c>
      <c r="K1076">
        <v>58026</v>
      </c>
      <c r="L1076" t="s">
        <v>61</v>
      </c>
      <c r="M1076">
        <v>5</v>
      </c>
      <c r="N1076">
        <v>16914.150000000001</v>
      </c>
    </row>
    <row r="1077" spans="1:14" ht="14.25" customHeight="1" x14ac:dyDescent="0.3">
      <c r="A1077">
        <v>2076</v>
      </c>
      <c r="B1077" t="s">
        <v>369</v>
      </c>
      <c r="C1077" t="s">
        <v>44</v>
      </c>
      <c r="D1077" t="s">
        <v>66</v>
      </c>
      <c r="E1077" t="s">
        <v>34</v>
      </c>
      <c r="F1077" t="s">
        <v>35</v>
      </c>
      <c r="G1077" t="s">
        <v>36</v>
      </c>
      <c r="H1077" t="s">
        <v>42</v>
      </c>
      <c r="I1077">
        <v>3</v>
      </c>
      <c r="J1077">
        <v>29737</v>
      </c>
      <c r="K1077">
        <v>80289.899999999994</v>
      </c>
      <c r="L1077" t="s">
        <v>38</v>
      </c>
      <c r="M1077">
        <v>10</v>
      </c>
      <c r="N1077">
        <v>13182.37</v>
      </c>
    </row>
    <row r="1078" spans="1:14" ht="14.25" customHeight="1" x14ac:dyDescent="0.3">
      <c r="A1078">
        <v>2077</v>
      </c>
      <c r="B1078" t="s">
        <v>369</v>
      </c>
      <c r="C1078" t="s">
        <v>32</v>
      </c>
      <c r="D1078" t="s">
        <v>66</v>
      </c>
      <c r="E1078" t="s">
        <v>34</v>
      </c>
      <c r="F1078" t="s">
        <v>35</v>
      </c>
      <c r="G1078" t="s">
        <v>67</v>
      </c>
      <c r="H1078" t="s">
        <v>37</v>
      </c>
      <c r="I1078">
        <v>2</v>
      </c>
      <c r="J1078">
        <v>4312</v>
      </c>
      <c r="K1078">
        <v>8624</v>
      </c>
      <c r="L1078" t="s">
        <v>43</v>
      </c>
      <c r="M1078">
        <v>0</v>
      </c>
      <c r="N1078">
        <v>1718.67</v>
      </c>
    </row>
    <row r="1079" spans="1:14" ht="14.25" customHeight="1" x14ac:dyDescent="0.3">
      <c r="A1079">
        <v>2078</v>
      </c>
      <c r="B1079" t="s">
        <v>369</v>
      </c>
      <c r="C1079" t="s">
        <v>39</v>
      </c>
      <c r="D1079" t="s">
        <v>40</v>
      </c>
      <c r="E1079" t="s">
        <v>41</v>
      </c>
      <c r="F1079" t="s">
        <v>35</v>
      </c>
      <c r="G1079" t="s">
        <v>67</v>
      </c>
      <c r="H1079" t="s">
        <v>47</v>
      </c>
      <c r="I1079">
        <v>3</v>
      </c>
      <c r="J1079">
        <v>40734</v>
      </c>
      <c r="K1079">
        <v>122202</v>
      </c>
      <c r="L1079" t="s">
        <v>38</v>
      </c>
      <c r="M1079">
        <v>0</v>
      </c>
      <c r="N1079">
        <v>25640.54</v>
      </c>
    </row>
    <row r="1080" spans="1:14" ht="14.25" customHeight="1" x14ac:dyDescent="0.3">
      <c r="A1080">
        <v>2079</v>
      </c>
      <c r="B1080" t="s">
        <v>369</v>
      </c>
      <c r="C1080" t="s">
        <v>44</v>
      </c>
      <c r="D1080" t="s">
        <v>40</v>
      </c>
      <c r="E1080" t="s">
        <v>41</v>
      </c>
      <c r="F1080" t="s">
        <v>35</v>
      </c>
      <c r="G1080" t="s">
        <v>65</v>
      </c>
      <c r="H1080" t="s">
        <v>42</v>
      </c>
      <c r="I1080">
        <v>5</v>
      </c>
      <c r="J1080">
        <v>21168</v>
      </c>
      <c r="K1080">
        <v>105840</v>
      </c>
      <c r="L1080" t="s">
        <v>48</v>
      </c>
      <c r="M1080">
        <v>0</v>
      </c>
      <c r="N1080">
        <v>28266.14</v>
      </c>
    </row>
    <row r="1081" spans="1:14" ht="14.25" customHeight="1" x14ac:dyDescent="0.3">
      <c r="A1081">
        <v>2080</v>
      </c>
      <c r="B1081" t="s">
        <v>370</v>
      </c>
      <c r="C1081" t="s">
        <v>44</v>
      </c>
      <c r="D1081" t="s">
        <v>33</v>
      </c>
      <c r="E1081" t="s">
        <v>34</v>
      </c>
      <c r="F1081" t="s">
        <v>51</v>
      </c>
      <c r="G1081" t="s">
        <v>52</v>
      </c>
      <c r="H1081" t="s">
        <v>42</v>
      </c>
      <c r="I1081">
        <v>4</v>
      </c>
      <c r="J1081">
        <v>25464</v>
      </c>
      <c r="K1081">
        <v>86577.600000000006</v>
      </c>
      <c r="L1081" t="s">
        <v>61</v>
      </c>
      <c r="M1081">
        <v>15</v>
      </c>
      <c r="N1081">
        <v>14776.25</v>
      </c>
    </row>
    <row r="1082" spans="1:14" ht="14.25" customHeight="1" x14ac:dyDescent="0.3">
      <c r="A1082">
        <v>2081</v>
      </c>
      <c r="B1082" t="s">
        <v>370</v>
      </c>
      <c r="C1082" t="s">
        <v>44</v>
      </c>
      <c r="D1082" t="s">
        <v>66</v>
      </c>
      <c r="E1082" t="s">
        <v>34</v>
      </c>
      <c r="F1082" t="s">
        <v>51</v>
      </c>
      <c r="G1082" t="s">
        <v>52</v>
      </c>
      <c r="H1082" t="s">
        <v>42</v>
      </c>
      <c r="I1082">
        <v>3</v>
      </c>
      <c r="J1082">
        <v>45907</v>
      </c>
      <c r="K1082">
        <v>130834.95</v>
      </c>
      <c r="L1082" t="s">
        <v>48</v>
      </c>
      <c r="M1082">
        <v>5</v>
      </c>
      <c r="N1082">
        <v>38558.86</v>
      </c>
    </row>
    <row r="1083" spans="1:14" ht="14.25" customHeight="1" x14ac:dyDescent="0.3">
      <c r="A1083">
        <v>2082</v>
      </c>
      <c r="B1083" t="s">
        <v>371</v>
      </c>
      <c r="C1083" t="s">
        <v>39</v>
      </c>
      <c r="D1083" t="s">
        <v>33</v>
      </c>
      <c r="E1083" t="s">
        <v>34</v>
      </c>
      <c r="F1083" t="s">
        <v>45</v>
      </c>
      <c r="G1083" t="s">
        <v>46</v>
      </c>
      <c r="H1083" t="s">
        <v>47</v>
      </c>
      <c r="I1083">
        <v>5</v>
      </c>
      <c r="J1083">
        <v>20711</v>
      </c>
      <c r="K1083">
        <v>88021.75</v>
      </c>
      <c r="L1083" t="s">
        <v>48</v>
      </c>
      <c r="M1083">
        <v>15</v>
      </c>
      <c r="N1083">
        <v>10491.83</v>
      </c>
    </row>
    <row r="1084" spans="1:14" ht="14.25" customHeight="1" x14ac:dyDescent="0.3">
      <c r="A1084">
        <v>2083</v>
      </c>
      <c r="B1084" t="s">
        <v>371</v>
      </c>
      <c r="C1084" t="s">
        <v>32</v>
      </c>
      <c r="D1084" t="s">
        <v>33</v>
      </c>
      <c r="E1084" t="s">
        <v>34</v>
      </c>
      <c r="F1084" t="s">
        <v>51</v>
      </c>
      <c r="G1084" t="s">
        <v>63</v>
      </c>
      <c r="H1084" t="s">
        <v>47</v>
      </c>
      <c r="I1084">
        <v>4</v>
      </c>
      <c r="J1084">
        <v>4630</v>
      </c>
      <c r="K1084">
        <v>16668</v>
      </c>
      <c r="L1084" t="s">
        <v>48</v>
      </c>
      <c r="M1084">
        <v>10</v>
      </c>
      <c r="N1084">
        <v>4339.45</v>
      </c>
    </row>
    <row r="1085" spans="1:14" ht="14.25" customHeight="1" x14ac:dyDescent="0.3">
      <c r="A1085">
        <v>2084</v>
      </c>
      <c r="B1085" t="s">
        <v>371</v>
      </c>
      <c r="C1085" t="s">
        <v>60</v>
      </c>
      <c r="D1085" t="s">
        <v>53</v>
      </c>
      <c r="E1085" t="s">
        <v>54</v>
      </c>
      <c r="F1085" t="s">
        <v>35</v>
      </c>
      <c r="G1085" t="s">
        <v>65</v>
      </c>
      <c r="H1085" t="s">
        <v>47</v>
      </c>
      <c r="I1085">
        <v>2</v>
      </c>
      <c r="J1085">
        <v>25072</v>
      </c>
      <c r="K1085">
        <v>50144</v>
      </c>
      <c r="L1085" t="s">
        <v>48</v>
      </c>
      <c r="M1085">
        <v>0</v>
      </c>
      <c r="N1085">
        <v>6184.85</v>
      </c>
    </row>
    <row r="1086" spans="1:14" ht="14.25" customHeight="1" x14ac:dyDescent="0.3">
      <c r="A1086">
        <v>2085</v>
      </c>
      <c r="B1086" t="s">
        <v>371</v>
      </c>
      <c r="C1086" t="s">
        <v>50</v>
      </c>
      <c r="D1086" t="s">
        <v>53</v>
      </c>
      <c r="E1086" t="s">
        <v>54</v>
      </c>
      <c r="F1086" t="s">
        <v>51</v>
      </c>
      <c r="G1086" t="s">
        <v>63</v>
      </c>
      <c r="H1086" t="s">
        <v>42</v>
      </c>
      <c r="I1086">
        <v>3</v>
      </c>
      <c r="J1086">
        <v>43432</v>
      </c>
      <c r="K1086">
        <v>130296</v>
      </c>
      <c r="L1086" t="s">
        <v>48</v>
      </c>
      <c r="M1086">
        <v>0</v>
      </c>
      <c r="N1086">
        <v>13435.34</v>
      </c>
    </row>
    <row r="1087" spans="1:14" ht="14.25" customHeight="1" x14ac:dyDescent="0.3">
      <c r="A1087">
        <v>2086</v>
      </c>
      <c r="B1087" t="s">
        <v>371</v>
      </c>
      <c r="C1087" t="s">
        <v>60</v>
      </c>
      <c r="D1087" t="s">
        <v>66</v>
      </c>
      <c r="E1087" t="s">
        <v>34</v>
      </c>
      <c r="F1087" t="s">
        <v>35</v>
      </c>
      <c r="G1087" t="s">
        <v>36</v>
      </c>
      <c r="H1087" t="s">
        <v>37</v>
      </c>
      <c r="I1087">
        <v>2</v>
      </c>
      <c r="J1087">
        <v>7986</v>
      </c>
      <c r="K1087">
        <v>13576.2</v>
      </c>
      <c r="L1087" t="s">
        <v>61</v>
      </c>
      <c r="M1087">
        <v>15</v>
      </c>
      <c r="N1087">
        <v>2995.21</v>
      </c>
    </row>
    <row r="1088" spans="1:14" ht="14.25" customHeight="1" x14ac:dyDescent="0.3">
      <c r="A1088">
        <v>2087</v>
      </c>
      <c r="B1088" t="s">
        <v>372</v>
      </c>
      <c r="C1088" t="s">
        <v>50</v>
      </c>
      <c r="D1088" t="s">
        <v>40</v>
      </c>
      <c r="E1088" t="s">
        <v>41</v>
      </c>
      <c r="F1088" t="s">
        <v>35</v>
      </c>
      <c r="G1088" t="s">
        <v>36</v>
      </c>
      <c r="H1088" t="s">
        <v>47</v>
      </c>
      <c r="I1088">
        <v>2</v>
      </c>
      <c r="J1088">
        <v>17000</v>
      </c>
      <c r="K1088">
        <v>30600</v>
      </c>
      <c r="L1088" t="s">
        <v>38</v>
      </c>
      <c r="M1088">
        <v>10</v>
      </c>
      <c r="N1088">
        <v>4281.7299999999996</v>
      </c>
    </row>
    <row r="1089" spans="1:14" ht="14.25" customHeight="1" x14ac:dyDescent="0.3">
      <c r="A1089">
        <v>2088</v>
      </c>
      <c r="B1089" t="s">
        <v>372</v>
      </c>
      <c r="C1089" t="s">
        <v>39</v>
      </c>
      <c r="D1089" t="s">
        <v>40</v>
      </c>
      <c r="E1089" t="s">
        <v>41</v>
      </c>
      <c r="F1089" t="s">
        <v>51</v>
      </c>
      <c r="G1089" t="s">
        <v>63</v>
      </c>
      <c r="H1089" t="s">
        <v>42</v>
      </c>
      <c r="I1089">
        <v>3</v>
      </c>
      <c r="J1089">
        <v>9757</v>
      </c>
      <c r="K1089">
        <v>26343.9</v>
      </c>
      <c r="L1089" t="s">
        <v>38</v>
      </c>
      <c r="M1089">
        <v>10</v>
      </c>
      <c r="N1089">
        <v>3750.13</v>
      </c>
    </row>
    <row r="1090" spans="1:14" ht="14.25" customHeight="1" x14ac:dyDescent="0.3">
      <c r="A1090">
        <v>2089</v>
      </c>
      <c r="B1090" t="s">
        <v>372</v>
      </c>
      <c r="C1090" t="s">
        <v>32</v>
      </c>
      <c r="D1090" t="s">
        <v>33</v>
      </c>
      <c r="E1090" t="s">
        <v>34</v>
      </c>
      <c r="F1090" t="s">
        <v>51</v>
      </c>
      <c r="G1090" t="s">
        <v>63</v>
      </c>
      <c r="H1090" t="s">
        <v>42</v>
      </c>
      <c r="I1090">
        <v>2</v>
      </c>
      <c r="J1090">
        <v>35730</v>
      </c>
      <c r="K1090">
        <v>60741</v>
      </c>
      <c r="L1090" t="s">
        <v>48</v>
      </c>
      <c r="M1090">
        <v>15</v>
      </c>
      <c r="N1090">
        <v>17292.849999999999</v>
      </c>
    </row>
    <row r="1091" spans="1:14" ht="14.25" customHeight="1" x14ac:dyDescent="0.3">
      <c r="A1091">
        <v>2090</v>
      </c>
      <c r="B1091" t="s">
        <v>373</v>
      </c>
      <c r="C1091" t="s">
        <v>39</v>
      </c>
      <c r="D1091" t="s">
        <v>40</v>
      </c>
      <c r="E1091" t="s">
        <v>41</v>
      </c>
      <c r="F1091" t="s">
        <v>51</v>
      </c>
      <c r="G1091" t="s">
        <v>62</v>
      </c>
      <c r="H1091" t="s">
        <v>47</v>
      </c>
      <c r="I1091">
        <v>5</v>
      </c>
      <c r="J1091">
        <v>31458</v>
      </c>
      <c r="K1091">
        <v>149425.5</v>
      </c>
      <c r="L1091" t="s">
        <v>38</v>
      </c>
      <c r="M1091">
        <v>5</v>
      </c>
      <c r="N1091">
        <v>31015.87</v>
      </c>
    </row>
    <row r="1092" spans="1:14" ht="14.25" customHeight="1" x14ac:dyDescent="0.3">
      <c r="A1092">
        <v>2091</v>
      </c>
      <c r="B1092" t="s">
        <v>373</v>
      </c>
      <c r="C1092" t="s">
        <v>32</v>
      </c>
      <c r="D1092" t="s">
        <v>58</v>
      </c>
      <c r="E1092" t="s">
        <v>54</v>
      </c>
      <c r="F1092" t="s">
        <v>51</v>
      </c>
      <c r="G1092" t="s">
        <v>62</v>
      </c>
      <c r="H1092" t="s">
        <v>55</v>
      </c>
      <c r="I1092">
        <v>3</v>
      </c>
      <c r="J1092">
        <v>33755</v>
      </c>
      <c r="K1092">
        <v>96201.75</v>
      </c>
      <c r="L1092" t="s">
        <v>48</v>
      </c>
      <c r="M1092">
        <v>5</v>
      </c>
      <c r="N1092">
        <v>11106.27</v>
      </c>
    </row>
    <row r="1093" spans="1:14" ht="14.25" customHeight="1" x14ac:dyDescent="0.3">
      <c r="A1093">
        <v>2092</v>
      </c>
      <c r="B1093" t="s">
        <v>373</v>
      </c>
      <c r="C1093" t="s">
        <v>60</v>
      </c>
      <c r="D1093" t="s">
        <v>33</v>
      </c>
      <c r="E1093" t="s">
        <v>34</v>
      </c>
      <c r="F1093" t="s">
        <v>51</v>
      </c>
      <c r="G1093" t="s">
        <v>62</v>
      </c>
      <c r="H1093" t="s">
        <v>55</v>
      </c>
      <c r="I1093">
        <v>4</v>
      </c>
      <c r="J1093">
        <v>34970</v>
      </c>
      <c r="K1093">
        <v>118898</v>
      </c>
      <c r="L1093" t="s">
        <v>38</v>
      </c>
      <c r="M1093">
        <v>15</v>
      </c>
      <c r="N1093">
        <v>13419.21</v>
      </c>
    </row>
    <row r="1094" spans="1:14" ht="14.25" customHeight="1" x14ac:dyDescent="0.3">
      <c r="A1094">
        <v>2093</v>
      </c>
      <c r="B1094" t="s">
        <v>373</v>
      </c>
      <c r="C1094" t="s">
        <v>32</v>
      </c>
      <c r="D1094" t="s">
        <v>66</v>
      </c>
      <c r="E1094" t="s">
        <v>34</v>
      </c>
      <c r="F1094" t="s">
        <v>51</v>
      </c>
      <c r="G1094" t="s">
        <v>63</v>
      </c>
      <c r="H1094" t="s">
        <v>37</v>
      </c>
      <c r="I1094">
        <v>5</v>
      </c>
      <c r="J1094">
        <v>22082</v>
      </c>
      <c r="K1094">
        <v>110410</v>
      </c>
      <c r="L1094" t="s">
        <v>38</v>
      </c>
      <c r="M1094">
        <v>0</v>
      </c>
      <c r="N1094">
        <v>29817.42</v>
      </c>
    </row>
    <row r="1095" spans="1:14" ht="14.25" customHeight="1" x14ac:dyDescent="0.3">
      <c r="A1095">
        <v>2094</v>
      </c>
      <c r="B1095" t="s">
        <v>374</v>
      </c>
      <c r="C1095" t="s">
        <v>60</v>
      </c>
      <c r="D1095" t="s">
        <v>58</v>
      </c>
      <c r="E1095" t="s">
        <v>54</v>
      </c>
      <c r="F1095" t="s">
        <v>45</v>
      </c>
      <c r="G1095" t="s">
        <v>69</v>
      </c>
      <c r="H1095" t="s">
        <v>47</v>
      </c>
      <c r="I1095">
        <v>5</v>
      </c>
      <c r="J1095">
        <v>46685</v>
      </c>
      <c r="K1095">
        <v>210082.5</v>
      </c>
      <c r="L1095" t="s">
        <v>48</v>
      </c>
      <c r="M1095">
        <v>10</v>
      </c>
      <c r="N1095">
        <v>42171.92</v>
      </c>
    </row>
    <row r="1096" spans="1:14" ht="14.25" customHeight="1" x14ac:dyDescent="0.3">
      <c r="A1096">
        <v>2095</v>
      </c>
      <c r="B1096" t="s">
        <v>374</v>
      </c>
      <c r="C1096" t="s">
        <v>50</v>
      </c>
      <c r="D1096" t="s">
        <v>53</v>
      </c>
      <c r="E1096" t="s">
        <v>54</v>
      </c>
      <c r="F1096" t="s">
        <v>51</v>
      </c>
      <c r="G1096" t="s">
        <v>63</v>
      </c>
      <c r="H1096" t="s">
        <v>42</v>
      </c>
      <c r="I1096">
        <v>1</v>
      </c>
      <c r="J1096">
        <v>37309</v>
      </c>
      <c r="K1096">
        <v>37309</v>
      </c>
      <c r="L1096" t="s">
        <v>48</v>
      </c>
      <c r="M1096">
        <v>0</v>
      </c>
      <c r="N1096">
        <v>6514.09</v>
      </c>
    </row>
    <row r="1097" spans="1:14" ht="14.25" customHeight="1" x14ac:dyDescent="0.3">
      <c r="A1097">
        <v>2096</v>
      </c>
      <c r="B1097" t="s">
        <v>374</v>
      </c>
      <c r="C1097" t="s">
        <v>50</v>
      </c>
      <c r="D1097" t="s">
        <v>66</v>
      </c>
      <c r="E1097" t="s">
        <v>34</v>
      </c>
      <c r="F1097" t="s">
        <v>35</v>
      </c>
      <c r="G1097" t="s">
        <v>65</v>
      </c>
      <c r="H1097" t="s">
        <v>42</v>
      </c>
      <c r="I1097">
        <v>5</v>
      </c>
      <c r="J1097">
        <v>19976</v>
      </c>
      <c r="K1097">
        <v>94886</v>
      </c>
      <c r="L1097" t="s">
        <v>43</v>
      </c>
      <c r="M1097">
        <v>5</v>
      </c>
      <c r="N1097">
        <v>13639.84</v>
      </c>
    </row>
    <row r="1098" spans="1:14" ht="14.25" customHeight="1" x14ac:dyDescent="0.3">
      <c r="A1098">
        <v>2097</v>
      </c>
      <c r="B1098" t="s">
        <v>374</v>
      </c>
      <c r="C1098" t="s">
        <v>50</v>
      </c>
      <c r="D1098" t="s">
        <v>58</v>
      </c>
      <c r="E1098" t="s">
        <v>54</v>
      </c>
      <c r="F1098" t="s">
        <v>35</v>
      </c>
      <c r="G1098" t="s">
        <v>36</v>
      </c>
      <c r="H1098" t="s">
        <v>55</v>
      </c>
      <c r="I1098">
        <v>4</v>
      </c>
      <c r="J1098">
        <v>21805</v>
      </c>
      <c r="K1098">
        <v>74137</v>
      </c>
      <c r="L1098" t="s">
        <v>43</v>
      </c>
      <c r="M1098">
        <v>15</v>
      </c>
      <c r="N1098">
        <v>8316.4699999999993</v>
      </c>
    </row>
    <row r="1099" spans="1:14" ht="14.25" customHeight="1" x14ac:dyDescent="0.3">
      <c r="A1099">
        <v>2098</v>
      </c>
      <c r="B1099" t="s">
        <v>375</v>
      </c>
      <c r="C1099" t="s">
        <v>50</v>
      </c>
      <c r="D1099" t="s">
        <v>66</v>
      </c>
      <c r="E1099" t="s">
        <v>34</v>
      </c>
      <c r="F1099" t="s">
        <v>51</v>
      </c>
      <c r="G1099" t="s">
        <v>62</v>
      </c>
      <c r="H1099" t="s">
        <v>37</v>
      </c>
      <c r="I1099">
        <v>2</v>
      </c>
      <c r="J1099">
        <v>9399</v>
      </c>
      <c r="K1099">
        <v>17858.099999999999</v>
      </c>
      <c r="L1099" t="s">
        <v>61</v>
      </c>
      <c r="M1099">
        <v>5</v>
      </c>
      <c r="N1099">
        <v>4951.57</v>
      </c>
    </row>
    <row r="1100" spans="1:14" ht="14.25" customHeight="1" x14ac:dyDescent="0.3">
      <c r="A1100">
        <v>2099</v>
      </c>
      <c r="B1100" t="s">
        <v>375</v>
      </c>
      <c r="C1100" t="s">
        <v>39</v>
      </c>
      <c r="D1100" t="s">
        <v>66</v>
      </c>
      <c r="E1100" t="s">
        <v>34</v>
      </c>
      <c r="F1100" t="s">
        <v>51</v>
      </c>
      <c r="G1100" t="s">
        <v>52</v>
      </c>
      <c r="H1100" t="s">
        <v>55</v>
      </c>
      <c r="I1100">
        <v>1</v>
      </c>
      <c r="J1100">
        <v>644</v>
      </c>
      <c r="K1100">
        <v>644</v>
      </c>
      <c r="L1100" t="s">
        <v>43</v>
      </c>
      <c r="M1100">
        <v>0</v>
      </c>
      <c r="N1100">
        <v>71.989999999999995</v>
      </c>
    </row>
    <row r="1101" spans="1:14" ht="14.25" customHeight="1" x14ac:dyDescent="0.3">
      <c r="A1101">
        <v>2100</v>
      </c>
      <c r="B1101" t="s">
        <v>375</v>
      </c>
      <c r="C1101" t="s">
        <v>50</v>
      </c>
      <c r="D1101" t="s">
        <v>66</v>
      </c>
      <c r="E1101" t="s">
        <v>34</v>
      </c>
      <c r="F1101" t="s">
        <v>45</v>
      </c>
      <c r="G1101" t="s">
        <v>69</v>
      </c>
      <c r="H1101" t="s">
        <v>37</v>
      </c>
      <c r="I1101">
        <v>5</v>
      </c>
      <c r="J1101">
        <v>40144</v>
      </c>
      <c r="K1101">
        <v>180648</v>
      </c>
      <c r="L1101" t="s">
        <v>61</v>
      </c>
      <c r="M1101">
        <v>10</v>
      </c>
      <c r="N1101">
        <v>32788.06</v>
      </c>
    </row>
    <row r="1102" spans="1:14" ht="14.25" customHeight="1" x14ac:dyDescent="0.3">
      <c r="A1102">
        <v>2101</v>
      </c>
      <c r="B1102" t="s">
        <v>375</v>
      </c>
      <c r="C1102" t="s">
        <v>60</v>
      </c>
      <c r="D1102" t="s">
        <v>66</v>
      </c>
      <c r="E1102" t="s">
        <v>34</v>
      </c>
      <c r="F1102" t="s">
        <v>35</v>
      </c>
      <c r="G1102" t="s">
        <v>67</v>
      </c>
      <c r="H1102" t="s">
        <v>55</v>
      </c>
      <c r="I1102">
        <v>3</v>
      </c>
      <c r="J1102">
        <v>34134</v>
      </c>
      <c r="K1102">
        <v>97281.9</v>
      </c>
      <c r="L1102" t="s">
        <v>43</v>
      </c>
      <c r="M1102">
        <v>5</v>
      </c>
      <c r="N1102">
        <v>16288.45</v>
      </c>
    </row>
    <row r="1103" spans="1:14" ht="14.25" customHeight="1" x14ac:dyDescent="0.3">
      <c r="A1103">
        <v>2102</v>
      </c>
      <c r="B1103" t="s">
        <v>375</v>
      </c>
      <c r="C1103" t="s">
        <v>44</v>
      </c>
      <c r="D1103" t="s">
        <v>40</v>
      </c>
      <c r="E1103" t="s">
        <v>41</v>
      </c>
      <c r="F1103" t="s">
        <v>45</v>
      </c>
      <c r="G1103" t="s">
        <v>46</v>
      </c>
      <c r="H1103" t="s">
        <v>42</v>
      </c>
      <c r="I1103">
        <v>2</v>
      </c>
      <c r="J1103">
        <v>36497</v>
      </c>
      <c r="K1103">
        <v>69344.3</v>
      </c>
      <c r="L1103" t="s">
        <v>43</v>
      </c>
      <c r="M1103">
        <v>5</v>
      </c>
      <c r="N1103">
        <v>20535.400000000001</v>
      </c>
    </row>
    <row r="1104" spans="1:14" ht="14.25" customHeight="1" x14ac:dyDescent="0.3">
      <c r="A1104">
        <v>2103</v>
      </c>
      <c r="B1104" t="s">
        <v>376</v>
      </c>
      <c r="C1104" t="s">
        <v>32</v>
      </c>
      <c r="D1104" t="s">
        <v>53</v>
      </c>
      <c r="E1104" t="s">
        <v>54</v>
      </c>
      <c r="F1104" t="s">
        <v>51</v>
      </c>
      <c r="G1104" t="s">
        <v>52</v>
      </c>
      <c r="H1104" t="s">
        <v>47</v>
      </c>
      <c r="I1104">
        <v>3</v>
      </c>
      <c r="J1104">
        <v>37077</v>
      </c>
      <c r="K1104">
        <v>100107.9</v>
      </c>
      <c r="L1104" t="s">
        <v>61</v>
      </c>
      <c r="M1104">
        <v>10</v>
      </c>
      <c r="N1104">
        <v>18945.47</v>
      </c>
    </row>
    <row r="1105" spans="1:14" ht="14.25" customHeight="1" x14ac:dyDescent="0.3">
      <c r="A1105">
        <v>2104</v>
      </c>
      <c r="B1105" t="s">
        <v>376</v>
      </c>
      <c r="C1105" t="s">
        <v>39</v>
      </c>
      <c r="D1105" t="s">
        <v>33</v>
      </c>
      <c r="E1105" t="s">
        <v>34</v>
      </c>
      <c r="F1105" t="s">
        <v>51</v>
      </c>
      <c r="G1105" t="s">
        <v>62</v>
      </c>
      <c r="H1105" t="s">
        <v>37</v>
      </c>
      <c r="I1105">
        <v>4</v>
      </c>
      <c r="J1105">
        <v>33089</v>
      </c>
      <c r="K1105">
        <v>119120.4</v>
      </c>
      <c r="L1105" t="s">
        <v>48</v>
      </c>
      <c r="M1105">
        <v>10</v>
      </c>
      <c r="N1105">
        <v>24047.48</v>
      </c>
    </row>
    <row r="1106" spans="1:14" ht="14.25" customHeight="1" x14ac:dyDescent="0.3">
      <c r="A1106">
        <v>2105</v>
      </c>
      <c r="B1106" t="s">
        <v>376</v>
      </c>
      <c r="C1106" t="s">
        <v>32</v>
      </c>
      <c r="D1106" t="s">
        <v>58</v>
      </c>
      <c r="E1106" t="s">
        <v>54</v>
      </c>
      <c r="F1106" t="s">
        <v>35</v>
      </c>
      <c r="G1106" t="s">
        <v>67</v>
      </c>
      <c r="H1106" t="s">
        <v>42</v>
      </c>
      <c r="I1106">
        <v>1</v>
      </c>
      <c r="J1106">
        <v>6144</v>
      </c>
      <c r="K1106">
        <v>6144</v>
      </c>
      <c r="L1106" t="s">
        <v>48</v>
      </c>
      <c r="M1106">
        <v>0</v>
      </c>
      <c r="N1106">
        <v>674.4</v>
      </c>
    </row>
    <row r="1107" spans="1:14" ht="14.25" customHeight="1" x14ac:dyDescent="0.3">
      <c r="A1107">
        <v>2106</v>
      </c>
      <c r="B1107" t="s">
        <v>377</v>
      </c>
      <c r="C1107" t="s">
        <v>39</v>
      </c>
      <c r="D1107" t="s">
        <v>33</v>
      </c>
      <c r="E1107" t="s">
        <v>34</v>
      </c>
      <c r="F1107" t="s">
        <v>35</v>
      </c>
      <c r="G1107" t="s">
        <v>65</v>
      </c>
      <c r="H1107" t="s">
        <v>37</v>
      </c>
      <c r="I1107">
        <v>2</v>
      </c>
      <c r="J1107">
        <v>1109</v>
      </c>
      <c r="K1107">
        <v>2107.1</v>
      </c>
      <c r="L1107" t="s">
        <v>38</v>
      </c>
      <c r="M1107">
        <v>5</v>
      </c>
      <c r="N1107">
        <v>609.41999999999996</v>
      </c>
    </row>
    <row r="1108" spans="1:14" ht="14.25" customHeight="1" x14ac:dyDescent="0.3">
      <c r="A1108">
        <v>2107</v>
      </c>
      <c r="B1108" t="s">
        <v>377</v>
      </c>
      <c r="C1108" t="s">
        <v>50</v>
      </c>
      <c r="D1108" t="s">
        <v>40</v>
      </c>
      <c r="E1108" t="s">
        <v>41</v>
      </c>
      <c r="F1108" t="s">
        <v>35</v>
      </c>
      <c r="G1108" t="s">
        <v>65</v>
      </c>
      <c r="H1108" t="s">
        <v>42</v>
      </c>
      <c r="I1108">
        <v>1</v>
      </c>
      <c r="J1108">
        <v>17102</v>
      </c>
      <c r="K1108">
        <v>16246.9</v>
      </c>
      <c r="L1108" t="s">
        <v>38</v>
      </c>
      <c r="M1108">
        <v>5</v>
      </c>
      <c r="N1108">
        <v>2243.4299999999998</v>
      </c>
    </row>
    <row r="1109" spans="1:14" ht="14.25" customHeight="1" x14ac:dyDescent="0.3">
      <c r="A1109">
        <v>2108</v>
      </c>
      <c r="B1109" t="s">
        <v>377</v>
      </c>
      <c r="C1109" t="s">
        <v>50</v>
      </c>
      <c r="D1109" t="s">
        <v>33</v>
      </c>
      <c r="E1109" t="s">
        <v>34</v>
      </c>
      <c r="F1109" t="s">
        <v>45</v>
      </c>
      <c r="G1109" t="s">
        <v>69</v>
      </c>
      <c r="H1109" t="s">
        <v>37</v>
      </c>
      <c r="I1109">
        <v>1</v>
      </c>
      <c r="J1109">
        <v>15070</v>
      </c>
      <c r="K1109">
        <v>13563</v>
      </c>
      <c r="L1109" t="s">
        <v>38</v>
      </c>
      <c r="M1109">
        <v>10</v>
      </c>
      <c r="N1109">
        <v>2762.13</v>
      </c>
    </row>
    <row r="1110" spans="1:14" ht="14.25" customHeight="1" x14ac:dyDescent="0.3">
      <c r="A1110">
        <v>2109</v>
      </c>
      <c r="B1110" t="s">
        <v>377</v>
      </c>
      <c r="C1110" t="s">
        <v>39</v>
      </c>
      <c r="D1110" t="s">
        <v>66</v>
      </c>
      <c r="E1110" t="s">
        <v>34</v>
      </c>
      <c r="F1110" t="s">
        <v>35</v>
      </c>
      <c r="G1110" t="s">
        <v>67</v>
      </c>
      <c r="H1110" t="s">
        <v>42</v>
      </c>
      <c r="I1110">
        <v>1</v>
      </c>
      <c r="J1110">
        <v>39713</v>
      </c>
      <c r="K1110">
        <v>33756.050000000003</v>
      </c>
      <c r="L1110" t="s">
        <v>61</v>
      </c>
      <c r="M1110">
        <v>15</v>
      </c>
      <c r="N1110">
        <v>5958.29</v>
      </c>
    </row>
    <row r="1111" spans="1:14" ht="14.25" customHeight="1" x14ac:dyDescent="0.3">
      <c r="A1111">
        <v>2110</v>
      </c>
      <c r="B1111" t="s">
        <v>378</v>
      </c>
      <c r="C1111" t="s">
        <v>32</v>
      </c>
      <c r="D1111" t="s">
        <v>58</v>
      </c>
      <c r="E1111" t="s">
        <v>54</v>
      </c>
      <c r="F1111" t="s">
        <v>51</v>
      </c>
      <c r="G1111" t="s">
        <v>62</v>
      </c>
      <c r="H1111" t="s">
        <v>37</v>
      </c>
      <c r="I1111">
        <v>5</v>
      </c>
      <c r="J1111">
        <v>39592</v>
      </c>
      <c r="K1111">
        <v>168266</v>
      </c>
      <c r="L1111" t="s">
        <v>48</v>
      </c>
      <c r="M1111">
        <v>15</v>
      </c>
      <c r="N1111">
        <v>26437.79</v>
      </c>
    </row>
    <row r="1112" spans="1:14" ht="14.25" customHeight="1" x14ac:dyDescent="0.3">
      <c r="A1112">
        <v>2111</v>
      </c>
      <c r="B1112" t="s">
        <v>378</v>
      </c>
      <c r="C1112" t="s">
        <v>44</v>
      </c>
      <c r="D1112" t="s">
        <v>40</v>
      </c>
      <c r="E1112" t="s">
        <v>41</v>
      </c>
      <c r="F1112" t="s">
        <v>45</v>
      </c>
      <c r="G1112" t="s">
        <v>69</v>
      </c>
      <c r="H1112" t="s">
        <v>55</v>
      </c>
      <c r="I1112">
        <v>2</v>
      </c>
      <c r="J1112">
        <v>16534</v>
      </c>
      <c r="K1112">
        <v>31414.6</v>
      </c>
      <c r="L1112" t="s">
        <v>61</v>
      </c>
      <c r="M1112">
        <v>5</v>
      </c>
      <c r="N1112">
        <v>4389.84</v>
      </c>
    </row>
    <row r="1113" spans="1:14" ht="14.25" customHeight="1" x14ac:dyDescent="0.3">
      <c r="A1113">
        <v>2112</v>
      </c>
      <c r="B1113" t="s">
        <v>378</v>
      </c>
      <c r="C1113" t="s">
        <v>32</v>
      </c>
      <c r="D1113" t="s">
        <v>58</v>
      </c>
      <c r="E1113" t="s">
        <v>54</v>
      </c>
      <c r="F1113" t="s">
        <v>45</v>
      </c>
      <c r="G1113" t="s">
        <v>46</v>
      </c>
      <c r="H1113" t="s">
        <v>37</v>
      </c>
      <c r="I1113">
        <v>3</v>
      </c>
      <c r="J1113">
        <v>15856</v>
      </c>
      <c r="K1113">
        <v>45189.599999999999</v>
      </c>
      <c r="L1113" t="s">
        <v>43</v>
      </c>
      <c r="M1113">
        <v>5</v>
      </c>
      <c r="N1113">
        <v>13268.63</v>
      </c>
    </row>
    <row r="1114" spans="1:14" ht="14.25" customHeight="1" x14ac:dyDescent="0.3">
      <c r="A1114">
        <v>2113</v>
      </c>
      <c r="B1114" t="s">
        <v>379</v>
      </c>
      <c r="C1114" t="s">
        <v>50</v>
      </c>
      <c r="D1114" t="s">
        <v>58</v>
      </c>
      <c r="E1114" t="s">
        <v>54</v>
      </c>
      <c r="F1114" t="s">
        <v>51</v>
      </c>
      <c r="G1114" t="s">
        <v>52</v>
      </c>
      <c r="H1114" t="s">
        <v>42</v>
      </c>
      <c r="I1114">
        <v>3</v>
      </c>
      <c r="J1114">
        <v>24458</v>
      </c>
      <c r="K1114">
        <v>66036.600000000006</v>
      </c>
      <c r="L1114" t="s">
        <v>48</v>
      </c>
      <c r="M1114">
        <v>10</v>
      </c>
      <c r="N1114">
        <v>17177.419999999998</v>
      </c>
    </row>
    <row r="1115" spans="1:14" ht="14.25" customHeight="1" x14ac:dyDescent="0.3">
      <c r="A1115">
        <v>2114</v>
      </c>
      <c r="B1115" t="s">
        <v>379</v>
      </c>
      <c r="C1115" t="s">
        <v>50</v>
      </c>
      <c r="D1115" t="s">
        <v>58</v>
      </c>
      <c r="E1115" t="s">
        <v>54</v>
      </c>
      <c r="F1115" t="s">
        <v>35</v>
      </c>
      <c r="G1115" t="s">
        <v>65</v>
      </c>
      <c r="H1115" t="s">
        <v>47</v>
      </c>
      <c r="I1115">
        <v>2</v>
      </c>
      <c r="J1115">
        <v>33838</v>
      </c>
      <c r="K1115">
        <v>57524.6</v>
      </c>
      <c r="L1115" t="s">
        <v>61</v>
      </c>
      <c r="M1115">
        <v>15</v>
      </c>
      <c r="N1115">
        <v>16908.23</v>
      </c>
    </row>
    <row r="1116" spans="1:14" ht="14.25" customHeight="1" x14ac:dyDescent="0.3">
      <c r="A1116">
        <v>2115</v>
      </c>
      <c r="B1116" t="s">
        <v>380</v>
      </c>
      <c r="C1116" t="s">
        <v>32</v>
      </c>
      <c r="D1116" t="s">
        <v>33</v>
      </c>
      <c r="E1116" t="s">
        <v>34</v>
      </c>
      <c r="F1116" t="s">
        <v>45</v>
      </c>
      <c r="G1116" t="s">
        <v>69</v>
      </c>
      <c r="H1116" t="s">
        <v>55</v>
      </c>
      <c r="I1116">
        <v>2</v>
      </c>
      <c r="J1116">
        <v>18476</v>
      </c>
      <c r="K1116">
        <v>33256.800000000003</v>
      </c>
      <c r="L1116" t="s">
        <v>43</v>
      </c>
      <c r="M1116">
        <v>10</v>
      </c>
      <c r="N1116">
        <v>8664.66</v>
      </c>
    </row>
    <row r="1117" spans="1:14" ht="14.25" customHeight="1" x14ac:dyDescent="0.3">
      <c r="A1117">
        <v>2116</v>
      </c>
      <c r="B1117" t="s">
        <v>380</v>
      </c>
      <c r="C1117" t="s">
        <v>44</v>
      </c>
      <c r="D1117" t="s">
        <v>53</v>
      </c>
      <c r="E1117" t="s">
        <v>54</v>
      </c>
      <c r="F1117" t="s">
        <v>45</v>
      </c>
      <c r="G1117" t="s">
        <v>69</v>
      </c>
      <c r="H1117" t="s">
        <v>42</v>
      </c>
      <c r="I1117">
        <v>5</v>
      </c>
      <c r="J1117">
        <v>27963</v>
      </c>
      <c r="K1117">
        <v>139815</v>
      </c>
      <c r="L1117" t="s">
        <v>43</v>
      </c>
      <c r="M1117">
        <v>0</v>
      </c>
      <c r="N1117">
        <v>39295.360000000001</v>
      </c>
    </row>
    <row r="1118" spans="1:14" ht="14.25" customHeight="1" x14ac:dyDescent="0.3">
      <c r="A1118">
        <v>2117</v>
      </c>
      <c r="B1118" t="s">
        <v>380</v>
      </c>
      <c r="C1118" t="s">
        <v>60</v>
      </c>
      <c r="D1118" t="s">
        <v>33</v>
      </c>
      <c r="E1118" t="s">
        <v>34</v>
      </c>
      <c r="F1118" t="s">
        <v>45</v>
      </c>
      <c r="G1118" t="s">
        <v>69</v>
      </c>
      <c r="H1118" t="s">
        <v>37</v>
      </c>
      <c r="I1118">
        <v>4</v>
      </c>
      <c r="J1118">
        <v>7172</v>
      </c>
      <c r="K1118">
        <v>24384.799999999999</v>
      </c>
      <c r="L1118" t="s">
        <v>38</v>
      </c>
      <c r="M1118">
        <v>15</v>
      </c>
      <c r="N1118">
        <v>5770.95</v>
      </c>
    </row>
    <row r="1119" spans="1:14" ht="14.25" customHeight="1" x14ac:dyDescent="0.3">
      <c r="A1119">
        <v>2118</v>
      </c>
      <c r="B1119" t="s">
        <v>381</v>
      </c>
      <c r="C1119" t="s">
        <v>50</v>
      </c>
      <c r="D1119" t="s">
        <v>33</v>
      </c>
      <c r="E1119" t="s">
        <v>34</v>
      </c>
      <c r="F1119" t="s">
        <v>45</v>
      </c>
      <c r="G1119" t="s">
        <v>57</v>
      </c>
      <c r="H1119" t="s">
        <v>47</v>
      </c>
      <c r="I1119">
        <v>5</v>
      </c>
      <c r="J1119">
        <v>48263</v>
      </c>
      <c r="K1119">
        <v>205117.75</v>
      </c>
      <c r="L1119" t="s">
        <v>43</v>
      </c>
      <c r="M1119">
        <v>15</v>
      </c>
      <c r="N1119">
        <v>50432.2</v>
      </c>
    </row>
    <row r="1120" spans="1:14" ht="14.25" customHeight="1" x14ac:dyDescent="0.3">
      <c r="A1120">
        <v>2119</v>
      </c>
      <c r="B1120" t="s">
        <v>381</v>
      </c>
      <c r="C1120" t="s">
        <v>50</v>
      </c>
      <c r="D1120" t="s">
        <v>58</v>
      </c>
      <c r="E1120" t="s">
        <v>54</v>
      </c>
      <c r="F1120" t="s">
        <v>45</v>
      </c>
      <c r="G1120" t="s">
        <v>69</v>
      </c>
      <c r="H1120" t="s">
        <v>55</v>
      </c>
      <c r="I1120">
        <v>5</v>
      </c>
      <c r="J1120">
        <v>14484</v>
      </c>
      <c r="K1120">
        <v>68799</v>
      </c>
      <c r="L1120" t="s">
        <v>48</v>
      </c>
      <c r="M1120">
        <v>5</v>
      </c>
      <c r="N1120">
        <v>16325.52</v>
      </c>
    </row>
    <row r="1121" spans="1:14" ht="14.25" customHeight="1" x14ac:dyDescent="0.3">
      <c r="A1121">
        <v>2120</v>
      </c>
      <c r="B1121" t="s">
        <v>382</v>
      </c>
      <c r="C1121" t="s">
        <v>32</v>
      </c>
      <c r="D1121" t="s">
        <v>66</v>
      </c>
      <c r="E1121" t="s">
        <v>34</v>
      </c>
      <c r="F1121" t="s">
        <v>35</v>
      </c>
      <c r="G1121" t="s">
        <v>65</v>
      </c>
      <c r="H1121" t="s">
        <v>42</v>
      </c>
      <c r="I1121">
        <v>2</v>
      </c>
      <c r="J1121">
        <v>34969</v>
      </c>
      <c r="K1121">
        <v>69938</v>
      </c>
      <c r="L1121" t="s">
        <v>38</v>
      </c>
      <c r="M1121">
        <v>0</v>
      </c>
      <c r="N1121">
        <v>17217.830000000002</v>
      </c>
    </row>
    <row r="1122" spans="1:14" ht="14.25" customHeight="1" x14ac:dyDescent="0.3">
      <c r="A1122">
        <v>2121</v>
      </c>
      <c r="B1122" t="s">
        <v>382</v>
      </c>
      <c r="C1122" t="s">
        <v>32</v>
      </c>
      <c r="D1122" t="s">
        <v>53</v>
      </c>
      <c r="E1122" t="s">
        <v>54</v>
      </c>
      <c r="F1122" t="s">
        <v>35</v>
      </c>
      <c r="G1122" t="s">
        <v>36</v>
      </c>
      <c r="H1122" t="s">
        <v>55</v>
      </c>
      <c r="I1122">
        <v>1</v>
      </c>
      <c r="J1122">
        <v>12721</v>
      </c>
      <c r="K1122">
        <v>12084.95</v>
      </c>
      <c r="L1122" t="s">
        <v>48</v>
      </c>
      <c r="M1122">
        <v>5</v>
      </c>
      <c r="N1122">
        <v>1299.71</v>
      </c>
    </row>
    <row r="1123" spans="1:14" ht="14.25" customHeight="1" x14ac:dyDescent="0.3">
      <c r="A1123">
        <v>2122</v>
      </c>
      <c r="B1123" t="s">
        <v>382</v>
      </c>
      <c r="C1123" t="s">
        <v>32</v>
      </c>
      <c r="D1123" t="s">
        <v>66</v>
      </c>
      <c r="E1123" t="s">
        <v>34</v>
      </c>
      <c r="F1123" t="s">
        <v>45</v>
      </c>
      <c r="G1123" t="s">
        <v>57</v>
      </c>
      <c r="H1123" t="s">
        <v>42</v>
      </c>
      <c r="I1123">
        <v>2</v>
      </c>
      <c r="J1123">
        <v>33431</v>
      </c>
      <c r="K1123">
        <v>60175.8</v>
      </c>
      <c r="L1123" t="s">
        <v>61</v>
      </c>
      <c r="M1123">
        <v>10</v>
      </c>
      <c r="N1123">
        <v>16796.61</v>
      </c>
    </row>
    <row r="1124" spans="1:14" ht="14.25" customHeight="1" x14ac:dyDescent="0.3">
      <c r="A1124">
        <v>2123</v>
      </c>
      <c r="B1124" t="s">
        <v>382</v>
      </c>
      <c r="C1124" t="s">
        <v>39</v>
      </c>
      <c r="D1124" t="s">
        <v>66</v>
      </c>
      <c r="E1124" t="s">
        <v>34</v>
      </c>
      <c r="F1124" t="s">
        <v>51</v>
      </c>
      <c r="G1124" t="s">
        <v>62</v>
      </c>
      <c r="H1124" t="s">
        <v>42</v>
      </c>
      <c r="I1124">
        <v>3</v>
      </c>
      <c r="J1124">
        <v>2482</v>
      </c>
      <c r="K1124">
        <v>6329.1</v>
      </c>
      <c r="L1124" t="s">
        <v>48</v>
      </c>
      <c r="M1124">
        <v>15</v>
      </c>
      <c r="N1124">
        <v>1384.95</v>
      </c>
    </row>
    <row r="1125" spans="1:14" ht="14.25" customHeight="1" x14ac:dyDescent="0.3">
      <c r="A1125">
        <v>2124</v>
      </c>
      <c r="B1125" t="s">
        <v>383</v>
      </c>
      <c r="C1125" t="s">
        <v>60</v>
      </c>
      <c r="D1125" t="s">
        <v>40</v>
      </c>
      <c r="E1125" t="s">
        <v>41</v>
      </c>
      <c r="F1125" t="s">
        <v>35</v>
      </c>
      <c r="G1125" t="s">
        <v>36</v>
      </c>
      <c r="H1125" t="s">
        <v>37</v>
      </c>
      <c r="I1125">
        <v>5</v>
      </c>
      <c r="J1125">
        <v>18221</v>
      </c>
      <c r="K1125">
        <v>77439.25</v>
      </c>
      <c r="L1125" t="s">
        <v>48</v>
      </c>
      <c r="M1125">
        <v>15</v>
      </c>
      <c r="N1125">
        <v>21996.240000000002</v>
      </c>
    </row>
    <row r="1126" spans="1:14" ht="14.25" customHeight="1" x14ac:dyDescent="0.3">
      <c r="A1126">
        <v>2125</v>
      </c>
      <c r="B1126" t="s">
        <v>383</v>
      </c>
      <c r="C1126" t="s">
        <v>44</v>
      </c>
      <c r="D1126" t="s">
        <v>53</v>
      </c>
      <c r="E1126" t="s">
        <v>54</v>
      </c>
      <c r="F1126" t="s">
        <v>45</v>
      </c>
      <c r="G1126" t="s">
        <v>57</v>
      </c>
      <c r="H1126" t="s">
        <v>55</v>
      </c>
      <c r="I1126">
        <v>5</v>
      </c>
      <c r="J1126">
        <v>32664</v>
      </c>
      <c r="K1126">
        <v>163320</v>
      </c>
      <c r="L1126" t="s">
        <v>43</v>
      </c>
      <c r="M1126">
        <v>0</v>
      </c>
      <c r="N1126">
        <v>20294.099999999999</v>
      </c>
    </row>
    <row r="1127" spans="1:14" ht="14.25" customHeight="1" x14ac:dyDescent="0.3">
      <c r="A1127">
        <v>2126</v>
      </c>
      <c r="B1127" t="s">
        <v>383</v>
      </c>
      <c r="C1127" t="s">
        <v>50</v>
      </c>
      <c r="D1127" t="s">
        <v>58</v>
      </c>
      <c r="E1127" t="s">
        <v>54</v>
      </c>
      <c r="F1127" t="s">
        <v>35</v>
      </c>
      <c r="G1127" t="s">
        <v>65</v>
      </c>
      <c r="H1127" t="s">
        <v>37</v>
      </c>
      <c r="I1127">
        <v>1</v>
      </c>
      <c r="J1127">
        <v>11658</v>
      </c>
      <c r="K1127">
        <v>11658</v>
      </c>
      <c r="L1127" t="s">
        <v>43</v>
      </c>
      <c r="M1127">
        <v>0</v>
      </c>
      <c r="N1127">
        <v>2941.89</v>
      </c>
    </row>
    <row r="1128" spans="1:14" ht="14.25" customHeight="1" x14ac:dyDescent="0.3">
      <c r="A1128">
        <v>2127</v>
      </c>
      <c r="B1128" t="s">
        <v>383</v>
      </c>
      <c r="C1128" t="s">
        <v>50</v>
      </c>
      <c r="D1128" t="s">
        <v>40</v>
      </c>
      <c r="E1128" t="s">
        <v>41</v>
      </c>
      <c r="F1128" t="s">
        <v>35</v>
      </c>
      <c r="G1128" t="s">
        <v>67</v>
      </c>
      <c r="H1128" t="s">
        <v>47</v>
      </c>
      <c r="I1128">
        <v>1</v>
      </c>
      <c r="J1128">
        <v>30436</v>
      </c>
      <c r="K1128">
        <v>27392.400000000001</v>
      </c>
      <c r="L1128" t="s">
        <v>48</v>
      </c>
      <c r="M1128">
        <v>10</v>
      </c>
      <c r="N1128">
        <v>5119.05</v>
      </c>
    </row>
    <row r="1129" spans="1:14" ht="14.25" customHeight="1" x14ac:dyDescent="0.3">
      <c r="A1129">
        <v>2128</v>
      </c>
      <c r="B1129" t="s">
        <v>384</v>
      </c>
      <c r="C1129" t="s">
        <v>50</v>
      </c>
      <c r="D1129" t="s">
        <v>58</v>
      </c>
      <c r="E1129" t="s">
        <v>54</v>
      </c>
      <c r="F1129" t="s">
        <v>35</v>
      </c>
      <c r="G1129" t="s">
        <v>67</v>
      </c>
      <c r="H1129" t="s">
        <v>37</v>
      </c>
      <c r="I1129">
        <v>1</v>
      </c>
      <c r="J1129">
        <v>28348</v>
      </c>
      <c r="K1129">
        <v>25513.200000000001</v>
      </c>
      <c r="L1129" t="s">
        <v>48</v>
      </c>
      <c r="M1129">
        <v>10</v>
      </c>
      <c r="N1129">
        <v>2682.77</v>
      </c>
    </row>
    <row r="1130" spans="1:14" ht="14.25" customHeight="1" x14ac:dyDescent="0.3">
      <c r="A1130">
        <v>2129</v>
      </c>
      <c r="B1130" t="s">
        <v>384</v>
      </c>
      <c r="C1130" t="s">
        <v>60</v>
      </c>
      <c r="D1130" t="s">
        <v>66</v>
      </c>
      <c r="E1130" t="s">
        <v>34</v>
      </c>
      <c r="F1130" t="s">
        <v>51</v>
      </c>
      <c r="G1130" t="s">
        <v>63</v>
      </c>
      <c r="H1130" t="s">
        <v>47</v>
      </c>
      <c r="I1130">
        <v>4</v>
      </c>
      <c r="J1130">
        <v>3911</v>
      </c>
      <c r="K1130">
        <v>13297.4</v>
      </c>
      <c r="L1130" t="s">
        <v>61</v>
      </c>
      <c r="M1130">
        <v>15</v>
      </c>
      <c r="N1130">
        <v>3343.75</v>
      </c>
    </row>
    <row r="1131" spans="1:14" ht="14.25" customHeight="1" x14ac:dyDescent="0.3">
      <c r="A1131">
        <v>2130</v>
      </c>
      <c r="B1131" t="s">
        <v>384</v>
      </c>
      <c r="C1131" t="s">
        <v>50</v>
      </c>
      <c r="D1131" t="s">
        <v>40</v>
      </c>
      <c r="E1131" t="s">
        <v>41</v>
      </c>
      <c r="F1131" t="s">
        <v>45</v>
      </c>
      <c r="G1131" t="s">
        <v>46</v>
      </c>
      <c r="H1131" t="s">
        <v>42</v>
      </c>
      <c r="I1131">
        <v>4</v>
      </c>
      <c r="J1131">
        <v>14889</v>
      </c>
      <c r="K1131">
        <v>50622.6</v>
      </c>
      <c r="L1131" t="s">
        <v>61</v>
      </c>
      <c r="M1131">
        <v>15</v>
      </c>
      <c r="N1131">
        <v>8754.0499999999993</v>
      </c>
    </row>
    <row r="1132" spans="1:14" ht="14.25" customHeight="1" x14ac:dyDescent="0.3">
      <c r="A1132">
        <v>2131</v>
      </c>
      <c r="B1132" t="s">
        <v>384</v>
      </c>
      <c r="C1132" t="s">
        <v>60</v>
      </c>
      <c r="D1132" t="s">
        <v>66</v>
      </c>
      <c r="E1132" t="s">
        <v>34</v>
      </c>
      <c r="F1132" t="s">
        <v>51</v>
      </c>
      <c r="G1132" t="s">
        <v>63</v>
      </c>
      <c r="H1132" t="s">
        <v>42</v>
      </c>
      <c r="I1132">
        <v>3</v>
      </c>
      <c r="J1132">
        <v>15206</v>
      </c>
      <c r="K1132">
        <v>41056.199999999997</v>
      </c>
      <c r="L1132" t="s">
        <v>43</v>
      </c>
      <c r="M1132">
        <v>10</v>
      </c>
      <c r="N1132">
        <v>10644.42</v>
      </c>
    </row>
    <row r="1133" spans="1:14" ht="14.25" customHeight="1" x14ac:dyDescent="0.3">
      <c r="A1133">
        <v>2132</v>
      </c>
      <c r="B1133" t="s">
        <v>385</v>
      </c>
      <c r="C1133" t="s">
        <v>39</v>
      </c>
      <c r="D1133" t="s">
        <v>66</v>
      </c>
      <c r="E1133" t="s">
        <v>34</v>
      </c>
      <c r="F1133" t="s">
        <v>35</v>
      </c>
      <c r="G1133" t="s">
        <v>67</v>
      </c>
      <c r="H1133" t="s">
        <v>42</v>
      </c>
      <c r="I1133">
        <v>2</v>
      </c>
      <c r="J1133">
        <v>32939</v>
      </c>
      <c r="K1133">
        <v>62584.1</v>
      </c>
      <c r="L1133" t="s">
        <v>43</v>
      </c>
      <c r="M1133">
        <v>5</v>
      </c>
      <c r="N1133">
        <v>13121.78</v>
      </c>
    </row>
    <row r="1134" spans="1:14" ht="14.25" customHeight="1" x14ac:dyDescent="0.3">
      <c r="A1134">
        <v>2133</v>
      </c>
      <c r="B1134" t="s">
        <v>385</v>
      </c>
      <c r="C1134" t="s">
        <v>44</v>
      </c>
      <c r="D1134" t="s">
        <v>66</v>
      </c>
      <c r="E1134" t="s">
        <v>34</v>
      </c>
      <c r="F1134" t="s">
        <v>35</v>
      </c>
      <c r="G1134" t="s">
        <v>65</v>
      </c>
      <c r="H1134" t="s">
        <v>55</v>
      </c>
      <c r="I1134">
        <v>2</v>
      </c>
      <c r="J1134">
        <v>21716</v>
      </c>
      <c r="K1134">
        <v>39088.800000000003</v>
      </c>
      <c r="L1134" t="s">
        <v>48</v>
      </c>
      <c r="M1134">
        <v>10</v>
      </c>
      <c r="N1134">
        <v>10727.01</v>
      </c>
    </row>
    <row r="1135" spans="1:14" ht="14.25" customHeight="1" x14ac:dyDescent="0.3">
      <c r="A1135">
        <v>2134</v>
      </c>
      <c r="B1135" t="s">
        <v>385</v>
      </c>
      <c r="C1135" t="s">
        <v>39</v>
      </c>
      <c r="D1135" t="s">
        <v>33</v>
      </c>
      <c r="E1135" t="s">
        <v>34</v>
      </c>
      <c r="F1135" t="s">
        <v>51</v>
      </c>
      <c r="G1135" t="s">
        <v>52</v>
      </c>
      <c r="H1135" t="s">
        <v>47</v>
      </c>
      <c r="I1135">
        <v>5</v>
      </c>
      <c r="J1135">
        <v>46460</v>
      </c>
      <c r="K1135">
        <v>232300</v>
      </c>
      <c r="L1135" t="s">
        <v>48</v>
      </c>
      <c r="M1135">
        <v>0</v>
      </c>
      <c r="N1135">
        <v>55357.94</v>
      </c>
    </row>
    <row r="1136" spans="1:14" ht="14.25" customHeight="1" x14ac:dyDescent="0.3">
      <c r="A1136">
        <v>2135</v>
      </c>
      <c r="B1136" t="s">
        <v>385</v>
      </c>
      <c r="C1136" t="s">
        <v>44</v>
      </c>
      <c r="D1136" t="s">
        <v>66</v>
      </c>
      <c r="E1136" t="s">
        <v>34</v>
      </c>
      <c r="F1136" t="s">
        <v>51</v>
      </c>
      <c r="G1136" t="s">
        <v>52</v>
      </c>
      <c r="H1136" t="s">
        <v>37</v>
      </c>
      <c r="I1136">
        <v>3</v>
      </c>
      <c r="J1136">
        <v>42219</v>
      </c>
      <c r="K1136">
        <v>120324.15</v>
      </c>
      <c r="L1136" t="s">
        <v>61</v>
      </c>
      <c r="M1136">
        <v>5</v>
      </c>
      <c r="N1136">
        <v>32625.13</v>
      </c>
    </row>
    <row r="1137" spans="1:14" ht="14.25" customHeight="1" x14ac:dyDescent="0.3">
      <c r="A1137">
        <v>2136</v>
      </c>
      <c r="B1137" t="s">
        <v>385</v>
      </c>
      <c r="C1137" t="s">
        <v>60</v>
      </c>
      <c r="D1137" t="s">
        <v>33</v>
      </c>
      <c r="E1137" t="s">
        <v>34</v>
      </c>
      <c r="F1137" t="s">
        <v>51</v>
      </c>
      <c r="G1137" t="s">
        <v>62</v>
      </c>
      <c r="H1137" t="s">
        <v>37</v>
      </c>
      <c r="I1137">
        <v>3</v>
      </c>
      <c r="J1137">
        <v>49278</v>
      </c>
      <c r="K1137">
        <v>147834</v>
      </c>
      <c r="L1137" t="s">
        <v>61</v>
      </c>
      <c r="M1137">
        <v>0</v>
      </c>
      <c r="N1137">
        <v>15852.47</v>
      </c>
    </row>
    <row r="1138" spans="1:14" ht="14.25" customHeight="1" x14ac:dyDescent="0.3">
      <c r="A1138">
        <v>2137</v>
      </c>
      <c r="B1138" t="s">
        <v>386</v>
      </c>
      <c r="C1138" t="s">
        <v>60</v>
      </c>
      <c r="D1138" t="s">
        <v>58</v>
      </c>
      <c r="E1138" t="s">
        <v>54</v>
      </c>
      <c r="F1138" t="s">
        <v>35</v>
      </c>
      <c r="G1138" t="s">
        <v>67</v>
      </c>
      <c r="H1138" t="s">
        <v>47</v>
      </c>
      <c r="I1138">
        <v>4</v>
      </c>
      <c r="J1138">
        <v>34154</v>
      </c>
      <c r="K1138">
        <v>129785.2</v>
      </c>
      <c r="L1138" t="s">
        <v>43</v>
      </c>
      <c r="M1138">
        <v>5</v>
      </c>
      <c r="N1138">
        <v>33426.42</v>
      </c>
    </row>
    <row r="1139" spans="1:14" ht="14.25" customHeight="1" x14ac:dyDescent="0.3">
      <c r="A1139">
        <v>2138</v>
      </c>
      <c r="B1139" t="s">
        <v>386</v>
      </c>
      <c r="C1139" t="s">
        <v>50</v>
      </c>
      <c r="D1139" t="s">
        <v>53</v>
      </c>
      <c r="E1139" t="s">
        <v>54</v>
      </c>
      <c r="F1139" t="s">
        <v>45</v>
      </c>
      <c r="G1139" t="s">
        <v>46</v>
      </c>
      <c r="H1139" t="s">
        <v>55</v>
      </c>
      <c r="I1139">
        <v>5</v>
      </c>
      <c r="J1139">
        <v>33743</v>
      </c>
      <c r="K1139">
        <v>151843.5</v>
      </c>
      <c r="L1139" t="s">
        <v>48</v>
      </c>
      <c r="M1139">
        <v>10</v>
      </c>
      <c r="N1139">
        <v>35714.75</v>
      </c>
    </row>
    <row r="1140" spans="1:14" ht="14.25" customHeight="1" x14ac:dyDescent="0.3">
      <c r="A1140">
        <v>2139</v>
      </c>
      <c r="B1140" t="s">
        <v>386</v>
      </c>
      <c r="C1140" t="s">
        <v>50</v>
      </c>
      <c r="D1140" t="s">
        <v>53</v>
      </c>
      <c r="E1140" t="s">
        <v>54</v>
      </c>
      <c r="F1140" t="s">
        <v>45</v>
      </c>
      <c r="G1140" t="s">
        <v>69</v>
      </c>
      <c r="H1140" t="s">
        <v>47</v>
      </c>
      <c r="I1140">
        <v>2</v>
      </c>
      <c r="J1140">
        <v>45964</v>
      </c>
      <c r="K1140">
        <v>87331.6</v>
      </c>
      <c r="L1140" t="s">
        <v>43</v>
      </c>
      <c r="M1140">
        <v>5</v>
      </c>
      <c r="N1140">
        <v>22424.35</v>
      </c>
    </row>
    <row r="1141" spans="1:14" ht="14.25" customHeight="1" x14ac:dyDescent="0.3">
      <c r="A1141">
        <v>2140</v>
      </c>
      <c r="B1141" t="s">
        <v>386</v>
      </c>
      <c r="C1141" t="s">
        <v>32</v>
      </c>
      <c r="D1141" t="s">
        <v>58</v>
      </c>
      <c r="E1141" t="s">
        <v>54</v>
      </c>
      <c r="F1141" t="s">
        <v>51</v>
      </c>
      <c r="G1141" t="s">
        <v>62</v>
      </c>
      <c r="H1141" t="s">
        <v>55</v>
      </c>
      <c r="I1141">
        <v>1</v>
      </c>
      <c r="J1141">
        <v>9154</v>
      </c>
      <c r="K1141">
        <v>8238.6</v>
      </c>
      <c r="L1141" t="s">
        <v>43</v>
      </c>
      <c r="M1141">
        <v>10</v>
      </c>
      <c r="N1141">
        <v>1129.03</v>
      </c>
    </row>
    <row r="1142" spans="1:14" ht="14.25" customHeight="1" x14ac:dyDescent="0.3">
      <c r="A1142">
        <v>2141</v>
      </c>
      <c r="B1142" t="s">
        <v>387</v>
      </c>
      <c r="C1142" t="s">
        <v>39</v>
      </c>
      <c r="D1142" t="s">
        <v>58</v>
      </c>
      <c r="E1142" t="s">
        <v>54</v>
      </c>
      <c r="F1142" t="s">
        <v>45</v>
      </c>
      <c r="G1142" t="s">
        <v>69</v>
      </c>
      <c r="H1142" t="s">
        <v>37</v>
      </c>
      <c r="I1142">
        <v>2</v>
      </c>
      <c r="J1142">
        <v>11019</v>
      </c>
      <c r="K1142">
        <v>18732.3</v>
      </c>
      <c r="L1142" t="s">
        <v>48</v>
      </c>
      <c r="M1142">
        <v>15</v>
      </c>
      <c r="N1142">
        <v>4243.96</v>
      </c>
    </row>
    <row r="1143" spans="1:14" ht="14.25" customHeight="1" x14ac:dyDescent="0.3">
      <c r="A1143">
        <v>2142</v>
      </c>
      <c r="B1143" t="s">
        <v>387</v>
      </c>
      <c r="C1143" t="s">
        <v>50</v>
      </c>
      <c r="D1143" t="s">
        <v>66</v>
      </c>
      <c r="E1143" t="s">
        <v>34</v>
      </c>
      <c r="F1143" t="s">
        <v>45</v>
      </c>
      <c r="G1143" t="s">
        <v>46</v>
      </c>
      <c r="H1143" t="s">
        <v>55</v>
      </c>
      <c r="I1143">
        <v>1</v>
      </c>
      <c r="J1143">
        <v>46764</v>
      </c>
      <c r="K1143">
        <v>44425.8</v>
      </c>
      <c r="L1143" t="s">
        <v>48</v>
      </c>
      <c r="M1143">
        <v>5</v>
      </c>
      <c r="N1143">
        <v>7277.31</v>
      </c>
    </row>
    <row r="1144" spans="1:14" ht="14.25" customHeight="1" x14ac:dyDescent="0.3">
      <c r="A1144">
        <v>2143</v>
      </c>
      <c r="B1144" t="s">
        <v>387</v>
      </c>
      <c r="C1144" t="s">
        <v>39</v>
      </c>
      <c r="D1144" t="s">
        <v>33</v>
      </c>
      <c r="E1144" t="s">
        <v>34</v>
      </c>
      <c r="F1144" t="s">
        <v>51</v>
      </c>
      <c r="G1144" t="s">
        <v>52</v>
      </c>
      <c r="H1144" t="s">
        <v>47</v>
      </c>
      <c r="I1144">
        <v>4</v>
      </c>
      <c r="J1144">
        <v>46713</v>
      </c>
      <c r="K1144">
        <v>177509.4</v>
      </c>
      <c r="L1144" t="s">
        <v>48</v>
      </c>
      <c r="M1144">
        <v>5</v>
      </c>
      <c r="N1144">
        <v>50172.32</v>
      </c>
    </row>
    <row r="1145" spans="1:14" ht="14.25" customHeight="1" x14ac:dyDescent="0.3">
      <c r="A1145">
        <v>2144</v>
      </c>
      <c r="B1145" t="s">
        <v>387</v>
      </c>
      <c r="C1145" t="s">
        <v>32</v>
      </c>
      <c r="D1145" t="s">
        <v>40</v>
      </c>
      <c r="E1145" t="s">
        <v>41</v>
      </c>
      <c r="F1145" t="s">
        <v>51</v>
      </c>
      <c r="G1145" t="s">
        <v>62</v>
      </c>
      <c r="H1145" t="s">
        <v>47</v>
      </c>
      <c r="I1145">
        <v>2</v>
      </c>
      <c r="J1145">
        <v>12461</v>
      </c>
      <c r="K1145">
        <v>23675.9</v>
      </c>
      <c r="L1145" t="s">
        <v>38</v>
      </c>
      <c r="M1145">
        <v>5</v>
      </c>
      <c r="N1145">
        <v>4484.25</v>
      </c>
    </row>
    <row r="1146" spans="1:14" ht="14.25" customHeight="1" x14ac:dyDescent="0.3">
      <c r="A1146">
        <v>2145</v>
      </c>
      <c r="B1146" t="s">
        <v>388</v>
      </c>
      <c r="C1146" t="s">
        <v>50</v>
      </c>
      <c r="D1146" t="s">
        <v>40</v>
      </c>
      <c r="E1146" t="s">
        <v>41</v>
      </c>
      <c r="F1146" t="s">
        <v>35</v>
      </c>
      <c r="G1146" t="s">
        <v>36</v>
      </c>
      <c r="H1146" t="s">
        <v>55</v>
      </c>
      <c r="I1146">
        <v>1</v>
      </c>
      <c r="J1146">
        <v>24498</v>
      </c>
      <c r="K1146">
        <v>20823.3</v>
      </c>
      <c r="L1146" t="s">
        <v>61</v>
      </c>
      <c r="M1146">
        <v>15</v>
      </c>
      <c r="N1146">
        <v>4733.38</v>
      </c>
    </row>
    <row r="1147" spans="1:14" ht="14.25" customHeight="1" x14ac:dyDescent="0.3">
      <c r="A1147">
        <v>2146</v>
      </c>
      <c r="B1147" t="s">
        <v>388</v>
      </c>
      <c r="C1147" t="s">
        <v>50</v>
      </c>
      <c r="D1147" t="s">
        <v>33</v>
      </c>
      <c r="E1147" t="s">
        <v>34</v>
      </c>
      <c r="F1147" t="s">
        <v>51</v>
      </c>
      <c r="G1147" t="s">
        <v>52</v>
      </c>
      <c r="H1147" t="s">
        <v>55</v>
      </c>
      <c r="I1147">
        <v>3</v>
      </c>
      <c r="J1147">
        <v>30149</v>
      </c>
      <c r="K1147">
        <v>81402.3</v>
      </c>
      <c r="L1147" t="s">
        <v>38</v>
      </c>
      <c r="M1147">
        <v>10</v>
      </c>
      <c r="N1147">
        <v>10306.200000000001</v>
      </c>
    </row>
    <row r="1148" spans="1:14" ht="14.25" customHeight="1" x14ac:dyDescent="0.3">
      <c r="A1148">
        <v>2147</v>
      </c>
      <c r="B1148" t="s">
        <v>388</v>
      </c>
      <c r="C1148" t="s">
        <v>60</v>
      </c>
      <c r="D1148" t="s">
        <v>53</v>
      </c>
      <c r="E1148" t="s">
        <v>54</v>
      </c>
      <c r="F1148" t="s">
        <v>35</v>
      </c>
      <c r="G1148" t="s">
        <v>65</v>
      </c>
      <c r="H1148" t="s">
        <v>37</v>
      </c>
      <c r="I1148">
        <v>2</v>
      </c>
      <c r="J1148">
        <v>23013</v>
      </c>
      <c r="K1148">
        <v>39122.1</v>
      </c>
      <c r="L1148" t="s">
        <v>43</v>
      </c>
      <c r="M1148">
        <v>15</v>
      </c>
      <c r="N1148">
        <v>6921.99</v>
      </c>
    </row>
    <row r="1149" spans="1:14" ht="14.25" customHeight="1" x14ac:dyDescent="0.3">
      <c r="A1149">
        <v>2148</v>
      </c>
      <c r="B1149" t="s">
        <v>388</v>
      </c>
      <c r="C1149" t="s">
        <v>32</v>
      </c>
      <c r="D1149" t="s">
        <v>33</v>
      </c>
      <c r="E1149" t="s">
        <v>34</v>
      </c>
      <c r="F1149" t="s">
        <v>35</v>
      </c>
      <c r="G1149" t="s">
        <v>36</v>
      </c>
      <c r="H1149" t="s">
        <v>37</v>
      </c>
      <c r="I1149">
        <v>5</v>
      </c>
      <c r="J1149">
        <v>47524</v>
      </c>
      <c r="K1149">
        <v>201977</v>
      </c>
      <c r="L1149" t="s">
        <v>38</v>
      </c>
      <c r="M1149">
        <v>15</v>
      </c>
      <c r="N1149">
        <v>48128.08</v>
      </c>
    </row>
    <row r="1150" spans="1:14" ht="14.25" customHeight="1" x14ac:dyDescent="0.3">
      <c r="A1150">
        <v>2149</v>
      </c>
      <c r="B1150" t="s">
        <v>388</v>
      </c>
      <c r="C1150" t="s">
        <v>44</v>
      </c>
      <c r="D1150" t="s">
        <v>40</v>
      </c>
      <c r="E1150" t="s">
        <v>41</v>
      </c>
      <c r="F1150" t="s">
        <v>45</v>
      </c>
      <c r="G1150" t="s">
        <v>57</v>
      </c>
      <c r="H1150" t="s">
        <v>55</v>
      </c>
      <c r="I1150">
        <v>5</v>
      </c>
      <c r="J1150">
        <v>3423</v>
      </c>
      <c r="K1150">
        <v>17115</v>
      </c>
      <c r="L1150" t="s">
        <v>48</v>
      </c>
      <c r="M1150">
        <v>0</v>
      </c>
      <c r="N1150">
        <v>2082.36</v>
      </c>
    </row>
    <row r="1151" spans="1:14" ht="14.25" customHeight="1" x14ac:dyDescent="0.3">
      <c r="A1151">
        <v>2150</v>
      </c>
      <c r="B1151" t="s">
        <v>389</v>
      </c>
      <c r="C1151" t="s">
        <v>32</v>
      </c>
      <c r="D1151" t="s">
        <v>66</v>
      </c>
      <c r="E1151" t="s">
        <v>34</v>
      </c>
      <c r="F1151" t="s">
        <v>45</v>
      </c>
      <c r="G1151" t="s">
        <v>46</v>
      </c>
      <c r="H1151" t="s">
        <v>42</v>
      </c>
      <c r="I1151">
        <v>5</v>
      </c>
      <c r="J1151">
        <v>25865</v>
      </c>
      <c r="K1151">
        <v>129325</v>
      </c>
      <c r="L1151" t="s">
        <v>43</v>
      </c>
      <c r="M1151">
        <v>0</v>
      </c>
      <c r="N1151">
        <v>18856.45</v>
      </c>
    </row>
    <row r="1152" spans="1:14" ht="14.25" customHeight="1" x14ac:dyDescent="0.3">
      <c r="A1152">
        <v>2151</v>
      </c>
      <c r="B1152" t="s">
        <v>389</v>
      </c>
      <c r="C1152" t="s">
        <v>44</v>
      </c>
      <c r="D1152" t="s">
        <v>58</v>
      </c>
      <c r="E1152" t="s">
        <v>54</v>
      </c>
      <c r="F1152" t="s">
        <v>35</v>
      </c>
      <c r="G1152" t="s">
        <v>36</v>
      </c>
      <c r="H1152" t="s">
        <v>37</v>
      </c>
      <c r="I1152">
        <v>1</v>
      </c>
      <c r="J1152">
        <v>40994</v>
      </c>
      <c r="K1152">
        <v>36894.6</v>
      </c>
      <c r="L1152" t="s">
        <v>38</v>
      </c>
      <c r="M1152">
        <v>10</v>
      </c>
      <c r="N1152">
        <v>5440.75</v>
      </c>
    </row>
    <row r="1153" spans="1:14" ht="14.25" customHeight="1" x14ac:dyDescent="0.3">
      <c r="A1153">
        <v>2152</v>
      </c>
      <c r="B1153" t="s">
        <v>390</v>
      </c>
      <c r="C1153" t="s">
        <v>32</v>
      </c>
      <c r="D1153" t="s">
        <v>58</v>
      </c>
      <c r="E1153" t="s">
        <v>54</v>
      </c>
      <c r="F1153" t="s">
        <v>51</v>
      </c>
      <c r="G1153" t="s">
        <v>52</v>
      </c>
      <c r="H1153" t="s">
        <v>55</v>
      </c>
      <c r="I1153">
        <v>3</v>
      </c>
      <c r="J1153">
        <v>14821</v>
      </c>
      <c r="K1153">
        <v>44463</v>
      </c>
      <c r="L1153" t="s">
        <v>38</v>
      </c>
      <c r="M1153">
        <v>0</v>
      </c>
      <c r="N1153">
        <v>6699.31</v>
      </c>
    </row>
    <row r="1154" spans="1:14" ht="14.25" customHeight="1" x14ac:dyDescent="0.3">
      <c r="A1154">
        <v>2153</v>
      </c>
      <c r="B1154" t="s">
        <v>390</v>
      </c>
      <c r="C1154" t="s">
        <v>44</v>
      </c>
      <c r="D1154" t="s">
        <v>53</v>
      </c>
      <c r="E1154" t="s">
        <v>54</v>
      </c>
      <c r="F1154" t="s">
        <v>51</v>
      </c>
      <c r="G1154" t="s">
        <v>52</v>
      </c>
      <c r="H1154" t="s">
        <v>55</v>
      </c>
      <c r="I1154">
        <v>1</v>
      </c>
      <c r="J1154">
        <v>27246</v>
      </c>
      <c r="K1154">
        <v>23159.1</v>
      </c>
      <c r="L1154" t="s">
        <v>43</v>
      </c>
      <c r="M1154">
        <v>15</v>
      </c>
      <c r="N1154">
        <v>6447.07</v>
      </c>
    </row>
    <row r="1155" spans="1:14" ht="14.25" customHeight="1" x14ac:dyDescent="0.3">
      <c r="A1155">
        <v>2154</v>
      </c>
      <c r="B1155" t="s">
        <v>390</v>
      </c>
      <c r="C1155" t="s">
        <v>60</v>
      </c>
      <c r="D1155" t="s">
        <v>66</v>
      </c>
      <c r="E1155" t="s">
        <v>34</v>
      </c>
      <c r="F1155" t="s">
        <v>35</v>
      </c>
      <c r="G1155" t="s">
        <v>67</v>
      </c>
      <c r="H1155" t="s">
        <v>37</v>
      </c>
      <c r="I1155">
        <v>4</v>
      </c>
      <c r="J1155">
        <v>9163</v>
      </c>
      <c r="K1155">
        <v>34819.4</v>
      </c>
      <c r="L1155" t="s">
        <v>43</v>
      </c>
      <c r="M1155">
        <v>5</v>
      </c>
      <c r="N1155">
        <v>5293.01</v>
      </c>
    </row>
    <row r="1156" spans="1:14" ht="14.25" customHeight="1" x14ac:dyDescent="0.3">
      <c r="A1156">
        <v>2155</v>
      </c>
      <c r="B1156" t="s">
        <v>390</v>
      </c>
      <c r="C1156" t="s">
        <v>50</v>
      </c>
      <c r="D1156" t="s">
        <v>66</v>
      </c>
      <c r="E1156" t="s">
        <v>34</v>
      </c>
      <c r="F1156" t="s">
        <v>51</v>
      </c>
      <c r="G1156" t="s">
        <v>52</v>
      </c>
      <c r="H1156" t="s">
        <v>47</v>
      </c>
      <c r="I1156">
        <v>5</v>
      </c>
      <c r="J1156">
        <v>20536</v>
      </c>
      <c r="K1156">
        <v>102680</v>
      </c>
      <c r="L1156" t="s">
        <v>61</v>
      </c>
      <c r="M1156">
        <v>0</v>
      </c>
      <c r="N1156">
        <v>11315.42</v>
      </c>
    </row>
    <row r="1157" spans="1:14" ht="14.25" customHeight="1" x14ac:dyDescent="0.3">
      <c r="A1157">
        <v>2156</v>
      </c>
      <c r="B1157" t="s">
        <v>391</v>
      </c>
      <c r="C1157" t="s">
        <v>50</v>
      </c>
      <c r="D1157" t="s">
        <v>58</v>
      </c>
      <c r="E1157" t="s">
        <v>54</v>
      </c>
      <c r="F1157" t="s">
        <v>35</v>
      </c>
      <c r="G1157" t="s">
        <v>67</v>
      </c>
      <c r="H1157" t="s">
        <v>55</v>
      </c>
      <c r="I1157">
        <v>3</v>
      </c>
      <c r="J1157">
        <v>16195</v>
      </c>
      <c r="K1157">
        <v>48585</v>
      </c>
      <c r="L1157" t="s">
        <v>38</v>
      </c>
      <c r="M1157">
        <v>0</v>
      </c>
      <c r="N1157">
        <v>12862.03</v>
      </c>
    </row>
    <row r="1158" spans="1:14" ht="14.25" customHeight="1" x14ac:dyDescent="0.3">
      <c r="A1158">
        <v>2157</v>
      </c>
      <c r="B1158" t="s">
        <v>391</v>
      </c>
      <c r="C1158" t="s">
        <v>60</v>
      </c>
      <c r="D1158" t="s">
        <v>40</v>
      </c>
      <c r="E1158" t="s">
        <v>41</v>
      </c>
      <c r="F1158" t="s">
        <v>35</v>
      </c>
      <c r="G1158" t="s">
        <v>67</v>
      </c>
      <c r="H1158" t="s">
        <v>47</v>
      </c>
      <c r="I1158">
        <v>2</v>
      </c>
      <c r="J1158">
        <v>16498</v>
      </c>
      <c r="K1158">
        <v>28046.6</v>
      </c>
      <c r="L1158" t="s">
        <v>43</v>
      </c>
      <c r="M1158">
        <v>15</v>
      </c>
      <c r="N1158">
        <v>8303.25</v>
      </c>
    </row>
    <row r="1159" spans="1:14" ht="14.25" customHeight="1" x14ac:dyDescent="0.3">
      <c r="A1159">
        <v>2158</v>
      </c>
      <c r="B1159" t="s">
        <v>391</v>
      </c>
      <c r="C1159" t="s">
        <v>60</v>
      </c>
      <c r="D1159" t="s">
        <v>66</v>
      </c>
      <c r="E1159" t="s">
        <v>34</v>
      </c>
      <c r="F1159" t="s">
        <v>51</v>
      </c>
      <c r="G1159" t="s">
        <v>63</v>
      </c>
      <c r="H1159" t="s">
        <v>55</v>
      </c>
      <c r="I1159">
        <v>3</v>
      </c>
      <c r="J1159">
        <v>14095</v>
      </c>
      <c r="K1159">
        <v>38056.5</v>
      </c>
      <c r="L1159" t="s">
        <v>43</v>
      </c>
      <c r="M1159">
        <v>10</v>
      </c>
      <c r="N1159">
        <v>4912.0600000000004</v>
      </c>
    </row>
    <row r="1160" spans="1:14" ht="14.25" customHeight="1" x14ac:dyDescent="0.3">
      <c r="A1160">
        <v>2159</v>
      </c>
      <c r="B1160" t="s">
        <v>392</v>
      </c>
      <c r="C1160" t="s">
        <v>50</v>
      </c>
      <c r="D1160" t="s">
        <v>66</v>
      </c>
      <c r="E1160" t="s">
        <v>34</v>
      </c>
      <c r="F1160" t="s">
        <v>45</v>
      </c>
      <c r="G1160" t="s">
        <v>69</v>
      </c>
      <c r="H1160" t="s">
        <v>37</v>
      </c>
      <c r="I1160">
        <v>3</v>
      </c>
      <c r="J1160">
        <v>46074</v>
      </c>
      <c r="K1160">
        <v>117488.7</v>
      </c>
      <c r="L1160" t="s">
        <v>43</v>
      </c>
      <c r="M1160">
        <v>15</v>
      </c>
      <c r="N1160">
        <v>21094.67</v>
      </c>
    </row>
    <row r="1161" spans="1:14" ht="14.25" customHeight="1" x14ac:dyDescent="0.3">
      <c r="A1161">
        <v>2160</v>
      </c>
      <c r="B1161" t="s">
        <v>392</v>
      </c>
      <c r="C1161" t="s">
        <v>44</v>
      </c>
      <c r="D1161" t="s">
        <v>53</v>
      </c>
      <c r="E1161" t="s">
        <v>54</v>
      </c>
      <c r="F1161" t="s">
        <v>51</v>
      </c>
      <c r="G1161" t="s">
        <v>63</v>
      </c>
      <c r="H1161" t="s">
        <v>37</v>
      </c>
      <c r="I1161">
        <v>1</v>
      </c>
      <c r="J1161">
        <v>3925</v>
      </c>
      <c r="K1161">
        <v>3728.75</v>
      </c>
      <c r="L1161" t="s">
        <v>43</v>
      </c>
      <c r="M1161">
        <v>5</v>
      </c>
      <c r="N1161">
        <v>556.24</v>
      </c>
    </row>
    <row r="1162" spans="1:14" ht="14.25" customHeight="1" x14ac:dyDescent="0.3">
      <c r="A1162">
        <v>2161</v>
      </c>
      <c r="B1162" t="s">
        <v>393</v>
      </c>
      <c r="C1162" t="s">
        <v>50</v>
      </c>
      <c r="D1162" t="s">
        <v>33</v>
      </c>
      <c r="E1162" t="s">
        <v>34</v>
      </c>
      <c r="F1162" t="s">
        <v>45</v>
      </c>
      <c r="G1162" t="s">
        <v>69</v>
      </c>
      <c r="H1162" t="s">
        <v>42</v>
      </c>
      <c r="I1162">
        <v>3</v>
      </c>
      <c r="J1162">
        <v>28433</v>
      </c>
      <c r="K1162">
        <v>76769.100000000006</v>
      </c>
      <c r="L1162" t="s">
        <v>61</v>
      </c>
      <c r="M1162">
        <v>10</v>
      </c>
      <c r="N1162">
        <v>7939.88</v>
      </c>
    </row>
    <row r="1163" spans="1:14" ht="14.25" customHeight="1" x14ac:dyDescent="0.3">
      <c r="A1163">
        <v>2162</v>
      </c>
      <c r="B1163" t="s">
        <v>393</v>
      </c>
      <c r="C1163" t="s">
        <v>50</v>
      </c>
      <c r="D1163" t="s">
        <v>53</v>
      </c>
      <c r="E1163" t="s">
        <v>54</v>
      </c>
      <c r="F1163" t="s">
        <v>45</v>
      </c>
      <c r="G1163" t="s">
        <v>57</v>
      </c>
      <c r="H1163" t="s">
        <v>55</v>
      </c>
      <c r="I1163">
        <v>1</v>
      </c>
      <c r="J1163">
        <v>13769</v>
      </c>
      <c r="K1163">
        <v>13769</v>
      </c>
      <c r="L1163" t="s">
        <v>61</v>
      </c>
      <c r="M1163">
        <v>0</v>
      </c>
      <c r="N1163">
        <v>2550.54</v>
      </c>
    </row>
    <row r="1164" spans="1:14" ht="14.25" customHeight="1" x14ac:dyDescent="0.3">
      <c r="A1164">
        <v>2163</v>
      </c>
      <c r="B1164" t="s">
        <v>393</v>
      </c>
      <c r="C1164" t="s">
        <v>50</v>
      </c>
      <c r="D1164" t="s">
        <v>40</v>
      </c>
      <c r="E1164" t="s">
        <v>41</v>
      </c>
      <c r="F1164" t="s">
        <v>51</v>
      </c>
      <c r="G1164" t="s">
        <v>52</v>
      </c>
      <c r="H1164" t="s">
        <v>42</v>
      </c>
      <c r="I1164">
        <v>1</v>
      </c>
      <c r="J1164">
        <v>19542</v>
      </c>
      <c r="K1164">
        <v>19542</v>
      </c>
      <c r="L1164" t="s">
        <v>38</v>
      </c>
      <c r="M1164">
        <v>0</v>
      </c>
      <c r="N1164">
        <v>2270.52</v>
      </c>
    </row>
    <row r="1165" spans="1:14" ht="14.25" customHeight="1" x14ac:dyDescent="0.3">
      <c r="A1165">
        <v>2164</v>
      </c>
      <c r="B1165" t="s">
        <v>393</v>
      </c>
      <c r="C1165" t="s">
        <v>60</v>
      </c>
      <c r="D1165" t="s">
        <v>33</v>
      </c>
      <c r="E1165" t="s">
        <v>34</v>
      </c>
      <c r="F1165" t="s">
        <v>35</v>
      </c>
      <c r="G1165" t="s">
        <v>67</v>
      </c>
      <c r="H1165" t="s">
        <v>47</v>
      </c>
      <c r="I1165">
        <v>5</v>
      </c>
      <c r="J1165">
        <v>13875</v>
      </c>
      <c r="K1165">
        <v>69375</v>
      </c>
      <c r="L1165" t="s">
        <v>48</v>
      </c>
      <c r="M1165">
        <v>0</v>
      </c>
      <c r="N1165">
        <v>20212.689999999999</v>
      </c>
    </row>
    <row r="1166" spans="1:14" ht="14.25" customHeight="1" x14ac:dyDescent="0.3">
      <c r="A1166">
        <v>2165</v>
      </c>
      <c r="B1166" t="s">
        <v>394</v>
      </c>
      <c r="C1166" t="s">
        <v>60</v>
      </c>
      <c r="D1166" t="s">
        <v>53</v>
      </c>
      <c r="E1166" t="s">
        <v>54</v>
      </c>
      <c r="F1166" t="s">
        <v>35</v>
      </c>
      <c r="G1166" t="s">
        <v>67</v>
      </c>
      <c r="H1166" t="s">
        <v>37</v>
      </c>
      <c r="I1166">
        <v>5</v>
      </c>
      <c r="J1166">
        <v>39916</v>
      </c>
      <c r="K1166">
        <v>199580</v>
      </c>
      <c r="L1166" t="s">
        <v>48</v>
      </c>
      <c r="M1166">
        <v>0</v>
      </c>
      <c r="N1166">
        <v>38490.120000000003</v>
      </c>
    </row>
    <row r="1167" spans="1:14" ht="14.25" customHeight="1" x14ac:dyDescent="0.3">
      <c r="A1167">
        <v>2166</v>
      </c>
      <c r="B1167" t="s">
        <v>394</v>
      </c>
      <c r="C1167" t="s">
        <v>60</v>
      </c>
      <c r="D1167" t="s">
        <v>66</v>
      </c>
      <c r="E1167" t="s">
        <v>34</v>
      </c>
      <c r="F1167" t="s">
        <v>45</v>
      </c>
      <c r="G1167" t="s">
        <v>69</v>
      </c>
      <c r="H1167" t="s">
        <v>47</v>
      </c>
      <c r="I1167">
        <v>2</v>
      </c>
      <c r="J1167">
        <v>25216</v>
      </c>
      <c r="K1167">
        <v>45388.800000000003</v>
      </c>
      <c r="L1167" t="s">
        <v>43</v>
      </c>
      <c r="M1167">
        <v>10</v>
      </c>
      <c r="N1167">
        <v>5510.83</v>
      </c>
    </row>
    <row r="1168" spans="1:14" ht="14.25" customHeight="1" x14ac:dyDescent="0.3">
      <c r="A1168">
        <v>2167</v>
      </c>
      <c r="B1168" t="s">
        <v>394</v>
      </c>
      <c r="C1168" t="s">
        <v>60</v>
      </c>
      <c r="D1168" t="s">
        <v>66</v>
      </c>
      <c r="E1168" t="s">
        <v>34</v>
      </c>
      <c r="F1168" t="s">
        <v>45</v>
      </c>
      <c r="G1168" t="s">
        <v>57</v>
      </c>
      <c r="H1168" t="s">
        <v>42</v>
      </c>
      <c r="I1168">
        <v>1</v>
      </c>
      <c r="J1168">
        <v>1577</v>
      </c>
      <c r="K1168">
        <v>1577</v>
      </c>
      <c r="L1168" t="s">
        <v>38</v>
      </c>
      <c r="M1168">
        <v>0</v>
      </c>
      <c r="N1168">
        <v>463.09</v>
      </c>
    </row>
    <row r="1169" spans="1:14" ht="14.25" customHeight="1" x14ac:dyDescent="0.3">
      <c r="A1169">
        <v>2168</v>
      </c>
      <c r="B1169" t="s">
        <v>394</v>
      </c>
      <c r="C1169" t="s">
        <v>32</v>
      </c>
      <c r="D1169" t="s">
        <v>58</v>
      </c>
      <c r="E1169" t="s">
        <v>54</v>
      </c>
      <c r="F1169" t="s">
        <v>35</v>
      </c>
      <c r="G1169" t="s">
        <v>36</v>
      </c>
      <c r="H1169" t="s">
        <v>42</v>
      </c>
      <c r="I1169">
        <v>3</v>
      </c>
      <c r="J1169">
        <v>34763</v>
      </c>
      <c r="K1169">
        <v>104289</v>
      </c>
      <c r="L1169" t="s">
        <v>48</v>
      </c>
      <c r="M1169">
        <v>0</v>
      </c>
      <c r="N1169">
        <v>13639.37</v>
      </c>
    </row>
    <row r="1170" spans="1:14" ht="14.25" customHeight="1" x14ac:dyDescent="0.3">
      <c r="A1170">
        <v>2169</v>
      </c>
      <c r="B1170" t="s">
        <v>394</v>
      </c>
      <c r="C1170" t="s">
        <v>50</v>
      </c>
      <c r="D1170" t="s">
        <v>66</v>
      </c>
      <c r="E1170" t="s">
        <v>34</v>
      </c>
      <c r="F1170" t="s">
        <v>45</v>
      </c>
      <c r="G1170" t="s">
        <v>57</v>
      </c>
      <c r="H1170" t="s">
        <v>47</v>
      </c>
      <c r="I1170">
        <v>5</v>
      </c>
      <c r="J1170">
        <v>28141</v>
      </c>
      <c r="K1170">
        <v>126634.5</v>
      </c>
      <c r="L1170" t="s">
        <v>61</v>
      </c>
      <c r="M1170">
        <v>10</v>
      </c>
      <c r="N1170">
        <v>14386.92</v>
      </c>
    </row>
    <row r="1171" spans="1:14" ht="14.25" customHeight="1" x14ac:dyDescent="0.3">
      <c r="A1171">
        <v>2170</v>
      </c>
      <c r="B1171" t="s">
        <v>395</v>
      </c>
      <c r="C1171" t="s">
        <v>60</v>
      </c>
      <c r="D1171" t="s">
        <v>58</v>
      </c>
      <c r="E1171" t="s">
        <v>54</v>
      </c>
      <c r="F1171" t="s">
        <v>51</v>
      </c>
      <c r="G1171" t="s">
        <v>62</v>
      </c>
      <c r="H1171" t="s">
        <v>47</v>
      </c>
      <c r="I1171">
        <v>1</v>
      </c>
      <c r="J1171">
        <v>26525</v>
      </c>
      <c r="K1171">
        <v>22546.25</v>
      </c>
      <c r="L1171" t="s">
        <v>38</v>
      </c>
      <c r="M1171">
        <v>15</v>
      </c>
      <c r="N1171">
        <v>3008.33</v>
      </c>
    </row>
    <row r="1172" spans="1:14" ht="14.25" customHeight="1" x14ac:dyDescent="0.3">
      <c r="A1172">
        <v>2171</v>
      </c>
      <c r="B1172" t="s">
        <v>395</v>
      </c>
      <c r="C1172" t="s">
        <v>44</v>
      </c>
      <c r="D1172" t="s">
        <v>66</v>
      </c>
      <c r="E1172" t="s">
        <v>34</v>
      </c>
      <c r="F1172" t="s">
        <v>35</v>
      </c>
      <c r="G1172" t="s">
        <v>65</v>
      </c>
      <c r="H1172" t="s">
        <v>55</v>
      </c>
      <c r="I1172">
        <v>5</v>
      </c>
      <c r="J1172">
        <v>11209</v>
      </c>
      <c r="K1172">
        <v>47638.25</v>
      </c>
      <c r="L1172" t="s">
        <v>48</v>
      </c>
      <c r="M1172">
        <v>15</v>
      </c>
      <c r="N1172">
        <v>11110.33</v>
      </c>
    </row>
    <row r="1173" spans="1:14" ht="14.25" customHeight="1" x14ac:dyDescent="0.3">
      <c r="A1173">
        <v>2172</v>
      </c>
      <c r="B1173" t="s">
        <v>395</v>
      </c>
      <c r="C1173" t="s">
        <v>44</v>
      </c>
      <c r="D1173" t="s">
        <v>66</v>
      </c>
      <c r="E1173" t="s">
        <v>34</v>
      </c>
      <c r="F1173" t="s">
        <v>35</v>
      </c>
      <c r="G1173" t="s">
        <v>65</v>
      </c>
      <c r="H1173" t="s">
        <v>42</v>
      </c>
      <c r="I1173">
        <v>2</v>
      </c>
      <c r="J1173">
        <v>12419</v>
      </c>
      <c r="K1173">
        <v>21112.3</v>
      </c>
      <c r="L1173" t="s">
        <v>43</v>
      </c>
      <c r="M1173">
        <v>15</v>
      </c>
      <c r="N1173">
        <v>2640.59</v>
      </c>
    </row>
    <row r="1174" spans="1:14" ht="14.25" customHeight="1" x14ac:dyDescent="0.3">
      <c r="A1174">
        <v>2173</v>
      </c>
      <c r="B1174" t="s">
        <v>395</v>
      </c>
      <c r="C1174" t="s">
        <v>50</v>
      </c>
      <c r="D1174" t="s">
        <v>40</v>
      </c>
      <c r="E1174" t="s">
        <v>41</v>
      </c>
      <c r="F1174" t="s">
        <v>51</v>
      </c>
      <c r="G1174" t="s">
        <v>63</v>
      </c>
      <c r="H1174" t="s">
        <v>42</v>
      </c>
      <c r="I1174">
        <v>1</v>
      </c>
      <c r="J1174">
        <v>17263</v>
      </c>
      <c r="K1174">
        <v>15536.7</v>
      </c>
      <c r="L1174" t="s">
        <v>48</v>
      </c>
      <c r="M1174">
        <v>10</v>
      </c>
      <c r="N1174">
        <v>3150.55</v>
      </c>
    </row>
    <row r="1175" spans="1:14" ht="14.25" customHeight="1" x14ac:dyDescent="0.3">
      <c r="A1175">
        <v>2174</v>
      </c>
      <c r="B1175" t="s">
        <v>395</v>
      </c>
      <c r="C1175" t="s">
        <v>50</v>
      </c>
      <c r="D1175" t="s">
        <v>33</v>
      </c>
      <c r="E1175" t="s">
        <v>34</v>
      </c>
      <c r="F1175" t="s">
        <v>51</v>
      </c>
      <c r="G1175" t="s">
        <v>52</v>
      </c>
      <c r="H1175" t="s">
        <v>37</v>
      </c>
      <c r="I1175">
        <v>1</v>
      </c>
      <c r="J1175">
        <v>48221</v>
      </c>
      <c r="K1175">
        <v>43398.9</v>
      </c>
      <c r="L1175" t="s">
        <v>61</v>
      </c>
      <c r="M1175">
        <v>10</v>
      </c>
      <c r="N1175">
        <v>6052.02</v>
      </c>
    </row>
    <row r="1176" spans="1:14" ht="14.25" customHeight="1" x14ac:dyDescent="0.3">
      <c r="A1176">
        <v>2175</v>
      </c>
      <c r="B1176" t="s">
        <v>396</v>
      </c>
      <c r="C1176" t="s">
        <v>50</v>
      </c>
      <c r="D1176" t="s">
        <v>33</v>
      </c>
      <c r="E1176" t="s">
        <v>34</v>
      </c>
      <c r="F1176" t="s">
        <v>35</v>
      </c>
      <c r="G1176" t="s">
        <v>36</v>
      </c>
      <c r="H1176" t="s">
        <v>42</v>
      </c>
      <c r="I1176">
        <v>5</v>
      </c>
      <c r="J1176">
        <v>30134</v>
      </c>
      <c r="K1176">
        <v>143136.5</v>
      </c>
      <c r="L1176" t="s">
        <v>48</v>
      </c>
      <c r="M1176">
        <v>5</v>
      </c>
      <c r="N1176">
        <v>25754.34</v>
      </c>
    </row>
    <row r="1177" spans="1:14" ht="14.25" customHeight="1" x14ac:dyDescent="0.3">
      <c r="A1177">
        <v>2176</v>
      </c>
      <c r="B1177" t="s">
        <v>396</v>
      </c>
      <c r="C1177" t="s">
        <v>32</v>
      </c>
      <c r="D1177" t="s">
        <v>40</v>
      </c>
      <c r="E1177" t="s">
        <v>41</v>
      </c>
      <c r="F1177" t="s">
        <v>35</v>
      </c>
      <c r="G1177" t="s">
        <v>67</v>
      </c>
      <c r="H1177" t="s">
        <v>47</v>
      </c>
      <c r="I1177">
        <v>4</v>
      </c>
      <c r="J1177">
        <v>22640</v>
      </c>
      <c r="K1177">
        <v>90560</v>
      </c>
      <c r="L1177" t="s">
        <v>38</v>
      </c>
      <c r="M1177">
        <v>0</v>
      </c>
      <c r="N1177">
        <v>9261.11</v>
      </c>
    </row>
    <row r="1178" spans="1:14" ht="14.25" customHeight="1" x14ac:dyDescent="0.3">
      <c r="A1178">
        <v>2177</v>
      </c>
      <c r="B1178" t="s">
        <v>396</v>
      </c>
      <c r="C1178" t="s">
        <v>44</v>
      </c>
      <c r="D1178" t="s">
        <v>40</v>
      </c>
      <c r="E1178" t="s">
        <v>41</v>
      </c>
      <c r="F1178" t="s">
        <v>45</v>
      </c>
      <c r="G1178" t="s">
        <v>57</v>
      </c>
      <c r="H1178" t="s">
        <v>42</v>
      </c>
      <c r="I1178">
        <v>5</v>
      </c>
      <c r="J1178">
        <v>12244</v>
      </c>
      <c r="K1178">
        <v>55098</v>
      </c>
      <c r="L1178" t="s">
        <v>61</v>
      </c>
      <c r="M1178">
        <v>10</v>
      </c>
      <c r="N1178">
        <v>16073.24</v>
      </c>
    </row>
    <row r="1179" spans="1:14" ht="14.25" customHeight="1" x14ac:dyDescent="0.3">
      <c r="A1179">
        <v>2178</v>
      </c>
      <c r="B1179" t="s">
        <v>396</v>
      </c>
      <c r="C1179" t="s">
        <v>44</v>
      </c>
      <c r="D1179" t="s">
        <v>53</v>
      </c>
      <c r="E1179" t="s">
        <v>54</v>
      </c>
      <c r="F1179" t="s">
        <v>45</v>
      </c>
      <c r="G1179" t="s">
        <v>57</v>
      </c>
      <c r="H1179" t="s">
        <v>37</v>
      </c>
      <c r="I1179">
        <v>2</v>
      </c>
      <c r="J1179">
        <v>24076</v>
      </c>
      <c r="K1179">
        <v>48152</v>
      </c>
      <c r="L1179" t="s">
        <v>43</v>
      </c>
      <c r="M1179">
        <v>0</v>
      </c>
      <c r="N1179">
        <v>10078.59</v>
      </c>
    </row>
    <row r="1180" spans="1:14" ht="14.25" customHeight="1" x14ac:dyDescent="0.3">
      <c r="A1180">
        <v>2179</v>
      </c>
      <c r="B1180" t="s">
        <v>397</v>
      </c>
      <c r="C1180" t="s">
        <v>60</v>
      </c>
      <c r="D1180" t="s">
        <v>53</v>
      </c>
      <c r="E1180" t="s">
        <v>54</v>
      </c>
      <c r="F1180" t="s">
        <v>51</v>
      </c>
      <c r="G1180" t="s">
        <v>63</v>
      </c>
      <c r="H1180" t="s">
        <v>42</v>
      </c>
      <c r="I1180">
        <v>2</v>
      </c>
      <c r="J1180">
        <v>13287</v>
      </c>
      <c r="K1180">
        <v>25245.3</v>
      </c>
      <c r="L1180" t="s">
        <v>43</v>
      </c>
      <c r="M1180">
        <v>5</v>
      </c>
      <c r="N1180">
        <v>4836.2700000000004</v>
      </c>
    </row>
    <row r="1181" spans="1:14" ht="14.25" customHeight="1" x14ac:dyDescent="0.3">
      <c r="A1181">
        <v>2180</v>
      </c>
      <c r="B1181" t="s">
        <v>397</v>
      </c>
      <c r="C1181" t="s">
        <v>60</v>
      </c>
      <c r="D1181" t="s">
        <v>66</v>
      </c>
      <c r="E1181" t="s">
        <v>34</v>
      </c>
      <c r="F1181" t="s">
        <v>45</v>
      </c>
      <c r="G1181" t="s">
        <v>57</v>
      </c>
      <c r="H1181" t="s">
        <v>42</v>
      </c>
      <c r="I1181">
        <v>4</v>
      </c>
      <c r="J1181">
        <v>33576</v>
      </c>
      <c r="K1181">
        <v>134304</v>
      </c>
      <c r="L1181" t="s">
        <v>48</v>
      </c>
      <c r="M1181">
        <v>0</v>
      </c>
      <c r="N1181">
        <v>34854.22</v>
      </c>
    </row>
    <row r="1182" spans="1:14" ht="14.25" customHeight="1" x14ac:dyDescent="0.3">
      <c r="A1182">
        <v>2181</v>
      </c>
      <c r="B1182" t="s">
        <v>397</v>
      </c>
      <c r="C1182" t="s">
        <v>60</v>
      </c>
      <c r="D1182" t="s">
        <v>33</v>
      </c>
      <c r="E1182" t="s">
        <v>34</v>
      </c>
      <c r="F1182" t="s">
        <v>35</v>
      </c>
      <c r="G1182" t="s">
        <v>65</v>
      </c>
      <c r="H1182" t="s">
        <v>37</v>
      </c>
      <c r="I1182">
        <v>1</v>
      </c>
      <c r="J1182">
        <v>10158</v>
      </c>
      <c r="K1182">
        <v>9650.1</v>
      </c>
      <c r="L1182" t="s">
        <v>38</v>
      </c>
      <c r="M1182">
        <v>5</v>
      </c>
      <c r="N1182">
        <v>2312.9899999999998</v>
      </c>
    </row>
    <row r="1183" spans="1:14" ht="14.25" customHeight="1" x14ac:dyDescent="0.3">
      <c r="A1183">
        <v>2182</v>
      </c>
      <c r="B1183" t="s">
        <v>397</v>
      </c>
      <c r="C1183" t="s">
        <v>60</v>
      </c>
      <c r="D1183" t="s">
        <v>53</v>
      </c>
      <c r="E1183" t="s">
        <v>54</v>
      </c>
      <c r="F1183" t="s">
        <v>51</v>
      </c>
      <c r="G1183" t="s">
        <v>62</v>
      </c>
      <c r="H1183" t="s">
        <v>55</v>
      </c>
      <c r="I1183">
        <v>5</v>
      </c>
      <c r="J1183">
        <v>2425</v>
      </c>
      <c r="K1183">
        <v>12125</v>
      </c>
      <c r="L1183" t="s">
        <v>43</v>
      </c>
      <c r="M1183">
        <v>0</v>
      </c>
      <c r="N1183">
        <v>2988.87</v>
      </c>
    </row>
    <row r="1184" spans="1:14" ht="14.25" customHeight="1" x14ac:dyDescent="0.3">
      <c r="A1184">
        <v>2183</v>
      </c>
      <c r="B1184" t="s">
        <v>398</v>
      </c>
      <c r="C1184" t="s">
        <v>39</v>
      </c>
      <c r="D1184" t="s">
        <v>33</v>
      </c>
      <c r="E1184" t="s">
        <v>34</v>
      </c>
      <c r="F1184" t="s">
        <v>51</v>
      </c>
      <c r="G1184" t="s">
        <v>52</v>
      </c>
      <c r="H1184" t="s">
        <v>47</v>
      </c>
      <c r="I1184">
        <v>3</v>
      </c>
      <c r="J1184">
        <v>15811</v>
      </c>
      <c r="K1184">
        <v>47433</v>
      </c>
      <c r="L1184" t="s">
        <v>61</v>
      </c>
      <c r="M1184">
        <v>0</v>
      </c>
      <c r="N1184">
        <v>9705.91</v>
      </c>
    </row>
    <row r="1185" spans="1:14" ht="14.25" customHeight="1" x14ac:dyDescent="0.3">
      <c r="A1185">
        <v>2184</v>
      </c>
      <c r="B1185" t="s">
        <v>398</v>
      </c>
      <c r="C1185" t="s">
        <v>50</v>
      </c>
      <c r="D1185" t="s">
        <v>33</v>
      </c>
      <c r="E1185" t="s">
        <v>34</v>
      </c>
      <c r="F1185" t="s">
        <v>45</v>
      </c>
      <c r="G1185" t="s">
        <v>69</v>
      </c>
      <c r="H1185" t="s">
        <v>42</v>
      </c>
      <c r="I1185">
        <v>2</v>
      </c>
      <c r="J1185">
        <v>12736</v>
      </c>
      <c r="K1185">
        <v>25472</v>
      </c>
      <c r="L1185" t="s">
        <v>48</v>
      </c>
      <c r="M1185">
        <v>0</v>
      </c>
      <c r="N1185">
        <v>3684.86</v>
      </c>
    </row>
    <row r="1186" spans="1:14" ht="14.25" customHeight="1" x14ac:dyDescent="0.3">
      <c r="A1186">
        <v>2185</v>
      </c>
      <c r="B1186" t="s">
        <v>398</v>
      </c>
      <c r="C1186" t="s">
        <v>60</v>
      </c>
      <c r="D1186" t="s">
        <v>58</v>
      </c>
      <c r="E1186" t="s">
        <v>54</v>
      </c>
      <c r="F1186" t="s">
        <v>35</v>
      </c>
      <c r="G1186" t="s">
        <v>36</v>
      </c>
      <c r="H1186" t="s">
        <v>55</v>
      </c>
      <c r="I1186">
        <v>4</v>
      </c>
      <c r="J1186">
        <v>8234</v>
      </c>
      <c r="K1186">
        <v>31289.200000000001</v>
      </c>
      <c r="L1186" t="s">
        <v>61</v>
      </c>
      <c r="M1186">
        <v>5</v>
      </c>
      <c r="N1186">
        <v>5024.1400000000003</v>
      </c>
    </row>
    <row r="1187" spans="1:14" ht="14.25" customHeight="1" x14ac:dyDescent="0.3">
      <c r="A1187">
        <v>2186</v>
      </c>
      <c r="B1187" t="s">
        <v>398</v>
      </c>
      <c r="C1187" t="s">
        <v>50</v>
      </c>
      <c r="D1187" t="s">
        <v>40</v>
      </c>
      <c r="E1187" t="s">
        <v>41</v>
      </c>
      <c r="F1187" t="s">
        <v>51</v>
      </c>
      <c r="G1187" t="s">
        <v>52</v>
      </c>
      <c r="H1187" t="s">
        <v>47</v>
      </c>
      <c r="I1187">
        <v>3</v>
      </c>
      <c r="J1187">
        <v>5827</v>
      </c>
      <c r="K1187">
        <v>15732.9</v>
      </c>
      <c r="L1187" t="s">
        <v>61</v>
      </c>
      <c r="M1187">
        <v>10</v>
      </c>
      <c r="N1187">
        <v>1754.6</v>
      </c>
    </row>
    <row r="1188" spans="1:14" ht="14.25" customHeight="1" x14ac:dyDescent="0.3">
      <c r="A1188">
        <v>2187</v>
      </c>
      <c r="B1188" t="s">
        <v>399</v>
      </c>
      <c r="C1188" t="s">
        <v>60</v>
      </c>
      <c r="D1188" t="s">
        <v>58</v>
      </c>
      <c r="E1188" t="s">
        <v>54</v>
      </c>
      <c r="F1188" t="s">
        <v>51</v>
      </c>
      <c r="G1188" t="s">
        <v>52</v>
      </c>
      <c r="H1188" t="s">
        <v>42</v>
      </c>
      <c r="I1188">
        <v>1</v>
      </c>
      <c r="J1188">
        <v>44404</v>
      </c>
      <c r="K1188">
        <v>39963.599999999999</v>
      </c>
      <c r="L1188" t="s">
        <v>38</v>
      </c>
      <c r="M1188">
        <v>10</v>
      </c>
      <c r="N1188">
        <v>9168.9500000000007</v>
      </c>
    </row>
    <row r="1189" spans="1:14" ht="14.25" customHeight="1" x14ac:dyDescent="0.3">
      <c r="A1189">
        <v>2188</v>
      </c>
      <c r="B1189" t="s">
        <v>399</v>
      </c>
      <c r="C1189" t="s">
        <v>60</v>
      </c>
      <c r="D1189" t="s">
        <v>40</v>
      </c>
      <c r="E1189" t="s">
        <v>41</v>
      </c>
      <c r="F1189" t="s">
        <v>51</v>
      </c>
      <c r="G1189" t="s">
        <v>62</v>
      </c>
      <c r="H1189" t="s">
        <v>37</v>
      </c>
      <c r="I1189">
        <v>3</v>
      </c>
      <c r="J1189">
        <v>45406</v>
      </c>
      <c r="K1189">
        <v>122596.2</v>
      </c>
      <c r="L1189" t="s">
        <v>48</v>
      </c>
      <c r="M1189">
        <v>10</v>
      </c>
      <c r="N1189">
        <v>18610.669999999998</v>
      </c>
    </row>
    <row r="1190" spans="1:14" ht="14.25" customHeight="1" x14ac:dyDescent="0.3">
      <c r="A1190">
        <v>2189</v>
      </c>
      <c r="B1190" t="s">
        <v>399</v>
      </c>
      <c r="C1190" t="s">
        <v>39</v>
      </c>
      <c r="D1190" t="s">
        <v>53</v>
      </c>
      <c r="E1190" t="s">
        <v>54</v>
      </c>
      <c r="F1190" t="s">
        <v>51</v>
      </c>
      <c r="G1190" t="s">
        <v>52</v>
      </c>
      <c r="H1190" t="s">
        <v>42</v>
      </c>
      <c r="I1190">
        <v>5</v>
      </c>
      <c r="J1190">
        <v>30214</v>
      </c>
      <c r="K1190">
        <v>143516.5</v>
      </c>
      <c r="L1190" t="s">
        <v>48</v>
      </c>
      <c r="M1190">
        <v>5</v>
      </c>
      <c r="N1190">
        <v>32625.14</v>
      </c>
    </row>
    <row r="1191" spans="1:14" ht="14.25" customHeight="1" x14ac:dyDescent="0.3">
      <c r="A1191">
        <v>2190</v>
      </c>
      <c r="B1191" t="s">
        <v>399</v>
      </c>
      <c r="C1191" t="s">
        <v>32</v>
      </c>
      <c r="D1191" t="s">
        <v>53</v>
      </c>
      <c r="E1191" t="s">
        <v>54</v>
      </c>
      <c r="F1191" t="s">
        <v>45</v>
      </c>
      <c r="G1191" t="s">
        <v>69</v>
      </c>
      <c r="H1191" t="s">
        <v>37</v>
      </c>
      <c r="I1191">
        <v>3</v>
      </c>
      <c r="J1191">
        <v>10122</v>
      </c>
      <c r="K1191">
        <v>25811.1</v>
      </c>
      <c r="L1191" t="s">
        <v>38</v>
      </c>
      <c r="M1191">
        <v>15</v>
      </c>
      <c r="N1191">
        <v>6517.06</v>
      </c>
    </row>
    <row r="1192" spans="1:14" ht="14.25" customHeight="1" x14ac:dyDescent="0.3">
      <c r="A1192">
        <v>2191</v>
      </c>
      <c r="B1192" t="s">
        <v>399</v>
      </c>
      <c r="C1192" t="s">
        <v>44</v>
      </c>
      <c r="D1192" t="s">
        <v>66</v>
      </c>
      <c r="E1192" t="s">
        <v>34</v>
      </c>
      <c r="F1192" t="s">
        <v>45</v>
      </c>
      <c r="G1192" t="s">
        <v>46</v>
      </c>
      <c r="H1192" t="s">
        <v>37</v>
      </c>
      <c r="I1192">
        <v>3</v>
      </c>
      <c r="J1192">
        <v>42878</v>
      </c>
      <c r="K1192">
        <v>128634</v>
      </c>
      <c r="L1192" t="s">
        <v>48</v>
      </c>
      <c r="M1192">
        <v>0</v>
      </c>
      <c r="N1192">
        <v>37359.129999999997</v>
      </c>
    </row>
    <row r="1193" spans="1:14" ht="14.25" customHeight="1" x14ac:dyDescent="0.3">
      <c r="A1193">
        <v>2192</v>
      </c>
      <c r="B1193" t="s">
        <v>400</v>
      </c>
      <c r="C1193" t="s">
        <v>50</v>
      </c>
      <c r="D1193" t="s">
        <v>66</v>
      </c>
      <c r="E1193" t="s">
        <v>34</v>
      </c>
      <c r="F1193" t="s">
        <v>45</v>
      </c>
      <c r="G1193" t="s">
        <v>57</v>
      </c>
      <c r="H1193" t="s">
        <v>42</v>
      </c>
      <c r="I1193">
        <v>4</v>
      </c>
      <c r="J1193">
        <v>49386</v>
      </c>
      <c r="K1193">
        <v>177789.6</v>
      </c>
      <c r="L1193" t="s">
        <v>48</v>
      </c>
      <c r="M1193">
        <v>10</v>
      </c>
      <c r="N1193">
        <v>19938.32</v>
      </c>
    </row>
    <row r="1194" spans="1:14" ht="14.25" customHeight="1" x14ac:dyDescent="0.3">
      <c r="A1194">
        <v>2193</v>
      </c>
      <c r="B1194" t="s">
        <v>400</v>
      </c>
      <c r="C1194" t="s">
        <v>50</v>
      </c>
      <c r="D1194" t="s">
        <v>53</v>
      </c>
      <c r="E1194" t="s">
        <v>54</v>
      </c>
      <c r="F1194" t="s">
        <v>35</v>
      </c>
      <c r="G1194" t="s">
        <v>65</v>
      </c>
      <c r="H1194" t="s">
        <v>55</v>
      </c>
      <c r="I1194">
        <v>3</v>
      </c>
      <c r="J1194">
        <v>28046</v>
      </c>
      <c r="K1194">
        <v>71517.3</v>
      </c>
      <c r="L1194" t="s">
        <v>61</v>
      </c>
      <c r="M1194">
        <v>15</v>
      </c>
      <c r="N1194">
        <v>17165.39</v>
      </c>
    </row>
    <row r="1195" spans="1:14" ht="14.25" customHeight="1" x14ac:dyDescent="0.3">
      <c r="A1195">
        <v>2194</v>
      </c>
      <c r="B1195" t="s">
        <v>400</v>
      </c>
      <c r="C1195" t="s">
        <v>32</v>
      </c>
      <c r="D1195" t="s">
        <v>53</v>
      </c>
      <c r="E1195" t="s">
        <v>54</v>
      </c>
      <c r="F1195" t="s">
        <v>45</v>
      </c>
      <c r="G1195" t="s">
        <v>57</v>
      </c>
      <c r="H1195" t="s">
        <v>55</v>
      </c>
      <c r="I1195">
        <v>4</v>
      </c>
      <c r="J1195">
        <v>33189</v>
      </c>
      <c r="K1195">
        <v>112842.6</v>
      </c>
      <c r="L1195" t="s">
        <v>38</v>
      </c>
      <c r="M1195">
        <v>15</v>
      </c>
      <c r="N1195">
        <v>21778.400000000001</v>
      </c>
    </row>
    <row r="1196" spans="1:14" ht="14.25" customHeight="1" x14ac:dyDescent="0.3">
      <c r="A1196">
        <v>2195</v>
      </c>
      <c r="B1196" t="s">
        <v>400</v>
      </c>
      <c r="C1196" t="s">
        <v>39</v>
      </c>
      <c r="D1196" t="s">
        <v>53</v>
      </c>
      <c r="E1196" t="s">
        <v>54</v>
      </c>
      <c r="F1196" t="s">
        <v>45</v>
      </c>
      <c r="G1196" t="s">
        <v>57</v>
      </c>
      <c r="H1196" t="s">
        <v>37</v>
      </c>
      <c r="I1196">
        <v>1</v>
      </c>
      <c r="J1196">
        <v>24424</v>
      </c>
      <c r="K1196">
        <v>23202.799999999999</v>
      </c>
      <c r="L1196" t="s">
        <v>61</v>
      </c>
      <c r="M1196">
        <v>5</v>
      </c>
      <c r="N1196">
        <v>6370.68</v>
      </c>
    </row>
    <row r="1197" spans="1:14" ht="14.25" customHeight="1" x14ac:dyDescent="0.3">
      <c r="A1197">
        <v>2196</v>
      </c>
      <c r="B1197" t="s">
        <v>401</v>
      </c>
      <c r="C1197" t="s">
        <v>50</v>
      </c>
      <c r="D1197" t="s">
        <v>53</v>
      </c>
      <c r="E1197" t="s">
        <v>54</v>
      </c>
      <c r="F1197" t="s">
        <v>35</v>
      </c>
      <c r="G1197" t="s">
        <v>36</v>
      </c>
      <c r="H1197" t="s">
        <v>47</v>
      </c>
      <c r="I1197">
        <v>1</v>
      </c>
      <c r="J1197">
        <v>26400</v>
      </c>
      <c r="K1197">
        <v>26400</v>
      </c>
      <c r="L1197" t="s">
        <v>61</v>
      </c>
      <c r="M1197">
        <v>0</v>
      </c>
      <c r="N1197">
        <v>5764.08</v>
      </c>
    </row>
    <row r="1198" spans="1:14" ht="14.25" customHeight="1" x14ac:dyDescent="0.3">
      <c r="A1198">
        <v>2197</v>
      </c>
      <c r="B1198" t="s">
        <v>401</v>
      </c>
      <c r="C1198" t="s">
        <v>44</v>
      </c>
      <c r="D1198" t="s">
        <v>58</v>
      </c>
      <c r="E1198" t="s">
        <v>54</v>
      </c>
      <c r="F1198" t="s">
        <v>51</v>
      </c>
      <c r="G1198" t="s">
        <v>52</v>
      </c>
      <c r="H1198" t="s">
        <v>55</v>
      </c>
      <c r="I1198">
        <v>1</v>
      </c>
      <c r="J1198">
        <v>5195</v>
      </c>
      <c r="K1198">
        <v>4415.75</v>
      </c>
      <c r="L1198" t="s">
        <v>48</v>
      </c>
      <c r="M1198">
        <v>15</v>
      </c>
      <c r="N1198">
        <v>677.8</v>
      </c>
    </row>
    <row r="1199" spans="1:14" ht="14.25" customHeight="1" x14ac:dyDescent="0.3">
      <c r="A1199">
        <v>2198</v>
      </c>
      <c r="B1199" t="s">
        <v>402</v>
      </c>
      <c r="C1199" t="s">
        <v>32</v>
      </c>
      <c r="D1199" t="s">
        <v>40</v>
      </c>
      <c r="E1199" t="s">
        <v>41</v>
      </c>
      <c r="F1199" t="s">
        <v>35</v>
      </c>
      <c r="G1199" t="s">
        <v>65</v>
      </c>
      <c r="H1199" t="s">
        <v>37</v>
      </c>
      <c r="I1199">
        <v>1</v>
      </c>
      <c r="J1199">
        <v>37903</v>
      </c>
      <c r="K1199">
        <v>36007.85</v>
      </c>
      <c r="L1199" t="s">
        <v>48</v>
      </c>
      <c r="M1199">
        <v>5</v>
      </c>
      <c r="N1199">
        <v>10732.45</v>
      </c>
    </row>
    <row r="1200" spans="1:14" ht="14.25" customHeight="1" x14ac:dyDescent="0.3">
      <c r="A1200">
        <v>2199</v>
      </c>
      <c r="B1200" t="s">
        <v>402</v>
      </c>
      <c r="C1200" t="s">
        <v>32</v>
      </c>
      <c r="D1200" t="s">
        <v>53</v>
      </c>
      <c r="E1200" t="s">
        <v>54</v>
      </c>
      <c r="F1200" t="s">
        <v>45</v>
      </c>
      <c r="G1200" t="s">
        <v>46</v>
      </c>
      <c r="H1200" t="s">
        <v>37</v>
      </c>
      <c r="I1200">
        <v>2</v>
      </c>
      <c r="J1200">
        <v>28763</v>
      </c>
      <c r="K1200">
        <v>51773.4</v>
      </c>
      <c r="L1200" t="s">
        <v>48</v>
      </c>
      <c r="M1200">
        <v>10</v>
      </c>
      <c r="N1200">
        <v>5982.48</v>
      </c>
    </row>
    <row r="1201" spans="1:14" ht="14.25" customHeight="1" x14ac:dyDescent="0.3">
      <c r="A1201">
        <v>2200</v>
      </c>
      <c r="B1201" t="s">
        <v>402</v>
      </c>
      <c r="C1201" t="s">
        <v>60</v>
      </c>
      <c r="D1201" t="s">
        <v>66</v>
      </c>
      <c r="E1201" t="s">
        <v>34</v>
      </c>
      <c r="F1201" t="s">
        <v>35</v>
      </c>
      <c r="G1201" t="s">
        <v>67</v>
      </c>
      <c r="H1201" t="s">
        <v>42</v>
      </c>
      <c r="I1201">
        <v>3</v>
      </c>
      <c r="J1201">
        <v>48627</v>
      </c>
      <c r="K1201">
        <v>138586.95000000001</v>
      </c>
      <c r="L1201" t="s">
        <v>61</v>
      </c>
      <c r="M1201">
        <v>5</v>
      </c>
      <c r="N1201">
        <v>35740.9</v>
      </c>
    </row>
    <row r="1202" spans="1:14" ht="14.25" customHeight="1" x14ac:dyDescent="0.3">
      <c r="A1202">
        <v>2201</v>
      </c>
      <c r="B1202" t="s">
        <v>402</v>
      </c>
      <c r="C1202" t="s">
        <v>44</v>
      </c>
      <c r="D1202" t="s">
        <v>40</v>
      </c>
      <c r="E1202" t="s">
        <v>41</v>
      </c>
      <c r="F1202" t="s">
        <v>35</v>
      </c>
      <c r="G1202" t="s">
        <v>36</v>
      </c>
      <c r="H1202" t="s">
        <v>37</v>
      </c>
      <c r="I1202">
        <v>5</v>
      </c>
      <c r="J1202">
        <v>12665</v>
      </c>
      <c r="K1202">
        <v>60158.75</v>
      </c>
      <c r="L1202" t="s">
        <v>48</v>
      </c>
      <c r="M1202">
        <v>5</v>
      </c>
      <c r="N1202">
        <v>7910.81</v>
      </c>
    </row>
    <row r="1203" spans="1:14" ht="14.25" customHeight="1" x14ac:dyDescent="0.3">
      <c r="A1203">
        <v>2202</v>
      </c>
      <c r="B1203" t="s">
        <v>403</v>
      </c>
      <c r="C1203" t="s">
        <v>39</v>
      </c>
      <c r="D1203" t="s">
        <v>53</v>
      </c>
      <c r="E1203" t="s">
        <v>54</v>
      </c>
      <c r="F1203" t="s">
        <v>51</v>
      </c>
      <c r="G1203" t="s">
        <v>52</v>
      </c>
      <c r="H1203" t="s">
        <v>42</v>
      </c>
      <c r="I1203">
        <v>3</v>
      </c>
      <c r="J1203">
        <v>27459</v>
      </c>
      <c r="K1203">
        <v>74139.3</v>
      </c>
      <c r="L1203" t="s">
        <v>43</v>
      </c>
      <c r="M1203">
        <v>10</v>
      </c>
      <c r="N1203">
        <v>12250.36</v>
      </c>
    </row>
    <row r="1204" spans="1:14" ht="14.25" customHeight="1" x14ac:dyDescent="0.3">
      <c r="A1204">
        <v>2203</v>
      </c>
      <c r="B1204" t="s">
        <v>403</v>
      </c>
      <c r="C1204" t="s">
        <v>60</v>
      </c>
      <c r="D1204" t="s">
        <v>40</v>
      </c>
      <c r="E1204" t="s">
        <v>41</v>
      </c>
      <c r="F1204" t="s">
        <v>51</v>
      </c>
      <c r="G1204" t="s">
        <v>52</v>
      </c>
      <c r="H1204" t="s">
        <v>37</v>
      </c>
      <c r="I1204">
        <v>2</v>
      </c>
      <c r="J1204">
        <v>48725</v>
      </c>
      <c r="K1204">
        <v>97450</v>
      </c>
      <c r="L1204" t="s">
        <v>61</v>
      </c>
      <c r="M1204">
        <v>0</v>
      </c>
      <c r="N1204">
        <v>29004.76</v>
      </c>
    </row>
    <row r="1205" spans="1:14" ht="14.25" customHeight="1" x14ac:dyDescent="0.3">
      <c r="A1205">
        <v>2204</v>
      </c>
      <c r="B1205" t="s">
        <v>403</v>
      </c>
      <c r="C1205" t="s">
        <v>60</v>
      </c>
      <c r="D1205" t="s">
        <v>53</v>
      </c>
      <c r="E1205" t="s">
        <v>54</v>
      </c>
      <c r="F1205" t="s">
        <v>51</v>
      </c>
      <c r="G1205" t="s">
        <v>52</v>
      </c>
      <c r="H1205" t="s">
        <v>42</v>
      </c>
      <c r="I1205">
        <v>4</v>
      </c>
      <c r="J1205">
        <v>43217</v>
      </c>
      <c r="K1205">
        <v>155581.20000000001</v>
      </c>
      <c r="L1205" t="s">
        <v>38</v>
      </c>
      <c r="M1205">
        <v>10</v>
      </c>
      <c r="N1205">
        <v>37572.620000000003</v>
      </c>
    </row>
    <row r="1206" spans="1:14" ht="14.25" customHeight="1" x14ac:dyDescent="0.3">
      <c r="A1206">
        <v>2205</v>
      </c>
      <c r="B1206" t="s">
        <v>404</v>
      </c>
      <c r="C1206" t="s">
        <v>60</v>
      </c>
      <c r="D1206" t="s">
        <v>58</v>
      </c>
      <c r="E1206" t="s">
        <v>54</v>
      </c>
      <c r="F1206" t="s">
        <v>45</v>
      </c>
      <c r="G1206" t="s">
        <v>57</v>
      </c>
      <c r="H1206" t="s">
        <v>47</v>
      </c>
      <c r="I1206">
        <v>4</v>
      </c>
      <c r="J1206">
        <v>49680</v>
      </c>
      <c r="K1206">
        <v>168912</v>
      </c>
      <c r="L1206" t="s">
        <v>43</v>
      </c>
      <c r="M1206">
        <v>15</v>
      </c>
      <c r="N1206">
        <v>28021.119999999999</v>
      </c>
    </row>
    <row r="1207" spans="1:14" ht="14.25" customHeight="1" x14ac:dyDescent="0.3">
      <c r="A1207">
        <v>2206</v>
      </c>
      <c r="B1207" t="s">
        <v>404</v>
      </c>
      <c r="C1207" t="s">
        <v>50</v>
      </c>
      <c r="D1207" t="s">
        <v>33</v>
      </c>
      <c r="E1207" t="s">
        <v>34</v>
      </c>
      <c r="F1207" t="s">
        <v>51</v>
      </c>
      <c r="G1207" t="s">
        <v>52</v>
      </c>
      <c r="H1207" t="s">
        <v>55</v>
      </c>
      <c r="I1207">
        <v>3</v>
      </c>
      <c r="J1207">
        <v>27813</v>
      </c>
      <c r="K1207">
        <v>70923.149999999994</v>
      </c>
      <c r="L1207" t="s">
        <v>43</v>
      </c>
      <c r="M1207">
        <v>15</v>
      </c>
      <c r="N1207">
        <v>11653.5</v>
      </c>
    </row>
    <row r="1208" spans="1:14" ht="14.25" customHeight="1" x14ac:dyDescent="0.3">
      <c r="A1208">
        <v>2207</v>
      </c>
      <c r="B1208" t="s">
        <v>405</v>
      </c>
      <c r="C1208" t="s">
        <v>39</v>
      </c>
      <c r="D1208" t="s">
        <v>66</v>
      </c>
      <c r="E1208" t="s">
        <v>34</v>
      </c>
      <c r="F1208" t="s">
        <v>35</v>
      </c>
      <c r="G1208" t="s">
        <v>36</v>
      </c>
      <c r="H1208" t="s">
        <v>55</v>
      </c>
      <c r="I1208">
        <v>3</v>
      </c>
      <c r="J1208">
        <v>24602</v>
      </c>
      <c r="K1208">
        <v>73806</v>
      </c>
      <c r="L1208" t="s">
        <v>38</v>
      </c>
      <c r="M1208">
        <v>0</v>
      </c>
      <c r="N1208">
        <v>21787.51</v>
      </c>
    </row>
    <row r="1209" spans="1:14" ht="14.25" customHeight="1" x14ac:dyDescent="0.3">
      <c r="A1209">
        <v>2208</v>
      </c>
      <c r="B1209" t="s">
        <v>405</v>
      </c>
      <c r="C1209" t="s">
        <v>44</v>
      </c>
      <c r="D1209" t="s">
        <v>66</v>
      </c>
      <c r="E1209" t="s">
        <v>34</v>
      </c>
      <c r="F1209" t="s">
        <v>51</v>
      </c>
      <c r="G1209" t="s">
        <v>52</v>
      </c>
      <c r="H1209" t="s">
        <v>55</v>
      </c>
      <c r="I1209">
        <v>1</v>
      </c>
      <c r="J1209">
        <v>48869</v>
      </c>
      <c r="K1209">
        <v>46425.55</v>
      </c>
      <c r="L1209" t="s">
        <v>61</v>
      </c>
      <c r="M1209">
        <v>5</v>
      </c>
      <c r="N1209">
        <v>7022.19</v>
      </c>
    </row>
    <row r="1210" spans="1:14" ht="14.25" customHeight="1" x14ac:dyDescent="0.3">
      <c r="A1210">
        <v>2209</v>
      </c>
      <c r="B1210" t="s">
        <v>405</v>
      </c>
      <c r="C1210" t="s">
        <v>60</v>
      </c>
      <c r="D1210" t="s">
        <v>53</v>
      </c>
      <c r="E1210" t="s">
        <v>54</v>
      </c>
      <c r="F1210" t="s">
        <v>35</v>
      </c>
      <c r="G1210" t="s">
        <v>36</v>
      </c>
      <c r="H1210" t="s">
        <v>47</v>
      </c>
      <c r="I1210">
        <v>2</v>
      </c>
      <c r="J1210">
        <v>1727</v>
      </c>
      <c r="K1210">
        <v>3281.3</v>
      </c>
      <c r="L1210" t="s">
        <v>43</v>
      </c>
      <c r="M1210">
        <v>5</v>
      </c>
      <c r="N1210">
        <v>757.07</v>
      </c>
    </row>
    <row r="1211" spans="1:14" ht="14.25" customHeight="1" x14ac:dyDescent="0.3">
      <c r="A1211">
        <v>2210</v>
      </c>
      <c r="B1211" t="s">
        <v>405</v>
      </c>
      <c r="C1211" t="s">
        <v>60</v>
      </c>
      <c r="D1211" t="s">
        <v>33</v>
      </c>
      <c r="E1211" t="s">
        <v>34</v>
      </c>
      <c r="F1211" t="s">
        <v>35</v>
      </c>
      <c r="G1211" t="s">
        <v>36</v>
      </c>
      <c r="H1211" t="s">
        <v>37</v>
      </c>
      <c r="I1211">
        <v>2</v>
      </c>
      <c r="J1211">
        <v>10929</v>
      </c>
      <c r="K1211">
        <v>19672.2</v>
      </c>
      <c r="L1211" t="s">
        <v>43</v>
      </c>
      <c r="M1211">
        <v>10</v>
      </c>
      <c r="N1211">
        <v>5352.11</v>
      </c>
    </row>
    <row r="1212" spans="1:14" ht="14.25" customHeight="1" x14ac:dyDescent="0.3">
      <c r="A1212">
        <v>2211</v>
      </c>
      <c r="B1212" t="s">
        <v>406</v>
      </c>
      <c r="C1212" t="s">
        <v>60</v>
      </c>
      <c r="D1212" t="s">
        <v>58</v>
      </c>
      <c r="E1212" t="s">
        <v>54</v>
      </c>
      <c r="F1212" t="s">
        <v>45</v>
      </c>
      <c r="G1212" t="s">
        <v>69</v>
      </c>
      <c r="H1212" t="s">
        <v>47</v>
      </c>
      <c r="I1212">
        <v>4</v>
      </c>
      <c r="J1212">
        <v>9601</v>
      </c>
      <c r="K1212">
        <v>36483.800000000003</v>
      </c>
      <c r="L1212" t="s">
        <v>61</v>
      </c>
      <c r="M1212">
        <v>5</v>
      </c>
      <c r="N1212">
        <v>8051.99</v>
      </c>
    </row>
    <row r="1213" spans="1:14" ht="14.25" customHeight="1" x14ac:dyDescent="0.3">
      <c r="A1213">
        <v>2212</v>
      </c>
      <c r="B1213" t="s">
        <v>406</v>
      </c>
      <c r="C1213" t="s">
        <v>60</v>
      </c>
      <c r="D1213" t="s">
        <v>66</v>
      </c>
      <c r="E1213" t="s">
        <v>34</v>
      </c>
      <c r="F1213" t="s">
        <v>35</v>
      </c>
      <c r="G1213" t="s">
        <v>65</v>
      </c>
      <c r="H1213" t="s">
        <v>55</v>
      </c>
      <c r="I1213">
        <v>4</v>
      </c>
      <c r="J1213">
        <v>31687</v>
      </c>
      <c r="K1213">
        <v>120410.6</v>
      </c>
      <c r="L1213" t="s">
        <v>38</v>
      </c>
      <c r="M1213">
        <v>5</v>
      </c>
      <c r="N1213">
        <v>29946.3</v>
      </c>
    </row>
    <row r="1214" spans="1:14" ht="14.25" customHeight="1" x14ac:dyDescent="0.3">
      <c r="A1214">
        <v>2213</v>
      </c>
      <c r="B1214" t="s">
        <v>406</v>
      </c>
      <c r="C1214" t="s">
        <v>39</v>
      </c>
      <c r="D1214" t="s">
        <v>53</v>
      </c>
      <c r="E1214" t="s">
        <v>54</v>
      </c>
      <c r="F1214" t="s">
        <v>35</v>
      </c>
      <c r="G1214" t="s">
        <v>67</v>
      </c>
      <c r="H1214" t="s">
        <v>42</v>
      </c>
      <c r="I1214">
        <v>3</v>
      </c>
      <c r="J1214">
        <v>3387</v>
      </c>
      <c r="K1214">
        <v>8636.85</v>
      </c>
      <c r="L1214" t="s">
        <v>61</v>
      </c>
      <c r="M1214">
        <v>15</v>
      </c>
      <c r="N1214">
        <v>1565.62</v>
      </c>
    </row>
    <row r="1215" spans="1:14" ht="14.25" customHeight="1" x14ac:dyDescent="0.3">
      <c r="A1215">
        <v>2214</v>
      </c>
      <c r="B1215" t="s">
        <v>407</v>
      </c>
      <c r="C1215" t="s">
        <v>32</v>
      </c>
      <c r="D1215" t="s">
        <v>58</v>
      </c>
      <c r="E1215" t="s">
        <v>54</v>
      </c>
      <c r="F1215" t="s">
        <v>45</v>
      </c>
      <c r="G1215" t="s">
        <v>57</v>
      </c>
      <c r="H1215" t="s">
        <v>47</v>
      </c>
      <c r="I1215">
        <v>5</v>
      </c>
      <c r="J1215">
        <v>9509</v>
      </c>
      <c r="K1215">
        <v>45167.75</v>
      </c>
      <c r="L1215" t="s">
        <v>43</v>
      </c>
      <c r="M1215">
        <v>5</v>
      </c>
      <c r="N1215">
        <v>7407.01</v>
      </c>
    </row>
    <row r="1216" spans="1:14" ht="14.25" customHeight="1" x14ac:dyDescent="0.3">
      <c r="A1216">
        <v>2215</v>
      </c>
      <c r="B1216" t="s">
        <v>407</v>
      </c>
      <c r="C1216" t="s">
        <v>60</v>
      </c>
      <c r="D1216" t="s">
        <v>58</v>
      </c>
      <c r="E1216" t="s">
        <v>54</v>
      </c>
      <c r="F1216" t="s">
        <v>51</v>
      </c>
      <c r="G1216" t="s">
        <v>52</v>
      </c>
      <c r="H1216" t="s">
        <v>47</v>
      </c>
      <c r="I1216">
        <v>5</v>
      </c>
      <c r="J1216">
        <v>30302</v>
      </c>
      <c r="K1216">
        <v>151510</v>
      </c>
      <c r="L1216" t="s">
        <v>38</v>
      </c>
      <c r="M1216">
        <v>0</v>
      </c>
      <c r="N1216">
        <v>34931.360000000001</v>
      </c>
    </row>
    <row r="1217" spans="1:14" ht="14.25" customHeight="1" x14ac:dyDescent="0.3">
      <c r="A1217">
        <v>2216</v>
      </c>
      <c r="B1217" t="s">
        <v>407</v>
      </c>
      <c r="C1217" t="s">
        <v>50</v>
      </c>
      <c r="D1217" t="s">
        <v>66</v>
      </c>
      <c r="E1217" t="s">
        <v>34</v>
      </c>
      <c r="F1217" t="s">
        <v>45</v>
      </c>
      <c r="G1217" t="s">
        <v>57</v>
      </c>
      <c r="H1217" t="s">
        <v>42</v>
      </c>
      <c r="I1217">
        <v>2</v>
      </c>
      <c r="J1217">
        <v>10464</v>
      </c>
      <c r="K1217">
        <v>20928</v>
      </c>
      <c r="L1217" t="s">
        <v>38</v>
      </c>
      <c r="M1217">
        <v>0</v>
      </c>
      <c r="N1217">
        <v>3636.53</v>
      </c>
    </row>
    <row r="1218" spans="1:14" ht="14.25" customHeight="1" x14ac:dyDescent="0.3">
      <c r="A1218">
        <v>2217</v>
      </c>
      <c r="B1218" t="s">
        <v>408</v>
      </c>
      <c r="C1218" t="s">
        <v>60</v>
      </c>
      <c r="D1218" t="s">
        <v>33</v>
      </c>
      <c r="E1218" t="s">
        <v>34</v>
      </c>
      <c r="F1218" t="s">
        <v>51</v>
      </c>
      <c r="G1218" t="s">
        <v>52</v>
      </c>
      <c r="H1218" t="s">
        <v>55</v>
      </c>
      <c r="I1218">
        <v>2</v>
      </c>
      <c r="J1218">
        <v>18318</v>
      </c>
      <c r="K1218">
        <v>36636</v>
      </c>
      <c r="L1218" t="s">
        <v>48</v>
      </c>
      <c r="M1218">
        <v>0</v>
      </c>
      <c r="N1218">
        <v>4754.82</v>
      </c>
    </row>
    <row r="1219" spans="1:14" ht="14.25" customHeight="1" x14ac:dyDescent="0.3">
      <c r="A1219">
        <v>2218</v>
      </c>
      <c r="B1219" t="s">
        <v>408</v>
      </c>
      <c r="C1219" t="s">
        <v>50</v>
      </c>
      <c r="D1219" t="s">
        <v>53</v>
      </c>
      <c r="E1219" t="s">
        <v>54</v>
      </c>
      <c r="F1219" t="s">
        <v>51</v>
      </c>
      <c r="G1219" t="s">
        <v>62</v>
      </c>
      <c r="H1219" t="s">
        <v>37</v>
      </c>
      <c r="I1219">
        <v>2</v>
      </c>
      <c r="J1219">
        <v>7310</v>
      </c>
      <c r="K1219">
        <v>14620</v>
      </c>
      <c r="L1219" t="s">
        <v>61</v>
      </c>
      <c r="M1219">
        <v>0</v>
      </c>
      <c r="N1219">
        <v>2978.05</v>
      </c>
    </row>
    <row r="1220" spans="1:14" ht="14.25" customHeight="1" x14ac:dyDescent="0.3">
      <c r="A1220">
        <v>2219</v>
      </c>
      <c r="B1220" t="s">
        <v>409</v>
      </c>
      <c r="C1220" t="s">
        <v>39</v>
      </c>
      <c r="D1220" t="s">
        <v>33</v>
      </c>
      <c r="E1220" t="s">
        <v>34</v>
      </c>
      <c r="F1220" t="s">
        <v>35</v>
      </c>
      <c r="G1220" t="s">
        <v>67</v>
      </c>
      <c r="H1220" t="s">
        <v>42</v>
      </c>
      <c r="I1220">
        <v>1</v>
      </c>
      <c r="J1220">
        <v>41502</v>
      </c>
      <c r="K1220">
        <v>39426.9</v>
      </c>
      <c r="L1220" t="s">
        <v>43</v>
      </c>
      <c r="M1220">
        <v>5</v>
      </c>
      <c r="N1220">
        <v>8265.42</v>
      </c>
    </row>
    <row r="1221" spans="1:14" ht="14.25" customHeight="1" x14ac:dyDescent="0.3">
      <c r="A1221">
        <v>2220</v>
      </c>
      <c r="B1221" t="s">
        <v>409</v>
      </c>
      <c r="C1221" t="s">
        <v>60</v>
      </c>
      <c r="D1221" t="s">
        <v>66</v>
      </c>
      <c r="E1221" t="s">
        <v>34</v>
      </c>
      <c r="F1221" t="s">
        <v>51</v>
      </c>
      <c r="G1221" t="s">
        <v>63</v>
      </c>
      <c r="H1221" t="s">
        <v>47</v>
      </c>
      <c r="I1221">
        <v>2</v>
      </c>
      <c r="J1221">
        <v>6462</v>
      </c>
      <c r="K1221">
        <v>12924</v>
      </c>
      <c r="L1221" t="s">
        <v>43</v>
      </c>
      <c r="M1221">
        <v>0</v>
      </c>
      <c r="N1221">
        <v>2775.23</v>
      </c>
    </row>
    <row r="1222" spans="1:14" ht="14.25" customHeight="1" x14ac:dyDescent="0.3">
      <c r="A1222">
        <v>2221</v>
      </c>
      <c r="B1222" t="s">
        <v>410</v>
      </c>
      <c r="C1222" t="s">
        <v>32</v>
      </c>
      <c r="D1222" t="s">
        <v>66</v>
      </c>
      <c r="E1222" t="s">
        <v>34</v>
      </c>
      <c r="F1222" t="s">
        <v>45</v>
      </c>
      <c r="G1222" t="s">
        <v>46</v>
      </c>
      <c r="H1222" t="s">
        <v>55</v>
      </c>
      <c r="I1222">
        <v>2</v>
      </c>
      <c r="J1222">
        <v>3279</v>
      </c>
      <c r="K1222">
        <v>5574.3</v>
      </c>
      <c r="L1222" t="s">
        <v>48</v>
      </c>
      <c r="M1222">
        <v>15</v>
      </c>
      <c r="N1222">
        <v>1483.57</v>
      </c>
    </row>
    <row r="1223" spans="1:14" ht="14.25" customHeight="1" x14ac:dyDescent="0.3">
      <c r="A1223">
        <v>2222</v>
      </c>
      <c r="B1223" t="s">
        <v>410</v>
      </c>
      <c r="C1223" t="s">
        <v>50</v>
      </c>
      <c r="D1223" t="s">
        <v>58</v>
      </c>
      <c r="E1223" t="s">
        <v>54</v>
      </c>
      <c r="F1223" t="s">
        <v>35</v>
      </c>
      <c r="G1223" t="s">
        <v>36</v>
      </c>
      <c r="H1223" t="s">
        <v>42</v>
      </c>
      <c r="I1223">
        <v>2</v>
      </c>
      <c r="J1223">
        <v>43304</v>
      </c>
      <c r="K1223">
        <v>73616.800000000003</v>
      </c>
      <c r="L1223" t="s">
        <v>43</v>
      </c>
      <c r="M1223">
        <v>15</v>
      </c>
      <c r="N1223">
        <v>9549.65</v>
      </c>
    </row>
    <row r="1224" spans="1:14" ht="14.25" customHeight="1" x14ac:dyDescent="0.3">
      <c r="A1224">
        <v>2223</v>
      </c>
      <c r="B1224" t="s">
        <v>410</v>
      </c>
      <c r="C1224" t="s">
        <v>44</v>
      </c>
      <c r="D1224" t="s">
        <v>53</v>
      </c>
      <c r="E1224" t="s">
        <v>54</v>
      </c>
      <c r="F1224" t="s">
        <v>51</v>
      </c>
      <c r="G1224" t="s">
        <v>52</v>
      </c>
      <c r="H1224" t="s">
        <v>42</v>
      </c>
      <c r="I1224">
        <v>4</v>
      </c>
      <c r="J1224">
        <v>37193</v>
      </c>
      <c r="K1224">
        <v>141333.4</v>
      </c>
      <c r="L1224" t="s">
        <v>38</v>
      </c>
      <c r="M1224">
        <v>5</v>
      </c>
      <c r="N1224">
        <v>17503.759999999998</v>
      </c>
    </row>
    <row r="1225" spans="1:14" ht="14.25" customHeight="1" x14ac:dyDescent="0.3">
      <c r="A1225">
        <v>2224</v>
      </c>
      <c r="B1225" t="s">
        <v>411</v>
      </c>
      <c r="C1225" t="s">
        <v>44</v>
      </c>
      <c r="D1225" t="s">
        <v>58</v>
      </c>
      <c r="E1225" t="s">
        <v>54</v>
      </c>
      <c r="F1225" t="s">
        <v>51</v>
      </c>
      <c r="G1225" t="s">
        <v>62</v>
      </c>
      <c r="H1225" t="s">
        <v>42</v>
      </c>
      <c r="I1225">
        <v>5</v>
      </c>
      <c r="J1225">
        <v>44690</v>
      </c>
      <c r="K1225">
        <v>189932.5</v>
      </c>
      <c r="L1225" t="s">
        <v>38</v>
      </c>
      <c r="M1225">
        <v>15</v>
      </c>
      <c r="N1225">
        <v>23751.08</v>
      </c>
    </row>
    <row r="1226" spans="1:14" ht="14.25" customHeight="1" x14ac:dyDescent="0.3">
      <c r="A1226">
        <v>2225</v>
      </c>
      <c r="B1226" t="s">
        <v>411</v>
      </c>
      <c r="C1226" t="s">
        <v>32</v>
      </c>
      <c r="D1226" t="s">
        <v>66</v>
      </c>
      <c r="E1226" t="s">
        <v>34</v>
      </c>
      <c r="F1226" t="s">
        <v>35</v>
      </c>
      <c r="G1226" t="s">
        <v>67</v>
      </c>
      <c r="H1226" t="s">
        <v>55</v>
      </c>
      <c r="I1226">
        <v>1</v>
      </c>
      <c r="J1226">
        <v>28059</v>
      </c>
      <c r="K1226">
        <v>26656.05</v>
      </c>
      <c r="L1226" t="s">
        <v>61</v>
      </c>
      <c r="M1226">
        <v>5</v>
      </c>
      <c r="N1226">
        <v>5728.38</v>
      </c>
    </row>
    <row r="1227" spans="1:14" ht="14.25" customHeight="1" x14ac:dyDescent="0.3">
      <c r="A1227">
        <v>2226</v>
      </c>
      <c r="B1227" t="s">
        <v>411</v>
      </c>
      <c r="C1227" t="s">
        <v>39</v>
      </c>
      <c r="D1227" t="s">
        <v>66</v>
      </c>
      <c r="E1227" t="s">
        <v>34</v>
      </c>
      <c r="F1227" t="s">
        <v>51</v>
      </c>
      <c r="G1227" t="s">
        <v>52</v>
      </c>
      <c r="H1227" t="s">
        <v>37</v>
      </c>
      <c r="I1227">
        <v>3</v>
      </c>
      <c r="J1227">
        <v>45665</v>
      </c>
      <c r="K1227">
        <v>130145.25</v>
      </c>
      <c r="L1227" t="s">
        <v>48</v>
      </c>
      <c r="M1227">
        <v>5</v>
      </c>
      <c r="N1227">
        <v>23886.240000000002</v>
      </c>
    </row>
    <row r="1228" spans="1:14" ht="14.25" customHeight="1" x14ac:dyDescent="0.3">
      <c r="A1228">
        <v>2227</v>
      </c>
      <c r="B1228" t="s">
        <v>411</v>
      </c>
      <c r="C1228" t="s">
        <v>60</v>
      </c>
      <c r="D1228" t="s">
        <v>53</v>
      </c>
      <c r="E1228" t="s">
        <v>54</v>
      </c>
      <c r="F1228" t="s">
        <v>51</v>
      </c>
      <c r="G1228" t="s">
        <v>63</v>
      </c>
      <c r="H1228" t="s">
        <v>37</v>
      </c>
      <c r="I1228">
        <v>2</v>
      </c>
      <c r="J1228">
        <v>1955</v>
      </c>
      <c r="K1228">
        <v>3714.5</v>
      </c>
      <c r="L1228" t="s">
        <v>61</v>
      </c>
      <c r="M1228">
        <v>5</v>
      </c>
      <c r="N1228">
        <v>406.9</v>
      </c>
    </row>
    <row r="1229" spans="1:14" ht="14.25" customHeight="1" x14ac:dyDescent="0.3">
      <c r="A1229">
        <v>2228</v>
      </c>
      <c r="B1229" t="s">
        <v>411</v>
      </c>
      <c r="C1229" t="s">
        <v>44</v>
      </c>
      <c r="D1229" t="s">
        <v>33</v>
      </c>
      <c r="E1229" t="s">
        <v>34</v>
      </c>
      <c r="F1229" t="s">
        <v>51</v>
      </c>
      <c r="G1229" t="s">
        <v>63</v>
      </c>
      <c r="H1229" t="s">
        <v>47</v>
      </c>
      <c r="I1229">
        <v>3</v>
      </c>
      <c r="J1229">
        <v>24615</v>
      </c>
      <c r="K1229">
        <v>66460.5</v>
      </c>
      <c r="L1229" t="s">
        <v>61</v>
      </c>
      <c r="M1229">
        <v>10</v>
      </c>
      <c r="N1229">
        <v>11408.17</v>
      </c>
    </row>
    <row r="1230" spans="1:14" ht="14.25" customHeight="1" x14ac:dyDescent="0.3">
      <c r="A1230">
        <v>2229</v>
      </c>
      <c r="B1230" t="s">
        <v>412</v>
      </c>
      <c r="C1230" t="s">
        <v>60</v>
      </c>
      <c r="D1230" t="s">
        <v>53</v>
      </c>
      <c r="E1230" t="s">
        <v>54</v>
      </c>
      <c r="F1230" t="s">
        <v>51</v>
      </c>
      <c r="G1230" t="s">
        <v>63</v>
      </c>
      <c r="H1230" t="s">
        <v>42</v>
      </c>
      <c r="I1230">
        <v>5</v>
      </c>
      <c r="J1230">
        <v>26240</v>
      </c>
      <c r="K1230">
        <v>118080</v>
      </c>
      <c r="L1230" t="s">
        <v>61</v>
      </c>
      <c r="M1230">
        <v>10</v>
      </c>
      <c r="N1230">
        <v>33618.83</v>
      </c>
    </row>
    <row r="1231" spans="1:14" ht="14.25" customHeight="1" x14ac:dyDescent="0.3">
      <c r="A1231">
        <v>2230</v>
      </c>
      <c r="B1231" t="s">
        <v>412</v>
      </c>
      <c r="C1231" t="s">
        <v>39</v>
      </c>
      <c r="D1231" t="s">
        <v>53</v>
      </c>
      <c r="E1231" t="s">
        <v>54</v>
      </c>
      <c r="F1231" t="s">
        <v>35</v>
      </c>
      <c r="G1231" t="s">
        <v>65</v>
      </c>
      <c r="H1231" t="s">
        <v>42</v>
      </c>
      <c r="I1231">
        <v>1</v>
      </c>
      <c r="J1231">
        <v>4879</v>
      </c>
      <c r="K1231">
        <v>4147.1499999999996</v>
      </c>
      <c r="L1231" t="s">
        <v>43</v>
      </c>
      <c r="M1231">
        <v>15</v>
      </c>
      <c r="N1231">
        <v>786.53</v>
      </c>
    </row>
    <row r="1232" spans="1:14" ht="14.25" customHeight="1" x14ac:dyDescent="0.3">
      <c r="A1232">
        <v>2231</v>
      </c>
      <c r="B1232" t="s">
        <v>412</v>
      </c>
      <c r="C1232" t="s">
        <v>44</v>
      </c>
      <c r="D1232" t="s">
        <v>40</v>
      </c>
      <c r="E1232" t="s">
        <v>41</v>
      </c>
      <c r="F1232" t="s">
        <v>45</v>
      </c>
      <c r="G1232" t="s">
        <v>57</v>
      </c>
      <c r="H1232" t="s">
        <v>42</v>
      </c>
      <c r="I1232">
        <v>3</v>
      </c>
      <c r="J1232">
        <v>27055</v>
      </c>
      <c r="K1232">
        <v>81165</v>
      </c>
      <c r="L1232" t="s">
        <v>61</v>
      </c>
      <c r="M1232">
        <v>0</v>
      </c>
      <c r="N1232">
        <v>16254.72</v>
      </c>
    </row>
    <row r="1233" spans="1:14" ht="14.25" customHeight="1" x14ac:dyDescent="0.3">
      <c r="A1233">
        <v>2232</v>
      </c>
      <c r="B1233" t="s">
        <v>413</v>
      </c>
      <c r="C1233" t="s">
        <v>44</v>
      </c>
      <c r="D1233" t="s">
        <v>58</v>
      </c>
      <c r="E1233" t="s">
        <v>54</v>
      </c>
      <c r="F1233" t="s">
        <v>51</v>
      </c>
      <c r="G1233" t="s">
        <v>52</v>
      </c>
      <c r="H1233" t="s">
        <v>42</v>
      </c>
      <c r="I1233">
        <v>4</v>
      </c>
      <c r="J1233">
        <v>38860</v>
      </c>
      <c r="K1233">
        <v>132124</v>
      </c>
      <c r="L1233" t="s">
        <v>61</v>
      </c>
      <c r="M1233">
        <v>15</v>
      </c>
      <c r="N1233">
        <v>29505.439999999999</v>
      </c>
    </row>
    <row r="1234" spans="1:14" ht="14.25" customHeight="1" x14ac:dyDescent="0.3">
      <c r="A1234">
        <v>2233</v>
      </c>
      <c r="B1234" t="s">
        <v>413</v>
      </c>
      <c r="C1234" t="s">
        <v>50</v>
      </c>
      <c r="D1234" t="s">
        <v>33</v>
      </c>
      <c r="E1234" t="s">
        <v>34</v>
      </c>
      <c r="F1234" t="s">
        <v>45</v>
      </c>
      <c r="G1234" t="s">
        <v>69</v>
      </c>
      <c r="H1234" t="s">
        <v>47</v>
      </c>
      <c r="I1234">
        <v>1</v>
      </c>
      <c r="J1234">
        <v>42712</v>
      </c>
      <c r="K1234">
        <v>40576.400000000001</v>
      </c>
      <c r="L1234" t="s">
        <v>43</v>
      </c>
      <c r="M1234">
        <v>5</v>
      </c>
      <c r="N1234">
        <v>5489.09</v>
      </c>
    </row>
    <row r="1235" spans="1:14" ht="14.25" customHeight="1" x14ac:dyDescent="0.3">
      <c r="A1235">
        <v>2234</v>
      </c>
      <c r="B1235" t="s">
        <v>413</v>
      </c>
      <c r="C1235" t="s">
        <v>50</v>
      </c>
      <c r="D1235" t="s">
        <v>33</v>
      </c>
      <c r="E1235" t="s">
        <v>34</v>
      </c>
      <c r="F1235" t="s">
        <v>35</v>
      </c>
      <c r="G1235" t="s">
        <v>67</v>
      </c>
      <c r="H1235" t="s">
        <v>37</v>
      </c>
      <c r="I1235">
        <v>1</v>
      </c>
      <c r="J1235">
        <v>7875</v>
      </c>
      <c r="K1235">
        <v>7087.5</v>
      </c>
      <c r="L1235" t="s">
        <v>48</v>
      </c>
      <c r="M1235">
        <v>10</v>
      </c>
      <c r="N1235">
        <v>1348.2</v>
      </c>
    </row>
    <row r="1236" spans="1:14" ht="14.25" customHeight="1" x14ac:dyDescent="0.3">
      <c r="A1236">
        <v>2235</v>
      </c>
      <c r="B1236" t="s">
        <v>413</v>
      </c>
      <c r="C1236" t="s">
        <v>44</v>
      </c>
      <c r="D1236" t="s">
        <v>40</v>
      </c>
      <c r="E1236" t="s">
        <v>41</v>
      </c>
      <c r="F1236" t="s">
        <v>51</v>
      </c>
      <c r="G1236" t="s">
        <v>62</v>
      </c>
      <c r="H1236" t="s">
        <v>47</v>
      </c>
      <c r="I1236">
        <v>3</v>
      </c>
      <c r="J1236">
        <v>1790</v>
      </c>
      <c r="K1236">
        <v>5101.5</v>
      </c>
      <c r="L1236" t="s">
        <v>38</v>
      </c>
      <c r="M1236">
        <v>5</v>
      </c>
      <c r="N1236">
        <v>1113.46</v>
      </c>
    </row>
    <row r="1237" spans="1:14" ht="14.25" customHeight="1" x14ac:dyDescent="0.3">
      <c r="A1237">
        <v>2236</v>
      </c>
      <c r="B1237" t="s">
        <v>414</v>
      </c>
      <c r="C1237" t="s">
        <v>60</v>
      </c>
      <c r="D1237" t="s">
        <v>33</v>
      </c>
      <c r="E1237" t="s">
        <v>34</v>
      </c>
      <c r="F1237" t="s">
        <v>35</v>
      </c>
      <c r="G1237" t="s">
        <v>65</v>
      </c>
      <c r="H1237" t="s">
        <v>55</v>
      </c>
      <c r="I1237">
        <v>4</v>
      </c>
      <c r="J1237">
        <v>18784</v>
      </c>
      <c r="K1237">
        <v>67622.399999999994</v>
      </c>
      <c r="L1237" t="s">
        <v>61</v>
      </c>
      <c r="M1237">
        <v>10</v>
      </c>
      <c r="N1237">
        <v>13485.69</v>
      </c>
    </row>
    <row r="1238" spans="1:14" ht="14.25" customHeight="1" x14ac:dyDescent="0.3">
      <c r="A1238">
        <v>2237</v>
      </c>
      <c r="B1238" t="s">
        <v>414</v>
      </c>
      <c r="C1238" t="s">
        <v>39</v>
      </c>
      <c r="D1238" t="s">
        <v>53</v>
      </c>
      <c r="E1238" t="s">
        <v>54</v>
      </c>
      <c r="F1238" t="s">
        <v>35</v>
      </c>
      <c r="G1238" t="s">
        <v>65</v>
      </c>
      <c r="H1238" t="s">
        <v>55</v>
      </c>
      <c r="I1238">
        <v>3</v>
      </c>
      <c r="J1238">
        <v>44533</v>
      </c>
      <c r="K1238">
        <v>120239.1</v>
      </c>
      <c r="L1238" t="s">
        <v>48</v>
      </c>
      <c r="M1238">
        <v>10</v>
      </c>
      <c r="N1238">
        <v>26373.43</v>
      </c>
    </row>
    <row r="1239" spans="1:14" ht="14.25" customHeight="1" x14ac:dyDescent="0.3">
      <c r="A1239">
        <v>2238</v>
      </c>
      <c r="B1239" t="s">
        <v>415</v>
      </c>
      <c r="C1239" t="s">
        <v>50</v>
      </c>
      <c r="D1239" t="s">
        <v>40</v>
      </c>
      <c r="E1239" t="s">
        <v>41</v>
      </c>
      <c r="F1239" t="s">
        <v>51</v>
      </c>
      <c r="G1239" t="s">
        <v>52</v>
      </c>
      <c r="H1239" t="s">
        <v>37</v>
      </c>
      <c r="I1239">
        <v>1</v>
      </c>
      <c r="J1239">
        <v>23775</v>
      </c>
      <c r="K1239">
        <v>20208.75</v>
      </c>
      <c r="L1239" t="s">
        <v>38</v>
      </c>
      <c r="M1239">
        <v>15</v>
      </c>
      <c r="N1239">
        <v>3171.95</v>
      </c>
    </row>
    <row r="1240" spans="1:14" ht="14.25" customHeight="1" x14ac:dyDescent="0.3">
      <c r="A1240">
        <v>2239</v>
      </c>
      <c r="B1240" t="s">
        <v>415</v>
      </c>
      <c r="C1240" t="s">
        <v>60</v>
      </c>
      <c r="D1240" t="s">
        <v>58</v>
      </c>
      <c r="E1240" t="s">
        <v>54</v>
      </c>
      <c r="F1240" t="s">
        <v>51</v>
      </c>
      <c r="G1240" t="s">
        <v>63</v>
      </c>
      <c r="H1240" t="s">
        <v>42</v>
      </c>
      <c r="I1240">
        <v>1</v>
      </c>
      <c r="J1240">
        <v>24369</v>
      </c>
      <c r="K1240">
        <v>20713.650000000001</v>
      </c>
      <c r="L1240" t="s">
        <v>43</v>
      </c>
      <c r="M1240">
        <v>15</v>
      </c>
      <c r="N1240">
        <v>4461.91</v>
      </c>
    </row>
    <row r="1241" spans="1:14" ht="14.25" customHeight="1" x14ac:dyDescent="0.3">
      <c r="A1241">
        <v>2240</v>
      </c>
      <c r="B1241" t="s">
        <v>415</v>
      </c>
      <c r="C1241" t="s">
        <v>32</v>
      </c>
      <c r="D1241" t="s">
        <v>66</v>
      </c>
      <c r="E1241" t="s">
        <v>34</v>
      </c>
      <c r="F1241" t="s">
        <v>51</v>
      </c>
      <c r="G1241" t="s">
        <v>62</v>
      </c>
      <c r="H1241" t="s">
        <v>37</v>
      </c>
      <c r="I1241">
        <v>3</v>
      </c>
      <c r="J1241">
        <v>40957</v>
      </c>
      <c r="K1241">
        <v>110583.9</v>
      </c>
      <c r="L1241" t="s">
        <v>48</v>
      </c>
      <c r="M1241">
        <v>10</v>
      </c>
      <c r="N1241">
        <v>13832.84</v>
      </c>
    </row>
    <row r="1242" spans="1:14" ht="14.25" customHeight="1" x14ac:dyDescent="0.3">
      <c r="A1242">
        <v>2241</v>
      </c>
      <c r="B1242" t="s">
        <v>415</v>
      </c>
      <c r="C1242" t="s">
        <v>44</v>
      </c>
      <c r="D1242" t="s">
        <v>53</v>
      </c>
      <c r="E1242" t="s">
        <v>54</v>
      </c>
      <c r="F1242" t="s">
        <v>45</v>
      </c>
      <c r="G1242" t="s">
        <v>69</v>
      </c>
      <c r="H1242" t="s">
        <v>42</v>
      </c>
      <c r="I1242">
        <v>5</v>
      </c>
      <c r="J1242">
        <v>35538</v>
      </c>
      <c r="K1242">
        <v>168805.5</v>
      </c>
      <c r="L1242" t="s">
        <v>38</v>
      </c>
      <c r="M1242">
        <v>5</v>
      </c>
      <c r="N1242">
        <v>40305.160000000003</v>
      </c>
    </row>
    <row r="1243" spans="1:14" ht="14.25" customHeight="1" x14ac:dyDescent="0.3">
      <c r="A1243">
        <v>2242</v>
      </c>
      <c r="B1243" t="s">
        <v>416</v>
      </c>
      <c r="C1243" t="s">
        <v>60</v>
      </c>
      <c r="D1243" t="s">
        <v>33</v>
      </c>
      <c r="E1243" t="s">
        <v>34</v>
      </c>
      <c r="F1243" t="s">
        <v>35</v>
      </c>
      <c r="G1243" t="s">
        <v>36</v>
      </c>
      <c r="H1243" t="s">
        <v>37</v>
      </c>
      <c r="I1243">
        <v>5</v>
      </c>
      <c r="J1243">
        <v>2543</v>
      </c>
      <c r="K1243">
        <v>12715</v>
      </c>
      <c r="L1243" t="s">
        <v>38</v>
      </c>
      <c r="M1243">
        <v>0</v>
      </c>
      <c r="N1243">
        <v>3336.37</v>
      </c>
    </row>
    <row r="1244" spans="1:14" ht="14.25" customHeight="1" x14ac:dyDescent="0.3">
      <c r="A1244">
        <v>2243</v>
      </c>
      <c r="B1244" t="s">
        <v>416</v>
      </c>
      <c r="C1244" t="s">
        <v>50</v>
      </c>
      <c r="D1244" t="s">
        <v>33</v>
      </c>
      <c r="E1244" t="s">
        <v>34</v>
      </c>
      <c r="F1244" t="s">
        <v>45</v>
      </c>
      <c r="G1244" t="s">
        <v>46</v>
      </c>
      <c r="H1244" t="s">
        <v>37</v>
      </c>
      <c r="I1244">
        <v>4</v>
      </c>
      <c r="J1244">
        <v>45386</v>
      </c>
      <c r="K1244">
        <v>172466.8</v>
      </c>
      <c r="L1244" t="s">
        <v>61</v>
      </c>
      <c r="M1244">
        <v>5</v>
      </c>
      <c r="N1244">
        <v>26093.03</v>
      </c>
    </row>
    <row r="1245" spans="1:14" ht="14.25" customHeight="1" x14ac:dyDescent="0.3">
      <c r="A1245">
        <v>2244</v>
      </c>
      <c r="B1245" t="s">
        <v>417</v>
      </c>
      <c r="C1245" t="s">
        <v>32</v>
      </c>
      <c r="D1245" t="s">
        <v>53</v>
      </c>
      <c r="E1245" t="s">
        <v>54</v>
      </c>
      <c r="F1245" t="s">
        <v>45</v>
      </c>
      <c r="G1245" t="s">
        <v>69</v>
      </c>
      <c r="H1245" t="s">
        <v>47</v>
      </c>
      <c r="I1245">
        <v>4</v>
      </c>
      <c r="J1245">
        <v>4449</v>
      </c>
      <c r="K1245">
        <v>16016.4</v>
      </c>
      <c r="L1245" t="s">
        <v>61</v>
      </c>
      <c r="M1245">
        <v>10</v>
      </c>
      <c r="N1245">
        <v>4103.9399999999996</v>
      </c>
    </row>
    <row r="1246" spans="1:14" ht="14.25" customHeight="1" x14ac:dyDescent="0.3">
      <c r="A1246">
        <v>2245</v>
      </c>
      <c r="B1246" t="s">
        <v>417</v>
      </c>
      <c r="C1246" t="s">
        <v>32</v>
      </c>
      <c r="D1246" t="s">
        <v>40</v>
      </c>
      <c r="E1246" t="s">
        <v>41</v>
      </c>
      <c r="F1246" t="s">
        <v>45</v>
      </c>
      <c r="G1246" t="s">
        <v>46</v>
      </c>
      <c r="H1246" t="s">
        <v>47</v>
      </c>
      <c r="I1246">
        <v>5</v>
      </c>
      <c r="J1246">
        <v>8409</v>
      </c>
      <c r="K1246">
        <v>42045</v>
      </c>
      <c r="L1246" t="s">
        <v>43</v>
      </c>
      <c r="M1246">
        <v>0</v>
      </c>
      <c r="N1246">
        <v>10138.58</v>
      </c>
    </row>
    <row r="1247" spans="1:14" ht="14.25" customHeight="1" x14ac:dyDescent="0.3">
      <c r="A1247">
        <v>2246</v>
      </c>
      <c r="B1247" t="s">
        <v>417</v>
      </c>
      <c r="C1247" t="s">
        <v>44</v>
      </c>
      <c r="D1247" t="s">
        <v>66</v>
      </c>
      <c r="E1247" t="s">
        <v>34</v>
      </c>
      <c r="F1247" t="s">
        <v>35</v>
      </c>
      <c r="G1247" t="s">
        <v>36</v>
      </c>
      <c r="H1247" t="s">
        <v>55</v>
      </c>
      <c r="I1247">
        <v>5</v>
      </c>
      <c r="J1247">
        <v>22967</v>
      </c>
      <c r="K1247">
        <v>114835</v>
      </c>
      <c r="L1247" t="s">
        <v>38</v>
      </c>
      <c r="M1247">
        <v>0</v>
      </c>
      <c r="N1247">
        <v>22631.599999999999</v>
      </c>
    </row>
    <row r="1248" spans="1:14" ht="14.25" customHeight="1" x14ac:dyDescent="0.3">
      <c r="A1248">
        <v>2247</v>
      </c>
      <c r="B1248" t="s">
        <v>417</v>
      </c>
      <c r="C1248" t="s">
        <v>60</v>
      </c>
      <c r="D1248" t="s">
        <v>66</v>
      </c>
      <c r="E1248" t="s">
        <v>34</v>
      </c>
      <c r="F1248" t="s">
        <v>51</v>
      </c>
      <c r="G1248" t="s">
        <v>62</v>
      </c>
      <c r="H1248" t="s">
        <v>55</v>
      </c>
      <c r="I1248">
        <v>4</v>
      </c>
      <c r="J1248">
        <v>16623</v>
      </c>
      <c r="K1248">
        <v>63167.4</v>
      </c>
      <c r="L1248" t="s">
        <v>48</v>
      </c>
      <c r="M1248">
        <v>5</v>
      </c>
      <c r="N1248">
        <v>17111.18</v>
      </c>
    </row>
    <row r="1249" spans="1:14" ht="14.25" customHeight="1" x14ac:dyDescent="0.3">
      <c r="A1249">
        <v>2248</v>
      </c>
      <c r="B1249" t="s">
        <v>418</v>
      </c>
      <c r="C1249" t="s">
        <v>60</v>
      </c>
      <c r="D1249" t="s">
        <v>53</v>
      </c>
      <c r="E1249" t="s">
        <v>54</v>
      </c>
      <c r="F1249" t="s">
        <v>35</v>
      </c>
      <c r="G1249" t="s">
        <v>36</v>
      </c>
      <c r="H1249" t="s">
        <v>47</v>
      </c>
      <c r="I1249">
        <v>3</v>
      </c>
      <c r="J1249">
        <v>44666</v>
      </c>
      <c r="K1249">
        <v>133998</v>
      </c>
      <c r="L1249" t="s">
        <v>43</v>
      </c>
      <c r="M1249">
        <v>0</v>
      </c>
      <c r="N1249">
        <v>18587.78</v>
      </c>
    </row>
    <row r="1250" spans="1:14" ht="14.25" customHeight="1" x14ac:dyDescent="0.3">
      <c r="A1250">
        <v>2249</v>
      </c>
      <c r="B1250" t="s">
        <v>418</v>
      </c>
      <c r="C1250" t="s">
        <v>32</v>
      </c>
      <c r="D1250" t="s">
        <v>40</v>
      </c>
      <c r="E1250" t="s">
        <v>41</v>
      </c>
      <c r="F1250" t="s">
        <v>45</v>
      </c>
      <c r="G1250" t="s">
        <v>46</v>
      </c>
      <c r="H1250" t="s">
        <v>37</v>
      </c>
      <c r="I1250">
        <v>4</v>
      </c>
      <c r="J1250">
        <v>43582</v>
      </c>
      <c r="K1250">
        <v>148178.79999999999</v>
      </c>
      <c r="L1250" t="s">
        <v>38</v>
      </c>
      <c r="M1250">
        <v>15</v>
      </c>
      <c r="N1250">
        <v>29254.080000000002</v>
      </c>
    </row>
    <row r="1251" spans="1:14" ht="14.25" customHeight="1" x14ac:dyDescent="0.3">
      <c r="A1251">
        <v>2250</v>
      </c>
      <c r="B1251" t="s">
        <v>418</v>
      </c>
      <c r="C1251" t="s">
        <v>44</v>
      </c>
      <c r="D1251" t="s">
        <v>33</v>
      </c>
      <c r="E1251" t="s">
        <v>34</v>
      </c>
      <c r="F1251" t="s">
        <v>35</v>
      </c>
      <c r="G1251" t="s">
        <v>67</v>
      </c>
      <c r="H1251" t="s">
        <v>47</v>
      </c>
      <c r="I1251">
        <v>1</v>
      </c>
      <c r="J1251">
        <v>8488</v>
      </c>
      <c r="K1251">
        <v>7639.2</v>
      </c>
      <c r="L1251" t="s">
        <v>43</v>
      </c>
      <c r="M1251">
        <v>10</v>
      </c>
      <c r="N1251">
        <v>1138.93</v>
      </c>
    </row>
    <row r="1252" spans="1:14" ht="14.25" customHeight="1" x14ac:dyDescent="0.3">
      <c r="A1252">
        <v>2251</v>
      </c>
      <c r="B1252" t="s">
        <v>418</v>
      </c>
      <c r="C1252" t="s">
        <v>50</v>
      </c>
      <c r="D1252" t="s">
        <v>53</v>
      </c>
      <c r="E1252" t="s">
        <v>54</v>
      </c>
      <c r="F1252" t="s">
        <v>45</v>
      </c>
      <c r="G1252" t="s">
        <v>57</v>
      </c>
      <c r="H1252" t="s">
        <v>55</v>
      </c>
      <c r="I1252">
        <v>2</v>
      </c>
      <c r="J1252">
        <v>6365</v>
      </c>
      <c r="K1252">
        <v>12730</v>
      </c>
      <c r="L1252" t="s">
        <v>38</v>
      </c>
      <c r="M1252">
        <v>0</v>
      </c>
      <c r="N1252">
        <v>3744.63</v>
      </c>
    </row>
    <row r="1253" spans="1:14" ht="14.25" customHeight="1" x14ac:dyDescent="0.3">
      <c r="A1253">
        <v>2252</v>
      </c>
      <c r="B1253" t="s">
        <v>418</v>
      </c>
      <c r="C1253" t="s">
        <v>32</v>
      </c>
      <c r="D1253" t="s">
        <v>58</v>
      </c>
      <c r="E1253" t="s">
        <v>54</v>
      </c>
      <c r="F1253" t="s">
        <v>45</v>
      </c>
      <c r="G1253" t="s">
        <v>69</v>
      </c>
      <c r="H1253" t="s">
        <v>42</v>
      </c>
      <c r="I1253">
        <v>4</v>
      </c>
      <c r="J1253">
        <v>39879</v>
      </c>
      <c r="K1253">
        <v>151540.20000000001</v>
      </c>
      <c r="L1253" t="s">
        <v>38</v>
      </c>
      <c r="M1253">
        <v>5</v>
      </c>
      <c r="N1253">
        <v>42246.28</v>
      </c>
    </row>
    <row r="1254" spans="1:14" ht="14.25" customHeight="1" x14ac:dyDescent="0.3">
      <c r="A1254">
        <v>2253</v>
      </c>
      <c r="B1254" t="s">
        <v>419</v>
      </c>
      <c r="C1254" t="s">
        <v>44</v>
      </c>
      <c r="D1254" t="s">
        <v>66</v>
      </c>
      <c r="E1254" t="s">
        <v>34</v>
      </c>
      <c r="F1254" t="s">
        <v>51</v>
      </c>
      <c r="G1254" t="s">
        <v>52</v>
      </c>
      <c r="H1254" t="s">
        <v>37</v>
      </c>
      <c r="I1254">
        <v>4</v>
      </c>
      <c r="J1254">
        <v>49231</v>
      </c>
      <c r="K1254">
        <v>187077.8</v>
      </c>
      <c r="L1254" t="s">
        <v>43</v>
      </c>
      <c r="M1254">
        <v>5</v>
      </c>
      <c r="N1254">
        <v>28695.4</v>
      </c>
    </row>
    <row r="1255" spans="1:14" ht="14.25" customHeight="1" x14ac:dyDescent="0.3">
      <c r="A1255">
        <v>2254</v>
      </c>
      <c r="B1255" t="s">
        <v>419</v>
      </c>
      <c r="C1255" t="s">
        <v>44</v>
      </c>
      <c r="D1255" t="s">
        <v>66</v>
      </c>
      <c r="E1255" t="s">
        <v>34</v>
      </c>
      <c r="F1255" t="s">
        <v>45</v>
      </c>
      <c r="G1255" t="s">
        <v>57</v>
      </c>
      <c r="H1255" t="s">
        <v>37</v>
      </c>
      <c r="I1255">
        <v>1</v>
      </c>
      <c r="J1255">
        <v>35961</v>
      </c>
      <c r="K1255">
        <v>34162.949999999997</v>
      </c>
      <c r="L1255" t="s">
        <v>43</v>
      </c>
      <c r="M1255">
        <v>5</v>
      </c>
      <c r="N1255">
        <v>9964.9</v>
      </c>
    </row>
    <row r="1256" spans="1:14" ht="14.25" customHeight="1" x14ac:dyDescent="0.3">
      <c r="A1256">
        <v>2255</v>
      </c>
      <c r="B1256" t="s">
        <v>419</v>
      </c>
      <c r="C1256" t="s">
        <v>60</v>
      </c>
      <c r="D1256" t="s">
        <v>53</v>
      </c>
      <c r="E1256" t="s">
        <v>54</v>
      </c>
      <c r="F1256" t="s">
        <v>45</v>
      </c>
      <c r="G1256" t="s">
        <v>69</v>
      </c>
      <c r="H1256" t="s">
        <v>42</v>
      </c>
      <c r="I1256">
        <v>2</v>
      </c>
      <c r="J1256">
        <v>20850</v>
      </c>
      <c r="K1256">
        <v>37530</v>
      </c>
      <c r="L1256" t="s">
        <v>38</v>
      </c>
      <c r="M1256">
        <v>10</v>
      </c>
      <c r="N1256">
        <v>6625.84</v>
      </c>
    </row>
    <row r="1257" spans="1:14" ht="14.25" customHeight="1" x14ac:dyDescent="0.3">
      <c r="A1257">
        <v>2256</v>
      </c>
      <c r="B1257" t="s">
        <v>419</v>
      </c>
      <c r="C1257" t="s">
        <v>32</v>
      </c>
      <c r="D1257" t="s">
        <v>33</v>
      </c>
      <c r="E1257" t="s">
        <v>34</v>
      </c>
      <c r="F1257" t="s">
        <v>35</v>
      </c>
      <c r="G1257" t="s">
        <v>67</v>
      </c>
      <c r="H1257" t="s">
        <v>42</v>
      </c>
      <c r="I1257">
        <v>2</v>
      </c>
      <c r="J1257">
        <v>31202</v>
      </c>
      <c r="K1257">
        <v>62404</v>
      </c>
      <c r="L1257" t="s">
        <v>48</v>
      </c>
      <c r="M1257">
        <v>0</v>
      </c>
      <c r="N1257">
        <v>6718.72</v>
      </c>
    </row>
    <row r="1258" spans="1:14" ht="14.25" customHeight="1" x14ac:dyDescent="0.3">
      <c r="A1258">
        <v>2257</v>
      </c>
      <c r="B1258" t="s">
        <v>419</v>
      </c>
      <c r="C1258" t="s">
        <v>50</v>
      </c>
      <c r="D1258" t="s">
        <v>53</v>
      </c>
      <c r="E1258" t="s">
        <v>54</v>
      </c>
      <c r="F1258" t="s">
        <v>45</v>
      </c>
      <c r="G1258" t="s">
        <v>69</v>
      </c>
      <c r="H1258" t="s">
        <v>47</v>
      </c>
      <c r="I1258">
        <v>1</v>
      </c>
      <c r="J1258">
        <v>12169</v>
      </c>
      <c r="K1258">
        <v>10343.65</v>
      </c>
      <c r="L1258" t="s">
        <v>61</v>
      </c>
      <c r="M1258">
        <v>15</v>
      </c>
      <c r="N1258">
        <v>1767.74</v>
      </c>
    </row>
    <row r="1259" spans="1:14" ht="14.25" customHeight="1" x14ac:dyDescent="0.3">
      <c r="A1259">
        <v>2258</v>
      </c>
      <c r="B1259" t="s">
        <v>420</v>
      </c>
      <c r="C1259" t="s">
        <v>32</v>
      </c>
      <c r="D1259" t="s">
        <v>53</v>
      </c>
      <c r="E1259" t="s">
        <v>54</v>
      </c>
      <c r="F1259" t="s">
        <v>51</v>
      </c>
      <c r="G1259" t="s">
        <v>62</v>
      </c>
      <c r="H1259" t="s">
        <v>47</v>
      </c>
      <c r="I1259">
        <v>5</v>
      </c>
      <c r="J1259">
        <v>14855</v>
      </c>
      <c r="K1259">
        <v>74275</v>
      </c>
      <c r="L1259" t="s">
        <v>38</v>
      </c>
      <c r="M1259">
        <v>0</v>
      </c>
      <c r="N1259">
        <v>20626.259999999998</v>
      </c>
    </row>
    <row r="1260" spans="1:14" ht="14.25" customHeight="1" x14ac:dyDescent="0.3">
      <c r="A1260">
        <v>2259</v>
      </c>
      <c r="B1260" t="s">
        <v>420</v>
      </c>
      <c r="C1260" t="s">
        <v>50</v>
      </c>
      <c r="D1260" t="s">
        <v>40</v>
      </c>
      <c r="E1260" t="s">
        <v>41</v>
      </c>
      <c r="F1260" t="s">
        <v>35</v>
      </c>
      <c r="G1260" t="s">
        <v>67</v>
      </c>
      <c r="H1260" t="s">
        <v>55</v>
      </c>
      <c r="I1260">
        <v>4</v>
      </c>
      <c r="J1260">
        <v>25390</v>
      </c>
      <c r="K1260">
        <v>91404</v>
      </c>
      <c r="L1260" t="s">
        <v>48</v>
      </c>
      <c r="M1260">
        <v>10</v>
      </c>
      <c r="N1260">
        <v>26621.32</v>
      </c>
    </row>
    <row r="1261" spans="1:14" ht="14.25" customHeight="1" x14ac:dyDescent="0.3">
      <c r="A1261">
        <v>2260</v>
      </c>
      <c r="B1261" t="s">
        <v>420</v>
      </c>
      <c r="C1261" t="s">
        <v>32</v>
      </c>
      <c r="D1261" t="s">
        <v>53</v>
      </c>
      <c r="E1261" t="s">
        <v>54</v>
      </c>
      <c r="F1261" t="s">
        <v>35</v>
      </c>
      <c r="G1261" t="s">
        <v>65</v>
      </c>
      <c r="H1261" t="s">
        <v>47</v>
      </c>
      <c r="I1261">
        <v>2</v>
      </c>
      <c r="J1261">
        <v>46858</v>
      </c>
      <c r="K1261">
        <v>93716</v>
      </c>
      <c r="L1261" t="s">
        <v>48</v>
      </c>
      <c r="M1261">
        <v>0</v>
      </c>
      <c r="N1261">
        <v>14168.64</v>
      </c>
    </row>
    <row r="1262" spans="1:14" ht="14.25" customHeight="1" x14ac:dyDescent="0.3">
      <c r="A1262">
        <v>2261</v>
      </c>
      <c r="B1262" t="s">
        <v>420</v>
      </c>
      <c r="C1262" t="s">
        <v>39</v>
      </c>
      <c r="D1262" t="s">
        <v>40</v>
      </c>
      <c r="E1262" t="s">
        <v>41</v>
      </c>
      <c r="F1262" t="s">
        <v>45</v>
      </c>
      <c r="G1262" t="s">
        <v>57</v>
      </c>
      <c r="H1262" t="s">
        <v>55</v>
      </c>
      <c r="I1262">
        <v>4</v>
      </c>
      <c r="J1262">
        <v>1082</v>
      </c>
      <c r="K1262">
        <v>3895.2</v>
      </c>
      <c r="L1262" t="s">
        <v>61</v>
      </c>
      <c r="M1262">
        <v>10</v>
      </c>
      <c r="N1262">
        <v>782.26</v>
      </c>
    </row>
    <row r="1263" spans="1:14" ht="14.25" customHeight="1" x14ac:dyDescent="0.3">
      <c r="A1263">
        <v>2262</v>
      </c>
      <c r="B1263" t="s">
        <v>421</v>
      </c>
      <c r="C1263" t="s">
        <v>44</v>
      </c>
      <c r="D1263" t="s">
        <v>53</v>
      </c>
      <c r="E1263" t="s">
        <v>54</v>
      </c>
      <c r="F1263" t="s">
        <v>45</v>
      </c>
      <c r="G1263" t="s">
        <v>69</v>
      </c>
      <c r="H1263" t="s">
        <v>47</v>
      </c>
      <c r="I1263">
        <v>3</v>
      </c>
      <c r="J1263">
        <v>3381</v>
      </c>
      <c r="K1263">
        <v>9128.7000000000007</v>
      </c>
      <c r="L1263" t="s">
        <v>48</v>
      </c>
      <c r="M1263">
        <v>10</v>
      </c>
      <c r="N1263">
        <v>2561.75</v>
      </c>
    </row>
    <row r="1264" spans="1:14" ht="14.25" customHeight="1" x14ac:dyDescent="0.3">
      <c r="A1264">
        <v>2263</v>
      </c>
      <c r="B1264" t="s">
        <v>421</v>
      </c>
      <c r="C1264" t="s">
        <v>50</v>
      </c>
      <c r="D1264" t="s">
        <v>58</v>
      </c>
      <c r="E1264" t="s">
        <v>54</v>
      </c>
      <c r="F1264" t="s">
        <v>51</v>
      </c>
      <c r="G1264" t="s">
        <v>52</v>
      </c>
      <c r="H1264" t="s">
        <v>47</v>
      </c>
      <c r="I1264">
        <v>4</v>
      </c>
      <c r="J1264">
        <v>12658</v>
      </c>
      <c r="K1264">
        <v>45568.800000000003</v>
      </c>
      <c r="L1264" t="s">
        <v>48</v>
      </c>
      <c r="M1264">
        <v>10</v>
      </c>
      <c r="N1264">
        <v>10985.91</v>
      </c>
    </row>
    <row r="1265" spans="1:14" ht="14.25" customHeight="1" x14ac:dyDescent="0.3">
      <c r="A1265">
        <v>2264</v>
      </c>
      <c r="B1265" t="s">
        <v>421</v>
      </c>
      <c r="C1265" t="s">
        <v>32</v>
      </c>
      <c r="D1265" t="s">
        <v>58</v>
      </c>
      <c r="E1265" t="s">
        <v>54</v>
      </c>
      <c r="F1265" t="s">
        <v>45</v>
      </c>
      <c r="G1265" t="s">
        <v>69</v>
      </c>
      <c r="H1265" t="s">
        <v>55</v>
      </c>
      <c r="I1265">
        <v>1</v>
      </c>
      <c r="J1265">
        <v>7986</v>
      </c>
      <c r="K1265">
        <v>7187.4</v>
      </c>
      <c r="L1265" t="s">
        <v>61</v>
      </c>
      <c r="M1265">
        <v>10</v>
      </c>
      <c r="N1265">
        <v>2131.87</v>
      </c>
    </row>
    <row r="1266" spans="1:14" ht="14.25" customHeight="1" x14ac:dyDescent="0.3">
      <c r="A1266">
        <v>2265</v>
      </c>
      <c r="B1266" t="s">
        <v>421</v>
      </c>
      <c r="C1266" t="s">
        <v>32</v>
      </c>
      <c r="D1266" t="s">
        <v>40</v>
      </c>
      <c r="E1266" t="s">
        <v>41</v>
      </c>
      <c r="F1266" t="s">
        <v>51</v>
      </c>
      <c r="G1266" t="s">
        <v>52</v>
      </c>
      <c r="H1266" t="s">
        <v>55</v>
      </c>
      <c r="I1266">
        <v>1</v>
      </c>
      <c r="J1266">
        <v>30618</v>
      </c>
      <c r="K1266">
        <v>29087.1</v>
      </c>
      <c r="L1266" t="s">
        <v>43</v>
      </c>
      <c r="M1266">
        <v>5</v>
      </c>
      <c r="N1266">
        <v>7161.94</v>
      </c>
    </row>
    <row r="1267" spans="1:14" ht="14.25" customHeight="1" x14ac:dyDescent="0.3">
      <c r="A1267">
        <v>2266</v>
      </c>
      <c r="B1267" t="s">
        <v>421</v>
      </c>
      <c r="C1267" t="s">
        <v>32</v>
      </c>
      <c r="D1267" t="s">
        <v>58</v>
      </c>
      <c r="E1267" t="s">
        <v>54</v>
      </c>
      <c r="F1267" t="s">
        <v>35</v>
      </c>
      <c r="G1267" t="s">
        <v>65</v>
      </c>
      <c r="H1267" t="s">
        <v>55</v>
      </c>
      <c r="I1267">
        <v>5</v>
      </c>
      <c r="J1267">
        <v>38328</v>
      </c>
      <c r="K1267">
        <v>182058</v>
      </c>
      <c r="L1267" t="s">
        <v>61</v>
      </c>
      <c r="M1267">
        <v>5</v>
      </c>
      <c r="N1267">
        <v>28787.25</v>
      </c>
    </row>
    <row r="1268" spans="1:14" ht="14.25" customHeight="1" x14ac:dyDescent="0.3">
      <c r="A1268">
        <v>2267</v>
      </c>
      <c r="B1268" t="s">
        <v>422</v>
      </c>
      <c r="C1268" t="s">
        <v>32</v>
      </c>
      <c r="D1268" t="s">
        <v>53</v>
      </c>
      <c r="E1268" t="s">
        <v>54</v>
      </c>
      <c r="F1268" t="s">
        <v>35</v>
      </c>
      <c r="G1268" t="s">
        <v>36</v>
      </c>
      <c r="H1268" t="s">
        <v>47</v>
      </c>
      <c r="I1268">
        <v>1</v>
      </c>
      <c r="J1268">
        <v>40049</v>
      </c>
      <c r="K1268">
        <v>38046.550000000003</v>
      </c>
      <c r="L1268" t="s">
        <v>43</v>
      </c>
      <c r="M1268">
        <v>5</v>
      </c>
      <c r="N1268">
        <v>11316.38</v>
      </c>
    </row>
    <row r="1269" spans="1:14" ht="14.25" customHeight="1" x14ac:dyDescent="0.3">
      <c r="A1269">
        <v>2268</v>
      </c>
      <c r="B1269" t="s">
        <v>422</v>
      </c>
      <c r="C1269" t="s">
        <v>32</v>
      </c>
      <c r="D1269" t="s">
        <v>66</v>
      </c>
      <c r="E1269" t="s">
        <v>34</v>
      </c>
      <c r="F1269" t="s">
        <v>51</v>
      </c>
      <c r="G1269" t="s">
        <v>62</v>
      </c>
      <c r="H1269" t="s">
        <v>42</v>
      </c>
      <c r="I1269">
        <v>1</v>
      </c>
      <c r="J1269">
        <v>6693</v>
      </c>
      <c r="K1269">
        <v>6358.35</v>
      </c>
      <c r="L1269" t="s">
        <v>61</v>
      </c>
      <c r="M1269">
        <v>5</v>
      </c>
      <c r="N1269">
        <v>718.41</v>
      </c>
    </row>
    <row r="1270" spans="1:14" ht="14.25" customHeight="1" x14ac:dyDescent="0.3">
      <c r="A1270">
        <v>2269</v>
      </c>
      <c r="B1270" t="s">
        <v>422</v>
      </c>
      <c r="C1270" t="s">
        <v>44</v>
      </c>
      <c r="D1270" t="s">
        <v>53</v>
      </c>
      <c r="E1270" t="s">
        <v>54</v>
      </c>
      <c r="F1270" t="s">
        <v>45</v>
      </c>
      <c r="G1270" t="s">
        <v>46</v>
      </c>
      <c r="H1270" t="s">
        <v>42</v>
      </c>
      <c r="I1270">
        <v>4</v>
      </c>
      <c r="J1270">
        <v>1187</v>
      </c>
      <c r="K1270">
        <v>4035.8</v>
      </c>
      <c r="L1270" t="s">
        <v>61</v>
      </c>
      <c r="M1270">
        <v>15</v>
      </c>
      <c r="N1270">
        <v>1105.5</v>
      </c>
    </row>
    <row r="1271" spans="1:14" ht="14.25" customHeight="1" x14ac:dyDescent="0.3">
      <c r="A1271">
        <v>2270</v>
      </c>
      <c r="B1271" t="s">
        <v>422</v>
      </c>
      <c r="C1271" t="s">
        <v>50</v>
      </c>
      <c r="D1271" t="s">
        <v>53</v>
      </c>
      <c r="E1271" t="s">
        <v>54</v>
      </c>
      <c r="F1271" t="s">
        <v>35</v>
      </c>
      <c r="G1271" t="s">
        <v>36</v>
      </c>
      <c r="H1271" t="s">
        <v>47</v>
      </c>
      <c r="I1271">
        <v>4</v>
      </c>
      <c r="J1271">
        <v>30180</v>
      </c>
      <c r="K1271">
        <v>114684</v>
      </c>
      <c r="L1271" t="s">
        <v>61</v>
      </c>
      <c r="M1271">
        <v>5</v>
      </c>
      <c r="N1271">
        <v>22244.62</v>
      </c>
    </row>
    <row r="1272" spans="1:14" ht="14.25" customHeight="1" x14ac:dyDescent="0.3">
      <c r="A1272">
        <v>2271</v>
      </c>
      <c r="B1272" t="s">
        <v>423</v>
      </c>
      <c r="C1272" t="s">
        <v>50</v>
      </c>
      <c r="D1272" t="s">
        <v>66</v>
      </c>
      <c r="E1272" t="s">
        <v>34</v>
      </c>
      <c r="F1272" t="s">
        <v>51</v>
      </c>
      <c r="G1272" t="s">
        <v>63</v>
      </c>
      <c r="H1272" t="s">
        <v>55</v>
      </c>
      <c r="I1272">
        <v>1</v>
      </c>
      <c r="J1272">
        <v>19309</v>
      </c>
      <c r="K1272">
        <v>18343.55</v>
      </c>
      <c r="L1272" t="s">
        <v>61</v>
      </c>
      <c r="M1272">
        <v>5</v>
      </c>
      <c r="N1272">
        <v>2656.82</v>
      </c>
    </row>
    <row r="1273" spans="1:14" ht="14.25" customHeight="1" x14ac:dyDescent="0.3">
      <c r="A1273">
        <v>2272</v>
      </c>
      <c r="B1273" t="s">
        <v>423</v>
      </c>
      <c r="C1273" t="s">
        <v>44</v>
      </c>
      <c r="D1273" t="s">
        <v>33</v>
      </c>
      <c r="E1273" t="s">
        <v>34</v>
      </c>
      <c r="F1273" t="s">
        <v>45</v>
      </c>
      <c r="G1273" t="s">
        <v>57</v>
      </c>
      <c r="H1273" t="s">
        <v>47</v>
      </c>
      <c r="I1273">
        <v>1</v>
      </c>
      <c r="J1273">
        <v>38105</v>
      </c>
      <c r="K1273">
        <v>36199.75</v>
      </c>
      <c r="L1273" t="s">
        <v>43</v>
      </c>
      <c r="M1273">
        <v>5</v>
      </c>
      <c r="N1273">
        <v>10749.61</v>
      </c>
    </row>
    <row r="1274" spans="1:14" ht="14.25" customHeight="1" x14ac:dyDescent="0.3">
      <c r="A1274">
        <v>2273</v>
      </c>
      <c r="B1274" t="s">
        <v>424</v>
      </c>
      <c r="C1274" t="s">
        <v>50</v>
      </c>
      <c r="D1274" t="s">
        <v>33</v>
      </c>
      <c r="E1274" t="s">
        <v>34</v>
      </c>
      <c r="F1274" t="s">
        <v>45</v>
      </c>
      <c r="G1274" t="s">
        <v>46</v>
      </c>
      <c r="H1274" t="s">
        <v>47</v>
      </c>
      <c r="I1274">
        <v>5</v>
      </c>
      <c r="J1274">
        <v>1997</v>
      </c>
      <c r="K1274">
        <v>9985</v>
      </c>
      <c r="L1274" t="s">
        <v>43</v>
      </c>
      <c r="M1274">
        <v>0</v>
      </c>
      <c r="N1274">
        <v>2734.7</v>
      </c>
    </row>
    <row r="1275" spans="1:14" ht="14.25" customHeight="1" x14ac:dyDescent="0.3">
      <c r="A1275">
        <v>2274</v>
      </c>
      <c r="B1275" t="s">
        <v>424</v>
      </c>
      <c r="C1275" t="s">
        <v>60</v>
      </c>
      <c r="D1275" t="s">
        <v>53</v>
      </c>
      <c r="E1275" t="s">
        <v>54</v>
      </c>
      <c r="F1275" t="s">
        <v>51</v>
      </c>
      <c r="G1275" t="s">
        <v>52</v>
      </c>
      <c r="H1275" t="s">
        <v>42</v>
      </c>
      <c r="I1275">
        <v>2</v>
      </c>
      <c r="J1275">
        <v>49389</v>
      </c>
      <c r="K1275">
        <v>98778</v>
      </c>
      <c r="L1275" t="s">
        <v>43</v>
      </c>
      <c r="M1275">
        <v>0</v>
      </c>
      <c r="N1275">
        <v>22219.31</v>
      </c>
    </row>
    <row r="1276" spans="1:14" ht="14.25" customHeight="1" x14ac:dyDescent="0.3">
      <c r="A1276">
        <v>2275</v>
      </c>
      <c r="B1276" t="s">
        <v>424</v>
      </c>
      <c r="C1276" t="s">
        <v>39</v>
      </c>
      <c r="D1276" t="s">
        <v>66</v>
      </c>
      <c r="E1276" t="s">
        <v>34</v>
      </c>
      <c r="F1276" t="s">
        <v>45</v>
      </c>
      <c r="G1276" t="s">
        <v>69</v>
      </c>
      <c r="H1276" t="s">
        <v>47</v>
      </c>
      <c r="I1276">
        <v>2</v>
      </c>
      <c r="J1276">
        <v>25126</v>
      </c>
      <c r="K1276">
        <v>45226.8</v>
      </c>
      <c r="L1276" t="s">
        <v>38</v>
      </c>
      <c r="M1276">
        <v>10</v>
      </c>
      <c r="N1276">
        <v>7633.16</v>
      </c>
    </row>
    <row r="1277" spans="1:14" ht="14.25" customHeight="1" x14ac:dyDescent="0.3">
      <c r="A1277">
        <v>2276</v>
      </c>
      <c r="B1277" t="s">
        <v>425</v>
      </c>
      <c r="C1277" t="s">
        <v>44</v>
      </c>
      <c r="D1277" t="s">
        <v>53</v>
      </c>
      <c r="E1277" t="s">
        <v>54</v>
      </c>
      <c r="F1277" t="s">
        <v>35</v>
      </c>
      <c r="G1277" t="s">
        <v>67</v>
      </c>
      <c r="H1277" t="s">
        <v>42</v>
      </c>
      <c r="I1277">
        <v>4</v>
      </c>
      <c r="J1277">
        <v>39081</v>
      </c>
      <c r="K1277">
        <v>140691.6</v>
      </c>
      <c r="L1277" t="s">
        <v>38</v>
      </c>
      <c r="M1277">
        <v>10</v>
      </c>
      <c r="N1277">
        <v>37303.99</v>
      </c>
    </row>
    <row r="1278" spans="1:14" ht="14.25" customHeight="1" x14ac:dyDescent="0.3">
      <c r="A1278">
        <v>2277</v>
      </c>
      <c r="B1278" t="s">
        <v>425</v>
      </c>
      <c r="C1278" t="s">
        <v>39</v>
      </c>
      <c r="D1278" t="s">
        <v>33</v>
      </c>
      <c r="E1278" t="s">
        <v>34</v>
      </c>
      <c r="F1278" t="s">
        <v>51</v>
      </c>
      <c r="G1278" t="s">
        <v>62</v>
      </c>
      <c r="H1278" t="s">
        <v>42</v>
      </c>
      <c r="I1278">
        <v>4</v>
      </c>
      <c r="J1278">
        <v>30215</v>
      </c>
      <c r="K1278">
        <v>114817</v>
      </c>
      <c r="L1278" t="s">
        <v>48</v>
      </c>
      <c r="M1278">
        <v>5</v>
      </c>
      <c r="N1278">
        <v>27711.4</v>
      </c>
    </row>
    <row r="1279" spans="1:14" ht="14.25" customHeight="1" x14ac:dyDescent="0.3">
      <c r="A1279">
        <v>2278</v>
      </c>
      <c r="B1279" t="s">
        <v>425</v>
      </c>
      <c r="C1279" t="s">
        <v>60</v>
      </c>
      <c r="D1279" t="s">
        <v>40</v>
      </c>
      <c r="E1279" t="s">
        <v>41</v>
      </c>
      <c r="F1279" t="s">
        <v>35</v>
      </c>
      <c r="G1279" t="s">
        <v>36</v>
      </c>
      <c r="H1279" t="s">
        <v>37</v>
      </c>
      <c r="I1279">
        <v>3</v>
      </c>
      <c r="J1279">
        <v>17527</v>
      </c>
      <c r="K1279">
        <v>52581</v>
      </c>
      <c r="L1279" t="s">
        <v>38</v>
      </c>
      <c r="M1279">
        <v>0</v>
      </c>
      <c r="N1279">
        <v>5366.85</v>
      </c>
    </row>
    <row r="1280" spans="1:14" ht="14.25" customHeight="1" x14ac:dyDescent="0.3">
      <c r="A1280">
        <v>2279</v>
      </c>
      <c r="B1280" t="s">
        <v>426</v>
      </c>
      <c r="C1280" t="s">
        <v>50</v>
      </c>
      <c r="D1280" t="s">
        <v>66</v>
      </c>
      <c r="E1280" t="s">
        <v>34</v>
      </c>
      <c r="F1280" t="s">
        <v>45</v>
      </c>
      <c r="G1280" t="s">
        <v>46</v>
      </c>
      <c r="H1280" t="s">
        <v>42</v>
      </c>
      <c r="I1280">
        <v>4</v>
      </c>
      <c r="J1280">
        <v>30684</v>
      </c>
      <c r="K1280">
        <v>116599.2</v>
      </c>
      <c r="L1280" t="s">
        <v>43</v>
      </c>
      <c r="M1280">
        <v>5</v>
      </c>
      <c r="N1280">
        <v>19348.43</v>
      </c>
    </row>
    <row r="1281" spans="1:14" ht="14.25" customHeight="1" x14ac:dyDescent="0.3">
      <c r="A1281">
        <v>2280</v>
      </c>
      <c r="B1281" t="s">
        <v>426</v>
      </c>
      <c r="C1281" t="s">
        <v>44</v>
      </c>
      <c r="D1281" t="s">
        <v>66</v>
      </c>
      <c r="E1281" t="s">
        <v>34</v>
      </c>
      <c r="F1281" t="s">
        <v>45</v>
      </c>
      <c r="G1281" t="s">
        <v>46</v>
      </c>
      <c r="H1281" t="s">
        <v>47</v>
      </c>
      <c r="I1281">
        <v>1</v>
      </c>
      <c r="J1281">
        <v>33591</v>
      </c>
      <c r="K1281">
        <v>28552.35</v>
      </c>
      <c r="L1281" t="s">
        <v>48</v>
      </c>
      <c r="M1281">
        <v>15</v>
      </c>
      <c r="N1281">
        <v>5081.7</v>
      </c>
    </row>
    <row r="1282" spans="1:14" ht="14.25" customHeight="1" x14ac:dyDescent="0.3">
      <c r="A1282">
        <v>2281</v>
      </c>
      <c r="B1282" t="s">
        <v>426</v>
      </c>
      <c r="C1282" t="s">
        <v>44</v>
      </c>
      <c r="D1282" t="s">
        <v>58</v>
      </c>
      <c r="E1282" t="s">
        <v>54</v>
      </c>
      <c r="F1282" t="s">
        <v>45</v>
      </c>
      <c r="G1282" t="s">
        <v>46</v>
      </c>
      <c r="H1282" t="s">
        <v>47</v>
      </c>
      <c r="I1282">
        <v>4</v>
      </c>
      <c r="J1282">
        <v>24545</v>
      </c>
      <c r="K1282">
        <v>83453</v>
      </c>
      <c r="L1282" t="s">
        <v>43</v>
      </c>
      <c r="M1282">
        <v>15</v>
      </c>
      <c r="N1282">
        <v>16215.37</v>
      </c>
    </row>
    <row r="1283" spans="1:14" ht="14.25" customHeight="1" x14ac:dyDescent="0.3">
      <c r="A1283">
        <v>2282</v>
      </c>
      <c r="B1283" t="s">
        <v>427</v>
      </c>
      <c r="C1283" t="s">
        <v>44</v>
      </c>
      <c r="D1283" t="s">
        <v>58</v>
      </c>
      <c r="E1283" t="s">
        <v>54</v>
      </c>
      <c r="F1283" t="s">
        <v>35</v>
      </c>
      <c r="G1283" t="s">
        <v>65</v>
      </c>
      <c r="H1283" t="s">
        <v>37</v>
      </c>
      <c r="I1283">
        <v>4</v>
      </c>
      <c r="J1283">
        <v>15870</v>
      </c>
      <c r="K1283">
        <v>53958</v>
      </c>
      <c r="L1283" t="s">
        <v>61</v>
      </c>
      <c r="M1283">
        <v>15</v>
      </c>
      <c r="N1283">
        <v>10034.58</v>
      </c>
    </row>
    <row r="1284" spans="1:14" ht="14.25" customHeight="1" x14ac:dyDescent="0.3">
      <c r="A1284">
        <v>2283</v>
      </c>
      <c r="B1284" t="s">
        <v>427</v>
      </c>
      <c r="C1284" t="s">
        <v>32</v>
      </c>
      <c r="D1284" t="s">
        <v>58</v>
      </c>
      <c r="E1284" t="s">
        <v>54</v>
      </c>
      <c r="F1284" t="s">
        <v>35</v>
      </c>
      <c r="G1284" t="s">
        <v>65</v>
      </c>
      <c r="H1284" t="s">
        <v>42</v>
      </c>
      <c r="I1284">
        <v>4</v>
      </c>
      <c r="J1284">
        <v>18463</v>
      </c>
      <c r="K1284">
        <v>73852</v>
      </c>
      <c r="L1284" t="s">
        <v>61</v>
      </c>
      <c r="M1284">
        <v>0</v>
      </c>
      <c r="N1284">
        <v>14000.34</v>
      </c>
    </row>
    <row r="1285" spans="1:14" ht="14.25" customHeight="1" x14ac:dyDescent="0.3">
      <c r="A1285">
        <v>2284</v>
      </c>
      <c r="B1285" t="s">
        <v>428</v>
      </c>
      <c r="C1285" t="s">
        <v>32</v>
      </c>
      <c r="D1285" t="s">
        <v>66</v>
      </c>
      <c r="E1285" t="s">
        <v>34</v>
      </c>
      <c r="F1285" t="s">
        <v>45</v>
      </c>
      <c r="G1285" t="s">
        <v>69</v>
      </c>
      <c r="H1285" t="s">
        <v>47</v>
      </c>
      <c r="I1285">
        <v>5</v>
      </c>
      <c r="J1285">
        <v>32679</v>
      </c>
      <c r="K1285">
        <v>147055.5</v>
      </c>
      <c r="L1285" t="s">
        <v>43</v>
      </c>
      <c r="M1285">
        <v>10</v>
      </c>
      <c r="N1285">
        <v>24359.56</v>
      </c>
    </row>
    <row r="1286" spans="1:14" ht="14.25" customHeight="1" x14ac:dyDescent="0.3">
      <c r="A1286">
        <v>2285</v>
      </c>
      <c r="B1286" t="s">
        <v>428</v>
      </c>
      <c r="C1286" t="s">
        <v>44</v>
      </c>
      <c r="D1286" t="s">
        <v>58</v>
      </c>
      <c r="E1286" t="s">
        <v>54</v>
      </c>
      <c r="F1286" t="s">
        <v>45</v>
      </c>
      <c r="G1286" t="s">
        <v>46</v>
      </c>
      <c r="H1286" t="s">
        <v>37</v>
      </c>
      <c r="I1286">
        <v>1</v>
      </c>
      <c r="J1286">
        <v>34582</v>
      </c>
      <c r="K1286">
        <v>34582</v>
      </c>
      <c r="L1286" t="s">
        <v>61</v>
      </c>
      <c r="M1286">
        <v>0</v>
      </c>
      <c r="N1286">
        <v>10143.77</v>
      </c>
    </row>
    <row r="1287" spans="1:14" ht="14.25" customHeight="1" x14ac:dyDescent="0.3">
      <c r="A1287">
        <v>2286</v>
      </c>
      <c r="B1287" t="s">
        <v>428</v>
      </c>
      <c r="C1287" t="s">
        <v>39</v>
      </c>
      <c r="D1287" t="s">
        <v>40</v>
      </c>
      <c r="E1287" t="s">
        <v>41</v>
      </c>
      <c r="F1287" t="s">
        <v>51</v>
      </c>
      <c r="G1287" t="s">
        <v>52</v>
      </c>
      <c r="H1287" t="s">
        <v>37</v>
      </c>
      <c r="I1287">
        <v>5</v>
      </c>
      <c r="J1287">
        <v>24418</v>
      </c>
      <c r="K1287">
        <v>109881</v>
      </c>
      <c r="L1287" t="s">
        <v>61</v>
      </c>
      <c r="M1287">
        <v>10</v>
      </c>
      <c r="N1287">
        <v>18524.650000000001</v>
      </c>
    </row>
    <row r="1288" spans="1:14" ht="14.25" customHeight="1" x14ac:dyDescent="0.3">
      <c r="A1288">
        <v>2287</v>
      </c>
      <c r="B1288" t="s">
        <v>428</v>
      </c>
      <c r="C1288" t="s">
        <v>50</v>
      </c>
      <c r="D1288" t="s">
        <v>66</v>
      </c>
      <c r="E1288" t="s">
        <v>34</v>
      </c>
      <c r="F1288" t="s">
        <v>35</v>
      </c>
      <c r="G1288" t="s">
        <v>65</v>
      </c>
      <c r="H1288" t="s">
        <v>55</v>
      </c>
      <c r="I1288">
        <v>3</v>
      </c>
      <c r="J1288">
        <v>24090</v>
      </c>
      <c r="K1288">
        <v>68656.5</v>
      </c>
      <c r="L1288" t="s">
        <v>48</v>
      </c>
      <c r="M1288">
        <v>5</v>
      </c>
      <c r="N1288">
        <v>19918.22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5"/>
  <sheetViews>
    <sheetView showGridLines="0" zoomScaleNormal="100" workbookViewId="0"/>
  </sheetViews>
  <sheetFormatPr defaultColWidth="8.5546875" defaultRowHeight="14.4" x14ac:dyDescent="0.3"/>
  <cols>
    <col min="1" max="1" width="22" customWidth="1"/>
    <col min="2" max="3" width="16" customWidth="1"/>
    <col min="4" max="4" width="14" customWidth="1"/>
    <col min="5" max="5" width="4" customWidth="1"/>
    <col min="6" max="6" width="16" customWidth="1"/>
    <col min="7" max="8" width="14" customWidth="1"/>
  </cols>
  <sheetData>
    <row r="1" spans="1:8" ht="31.5" customHeight="1" x14ac:dyDescent="0.3">
      <c r="A1" s="5" t="s">
        <v>429</v>
      </c>
      <c r="B1" s="5"/>
      <c r="C1" s="5"/>
      <c r="D1" s="5"/>
      <c r="E1" s="5"/>
      <c r="F1" s="5"/>
      <c r="G1" s="5"/>
      <c r="H1" s="5"/>
    </row>
    <row r="2" spans="1:8" ht="15" customHeight="1" x14ac:dyDescent="0.3">
      <c r="A2" s="6" t="s">
        <v>430</v>
      </c>
      <c r="B2" s="6"/>
      <c r="C2" s="6"/>
      <c r="D2" s="6"/>
      <c r="E2" s="6"/>
      <c r="F2" s="6"/>
      <c r="G2" s="6"/>
      <c r="H2" s="6"/>
    </row>
    <row r="4" spans="1:8" ht="21.75" customHeight="1" x14ac:dyDescent="0.3">
      <c r="A4" s="12" t="s">
        <v>431</v>
      </c>
      <c r="B4" s="12"/>
      <c r="C4" s="12"/>
      <c r="D4" s="12"/>
      <c r="E4" s="12"/>
      <c r="F4" s="12"/>
      <c r="G4" s="12"/>
      <c r="H4" s="12"/>
    </row>
    <row r="5" spans="1:8" ht="15" customHeight="1" x14ac:dyDescent="0.3">
      <c r="A5" s="4" t="s">
        <v>432</v>
      </c>
      <c r="B5" s="4"/>
      <c r="C5" s="4" t="s">
        <v>433</v>
      </c>
      <c r="D5" s="4"/>
      <c r="E5" s="4" t="s">
        <v>434</v>
      </c>
      <c r="F5" s="4"/>
      <c r="G5" s="4" t="s">
        <v>435</v>
      </c>
      <c r="H5" s="4"/>
    </row>
    <row r="6" spans="1:8" ht="17.25" customHeight="1" x14ac:dyDescent="0.3">
      <c r="A6" s="3" t="s">
        <v>436</v>
      </c>
      <c r="B6" s="3"/>
      <c r="C6" s="3" t="s">
        <v>437</v>
      </c>
      <c r="D6" s="3"/>
      <c r="E6" s="3" t="s">
        <v>438</v>
      </c>
      <c r="F6" s="3"/>
      <c r="G6" s="3" t="s">
        <v>439</v>
      </c>
      <c r="H6" s="3"/>
    </row>
    <row r="8" spans="1:8" ht="15" customHeight="1" x14ac:dyDescent="0.3">
      <c r="A8" s="4" t="s">
        <v>440</v>
      </c>
      <c r="B8" s="4"/>
      <c r="C8" s="4" t="s">
        <v>441</v>
      </c>
      <c r="D8" s="4"/>
      <c r="E8" s="4" t="s">
        <v>442</v>
      </c>
      <c r="F8" s="4"/>
      <c r="G8" s="4" t="s">
        <v>443</v>
      </c>
      <c r="H8" s="4"/>
    </row>
    <row r="9" spans="1:8" ht="17.25" customHeight="1" x14ac:dyDescent="0.3">
      <c r="A9" s="3" t="s">
        <v>444</v>
      </c>
      <c r="B9" s="3"/>
      <c r="C9" s="3" t="s">
        <v>445</v>
      </c>
      <c r="D9" s="3"/>
      <c r="E9" s="3" t="s">
        <v>446</v>
      </c>
      <c r="F9" s="3"/>
      <c r="G9" s="3" t="s">
        <v>34</v>
      </c>
      <c r="H9" s="3"/>
    </row>
    <row r="12" spans="1:8" ht="21.75" customHeight="1" x14ac:dyDescent="0.3">
      <c r="A12" s="12" t="s">
        <v>447</v>
      </c>
      <c r="B12" s="12"/>
      <c r="C12" s="12"/>
      <c r="D12" s="12"/>
      <c r="E12" s="12"/>
      <c r="F12" s="12"/>
      <c r="G12" s="12"/>
      <c r="H12" s="12"/>
    </row>
    <row r="13" spans="1:8" ht="15" customHeight="1" x14ac:dyDescent="0.3">
      <c r="A13" s="15" t="s">
        <v>448</v>
      </c>
      <c r="B13" s="15" t="s">
        <v>449</v>
      </c>
      <c r="C13" s="15" t="s">
        <v>450</v>
      </c>
      <c r="D13" s="15" t="s">
        <v>451</v>
      </c>
    </row>
    <row r="14" spans="1:8" ht="15" customHeight="1" x14ac:dyDescent="0.3">
      <c r="A14" s="16" t="s">
        <v>8</v>
      </c>
      <c r="B14" s="17">
        <v>8230898.8499999996</v>
      </c>
      <c r="C14" s="17">
        <v>1554667.93</v>
      </c>
      <c r="D14" s="16">
        <v>108</v>
      </c>
    </row>
    <row r="15" spans="1:8" ht="15" customHeight="1" x14ac:dyDescent="0.3">
      <c r="A15" s="16" t="s">
        <v>452</v>
      </c>
      <c r="B15" s="17">
        <v>6285791.2999999998</v>
      </c>
      <c r="C15" s="17">
        <v>1291060.17</v>
      </c>
      <c r="D15" s="16">
        <v>102</v>
      </c>
    </row>
    <row r="16" spans="1:8" ht="15" customHeight="1" x14ac:dyDescent="0.3">
      <c r="A16" s="16" t="s">
        <v>453</v>
      </c>
      <c r="B16" s="17">
        <v>8158549.8499999996</v>
      </c>
      <c r="C16" s="17">
        <v>1609965.18</v>
      </c>
      <c r="D16" s="16">
        <v>110</v>
      </c>
    </row>
    <row r="17" spans="1:4" ht="15" customHeight="1" x14ac:dyDescent="0.3">
      <c r="A17" s="16" t="s">
        <v>454</v>
      </c>
      <c r="B17" s="17">
        <v>7177984.0499999998</v>
      </c>
      <c r="C17" s="17">
        <v>1388411.08</v>
      </c>
      <c r="D17" s="16">
        <v>100</v>
      </c>
    </row>
    <row r="18" spans="1:4" ht="15" customHeight="1" x14ac:dyDescent="0.3">
      <c r="A18" s="16" t="s">
        <v>455</v>
      </c>
      <c r="B18" s="17">
        <v>6210795.2999999998</v>
      </c>
      <c r="C18" s="17">
        <v>1240932.3600000001</v>
      </c>
      <c r="D18" s="16">
        <v>101</v>
      </c>
    </row>
    <row r="19" spans="1:4" ht="15" customHeight="1" x14ac:dyDescent="0.3">
      <c r="A19" s="16" t="s">
        <v>456</v>
      </c>
      <c r="B19" s="17">
        <v>7259682.2999999998</v>
      </c>
      <c r="C19" s="17">
        <v>1486745.51</v>
      </c>
      <c r="D19" s="16">
        <v>105</v>
      </c>
    </row>
    <row r="20" spans="1:4" ht="15" customHeight="1" x14ac:dyDescent="0.3">
      <c r="A20" s="16" t="s">
        <v>457</v>
      </c>
      <c r="B20" s="17">
        <v>9432089.3499999996</v>
      </c>
      <c r="C20" s="17">
        <v>1866301.56</v>
      </c>
      <c r="D20" s="16">
        <v>120</v>
      </c>
    </row>
    <row r="21" spans="1:4" ht="15" customHeight="1" x14ac:dyDescent="0.3">
      <c r="A21" s="16" t="s">
        <v>458</v>
      </c>
      <c r="B21" s="17">
        <v>9116986.6999999993</v>
      </c>
      <c r="C21" s="17">
        <v>1926541.6</v>
      </c>
      <c r="D21" s="16">
        <v>109</v>
      </c>
    </row>
    <row r="22" spans="1:4" ht="15" customHeight="1" x14ac:dyDescent="0.3">
      <c r="A22" s="16" t="s">
        <v>459</v>
      </c>
      <c r="B22" s="17">
        <v>7403277.2999999998</v>
      </c>
      <c r="C22" s="17">
        <v>1424073.16</v>
      </c>
      <c r="D22" s="16">
        <v>105</v>
      </c>
    </row>
    <row r="23" spans="1:4" ht="15" customHeight="1" x14ac:dyDescent="0.3">
      <c r="A23" s="16" t="s">
        <v>460</v>
      </c>
      <c r="B23" s="17">
        <v>9315625.1500000004</v>
      </c>
      <c r="C23" s="17">
        <v>1927927.93</v>
      </c>
      <c r="D23" s="16">
        <v>112</v>
      </c>
    </row>
    <row r="24" spans="1:4" ht="15" customHeight="1" x14ac:dyDescent="0.3">
      <c r="A24" s="16" t="s">
        <v>461</v>
      </c>
      <c r="B24" s="17">
        <v>7558035.8499999996</v>
      </c>
      <c r="C24" s="17">
        <v>1510867.72</v>
      </c>
      <c r="D24" s="16">
        <v>110</v>
      </c>
    </row>
    <row r="25" spans="1:4" ht="15" customHeight="1" x14ac:dyDescent="0.3">
      <c r="A25" s="16" t="s">
        <v>9</v>
      </c>
      <c r="B25" s="17">
        <v>7153473.5999999996</v>
      </c>
      <c r="C25" s="17">
        <v>1433083.91</v>
      </c>
      <c r="D25" s="16">
        <v>105</v>
      </c>
    </row>
    <row r="33" spans="1:8" ht="21.75" customHeight="1" x14ac:dyDescent="0.3">
      <c r="A33" s="12" t="s">
        <v>462</v>
      </c>
      <c r="B33" s="12"/>
      <c r="C33" s="12"/>
      <c r="D33" s="12"/>
      <c r="E33" s="12"/>
      <c r="F33" s="12"/>
      <c r="G33" s="12"/>
      <c r="H33" s="12"/>
    </row>
    <row r="34" spans="1:8" ht="15" customHeight="1" x14ac:dyDescent="0.3">
      <c r="A34" s="15" t="s">
        <v>6</v>
      </c>
      <c r="B34" s="15" t="s">
        <v>449</v>
      </c>
      <c r="C34" s="15" t="s">
        <v>450</v>
      </c>
      <c r="D34" s="15" t="s">
        <v>441</v>
      </c>
    </row>
    <row r="35" spans="1:8" ht="15" customHeight="1" x14ac:dyDescent="0.3">
      <c r="A35" s="16" t="s">
        <v>35</v>
      </c>
      <c r="B35" s="17">
        <v>31645209.050000001</v>
      </c>
      <c r="C35" s="17">
        <v>6362324.7999999998</v>
      </c>
      <c r="D35" s="16">
        <v>1312</v>
      </c>
    </row>
    <row r="36" spans="1:8" ht="15" customHeight="1" x14ac:dyDescent="0.3">
      <c r="A36" s="16" t="s">
        <v>45</v>
      </c>
      <c r="B36" s="17">
        <v>31476922.449999999</v>
      </c>
      <c r="C36" s="17">
        <v>6344279.7999999998</v>
      </c>
      <c r="D36" s="16">
        <v>1319</v>
      </c>
    </row>
    <row r="37" spans="1:8" ht="15" customHeight="1" x14ac:dyDescent="0.3">
      <c r="A37" s="16" t="s">
        <v>51</v>
      </c>
      <c r="B37" s="17">
        <v>30181058.100000001</v>
      </c>
      <c r="C37" s="17">
        <v>5953973.5099999998</v>
      </c>
      <c r="D37" s="16">
        <v>1258</v>
      </c>
    </row>
    <row r="54" spans="1:8" ht="21.75" customHeight="1" x14ac:dyDescent="0.3">
      <c r="A54" s="12" t="s">
        <v>463</v>
      </c>
      <c r="B54" s="12"/>
      <c r="C54" s="12"/>
      <c r="D54" s="12"/>
      <c r="E54" s="12"/>
      <c r="F54" s="12"/>
      <c r="G54" s="12"/>
      <c r="H54" s="12"/>
    </row>
    <row r="55" spans="1:8" ht="15" customHeight="1" x14ac:dyDescent="0.3">
      <c r="A55" s="15" t="s">
        <v>21</v>
      </c>
      <c r="B55" s="15" t="s">
        <v>449</v>
      </c>
      <c r="C55" s="15" t="s">
        <v>450</v>
      </c>
      <c r="D55" s="15" t="s">
        <v>451</v>
      </c>
    </row>
    <row r="56" spans="1:8" ht="15" customHeight="1" x14ac:dyDescent="0.3">
      <c r="A56" s="16" t="s">
        <v>34</v>
      </c>
      <c r="B56" s="17">
        <v>38575509.149999999</v>
      </c>
      <c r="C56" s="17">
        <v>7600223.3300000001</v>
      </c>
      <c r="D56" s="16">
        <v>522</v>
      </c>
    </row>
    <row r="57" spans="1:8" ht="15" customHeight="1" x14ac:dyDescent="0.3">
      <c r="A57" s="16" t="s">
        <v>54</v>
      </c>
      <c r="B57" s="17">
        <v>36402996.600000001</v>
      </c>
      <c r="C57" s="17">
        <v>7368788.2400000002</v>
      </c>
      <c r="D57" s="16">
        <v>516</v>
      </c>
    </row>
    <row r="58" spans="1:8" ht="15" customHeight="1" x14ac:dyDescent="0.3">
      <c r="A58" s="16" t="s">
        <v>41</v>
      </c>
      <c r="B58" s="17">
        <v>18324683.850000001</v>
      </c>
      <c r="C58" s="17">
        <v>3691566.54</v>
      </c>
      <c r="D58" s="16">
        <v>249</v>
      </c>
    </row>
    <row r="75" spans="1:8" ht="21.75" customHeight="1" x14ac:dyDescent="0.3">
      <c r="A75" s="12" t="s">
        <v>464</v>
      </c>
      <c r="B75" s="12"/>
      <c r="C75" s="12"/>
      <c r="D75" s="12"/>
      <c r="E75" s="12"/>
      <c r="F75" s="12"/>
      <c r="G75" s="12"/>
      <c r="H75" s="12"/>
    </row>
    <row r="76" spans="1:8" ht="15" customHeight="1" x14ac:dyDescent="0.3">
      <c r="A76" s="15" t="s">
        <v>7</v>
      </c>
      <c r="B76" s="15" t="s">
        <v>449</v>
      </c>
      <c r="C76" s="15" t="s">
        <v>450</v>
      </c>
      <c r="D76" s="15" t="s">
        <v>451</v>
      </c>
    </row>
    <row r="77" spans="1:8" ht="15" customHeight="1" x14ac:dyDescent="0.3">
      <c r="A77" s="16" t="s">
        <v>42</v>
      </c>
      <c r="B77" s="17">
        <v>25775669.350000001</v>
      </c>
      <c r="C77" s="17">
        <v>5074993.8099999996</v>
      </c>
      <c r="D77" s="16">
        <v>339</v>
      </c>
    </row>
    <row r="78" spans="1:8" ht="15" customHeight="1" x14ac:dyDescent="0.3">
      <c r="A78" s="16" t="s">
        <v>47</v>
      </c>
      <c r="B78" s="17">
        <v>24295450.449999999</v>
      </c>
      <c r="C78" s="17">
        <v>4970469.53</v>
      </c>
      <c r="D78" s="16">
        <v>326</v>
      </c>
    </row>
    <row r="79" spans="1:8" ht="15" customHeight="1" x14ac:dyDescent="0.3">
      <c r="A79" s="16" t="s">
        <v>37</v>
      </c>
      <c r="B79" s="17">
        <v>21670714.800000001</v>
      </c>
      <c r="C79" s="17">
        <v>4307905.59</v>
      </c>
      <c r="D79" s="16">
        <v>306</v>
      </c>
    </row>
    <row r="80" spans="1:8" ht="15" customHeight="1" x14ac:dyDescent="0.3">
      <c r="A80" s="16" t="s">
        <v>55</v>
      </c>
      <c r="B80" s="17">
        <v>21561355</v>
      </c>
      <c r="C80" s="17">
        <v>4307209.18</v>
      </c>
      <c r="D80" s="16">
        <v>316</v>
      </c>
    </row>
    <row r="96" spans="1:8" ht="21.75" customHeight="1" x14ac:dyDescent="0.3">
      <c r="A96" s="12" t="s">
        <v>465</v>
      </c>
      <c r="B96" s="12"/>
      <c r="C96" s="12"/>
      <c r="D96" s="12"/>
      <c r="E96" s="12"/>
      <c r="F96" s="12"/>
      <c r="G96" s="12"/>
      <c r="H96" s="12"/>
    </row>
    <row r="97" spans="1:8" ht="15" customHeight="1" x14ac:dyDescent="0.3">
      <c r="A97" s="15" t="s">
        <v>466</v>
      </c>
      <c r="B97" s="15" t="s">
        <v>449</v>
      </c>
      <c r="C97" s="15" t="s">
        <v>451</v>
      </c>
      <c r="F97" s="15" t="s">
        <v>5</v>
      </c>
      <c r="G97" s="15" t="s">
        <v>449</v>
      </c>
      <c r="H97" s="15" t="s">
        <v>450</v>
      </c>
    </row>
    <row r="98" spans="1:8" ht="15" customHeight="1" x14ac:dyDescent="0.3">
      <c r="A98" s="16" t="s">
        <v>43</v>
      </c>
      <c r="B98" s="17">
        <v>24744884.199999999</v>
      </c>
      <c r="C98" s="16">
        <v>339</v>
      </c>
      <c r="F98" s="16" t="s">
        <v>66</v>
      </c>
      <c r="G98" s="17">
        <v>21409479.300000001</v>
      </c>
      <c r="H98" s="17">
        <v>4302267.08</v>
      </c>
    </row>
    <row r="99" spans="1:8" ht="15" customHeight="1" x14ac:dyDescent="0.3">
      <c r="A99" s="16" t="s">
        <v>48</v>
      </c>
      <c r="B99" s="17">
        <v>23742031.899999999</v>
      </c>
      <c r="C99" s="16">
        <v>328</v>
      </c>
      <c r="F99" s="16" t="s">
        <v>58</v>
      </c>
      <c r="G99" s="17">
        <v>18728826.850000001</v>
      </c>
      <c r="H99" s="17">
        <v>3797574.83</v>
      </c>
    </row>
    <row r="100" spans="1:8" ht="15" customHeight="1" x14ac:dyDescent="0.3">
      <c r="A100" s="16" t="s">
        <v>61</v>
      </c>
      <c r="B100" s="17">
        <v>22576207.199999999</v>
      </c>
      <c r="C100" s="16">
        <v>316</v>
      </c>
      <c r="F100" s="16" t="s">
        <v>40</v>
      </c>
      <c r="G100" s="17">
        <v>18324683.850000001</v>
      </c>
      <c r="H100" s="17">
        <v>3691566.54</v>
      </c>
    </row>
    <row r="101" spans="1:8" ht="15" customHeight="1" x14ac:dyDescent="0.3">
      <c r="A101" s="16" t="s">
        <v>38</v>
      </c>
      <c r="B101" s="17">
        <v>22240066.300000001</v>
      </c>
      <c r="C101" s="16">
        <v>304</v>
      </c>
      <c r="F101" s="16" t="s">
        <v>53</v>
      </c>
      <c r="G101" s="17">
        <v>17674169.75</v>
      </c>
      <c r="H101" s="17">
        <v>3571213.41</v>
      </c>
    </row>
    <row r="102" spans="1:8" ht="15" customHeight="1" x14ac:dyDescent="0.3">
      <c r="F102" s="16" t="s">
        <v>33</v>
      </c>
      <c r="G102" s="17">
        <v>17166029.850000001</v>
      </c>
      <c r="H102" s="17">
        <v>3297956.25</v>
      </c>
    </row>
    <row r="105" spans="1:8" ht="21.75" customHeight="1" x14ac:dyDescent="0.3">
      <c r="A105" s="12" t="s">
        <v>467</v>
      </c>
      <c r="B105" s="12"/>
      <c r="C105" s="12"/>
      <c r="D105" s="12"/>
      <c r="E105" s="12"/>
      <c r="F105" s="12"/>
      <c r="G105" s="12"/>
      <c r="H105" s="12"/>
    </row>
    <row r="106" spans="1:8" ht="31.5" customHeight="1" x14ac:dyDescent="0.3">
      <c r="A106" s="18" t="s">
        <v>468</v>
      </c>
      <c r="B106" s="2" t="s">
        <v>469</v>
      </c>
      <c r="C106" s="2"/>
      <c r="D106" s="2"/>
      <c r="E106" s="2"/>
      <c r="F106" s="2"/>
      <c r="G106" s="2"/>
      <c r="H106" s="2"/>
    </row>
    <row r="107" spans="1:8" ht="31.5" customHeight="1" x14ac:dyDescent="0.3">
      <c r="A107" s="18" t="s">
        <v>470</v>
      </c>
      <c r="B107" s="2" t="s">
        <v>471</v>
      </c>
      <c r="C107" s="2"/>
      <c r="D107" s="2"/>
      <c r="E107" s="2"/>
      <c r="F107" s="2"/>
      <c r="G107" s="2"/>
      <c r="H107" s="2"/>
    </row>
    <row r="108" spans="1:8" ht="31.5" customHeight="1" x14ac:dyDescent="0.3">
      <c r="A108" s="18" t="s">
        <v>472</v>
      </c>
      <c r="B108" s="2" t="s">
        <v>473</v>
      </c>
      <c r="C108" s="2"/>
      <c r="D108" s="2"/>
      <c r="E108" s="2"/>
      <c r="F108" s="2"/>
      <c r="G108" s="2"/>
      <c r="H108" s="2"/>
    </row>
    <row r="109" spans="1:8" ht="31.5" customHeight="1" x14ac:dyDescent="0.3">
      <c r="A109" s="18" t="s">
        <v>474</v>
      </c>
      <c r="B109" s="2" t="s">
        <v>475</v>
      </c>
      <c r="C109" s="2"/>
      <c r="D109" s="2"/>
      <c r="E109" s="2"/>
      <c r="F109" s="2"/>
      <c r="G109" s="2"/>
      <c r="H109" s="2"/>
    </row>
    <row r="110" spans="1:8" ht="31.5" customHeight="1" x14ac:dyDescent="0.3">
      <c r="A110" s="18" t="s">
        <v>476</v>
      </c>
      <c r="B110" s="2" t="s">
        <v>477</v>
      </c>
      <c r="C110" s="2"/>
      <c r="D110" s="2"/>
      <c r="E110" s="2"/>
      <c r="F110" s="2"/>
      <c r="G110" s="2"/>
      <c r="H110" s="2"/>
    </row>
    <row r="111" spans="1:8" ht="31.5" customHeight="1" x14ac:dyDescent="0.3">
      <c r="A111" s="18" t="s">
        <v>478</v>
      </c>
      <c r="B111" s="2" t="s">
        <v>479</v>
      </c>
      <c r="C111" s="2"/>
      <c r="D111" s="2"/>
      <c r="E111" s="2"/>
      <c r="F111" s="2"/>
      <c r="G111" s="2"/>
      <c r="H111" s="2"/>
    </row>
    <row r="112" spans="1:8" ht="31.5" customHeight="1" x14ac:dyDescent="0.3">
      <c r="A112" s="18" t="s">
        <v>480</v>
      </c>
      <c r="B112" s="2" t="s">
        <v>481</v>
      </c>
      <c r="C112" s="2"/>
      <c r="D112" s="2"/>
      <c r="E112" s="2"/>
      <c r="F112" s="2"/>
      <c r="G112" s="2"/>
      <c r="H112" s="2"/>
    </row>
    <row r="113" spans="1:8" ht="31.5" customHeight="1" x14ac:dyDescent="0.3">
      <c r="A113" s="18" t="s">
        <v>482</v>
      </c>
      <c r="B113" s="2" t="s">
        <v>483</v>
      </c>
      <c r="C113" s="2"/>
      <c r="D113" s="2"/>
      <c r="E113" s="2"/>
      <c r="F113" s="2"/>
      <c r="G113" s="2"/>
      <c r="H113" s="2"/>
    </row>
    <row r="115" spans="1:8" ht="21.75" customHeight="1" x14ac:dyDescent="0.3">
      <c r="A115" s="12" t="s">
        <v>484</v>
      </c>
      <c r="B115" s="12"/>
      <c r="C115" s="12"/>
      <c r="D115" s="12"/>
      <c r="E115" s="12"/>
      <c r="F115" s="12"/>
      <c r="G115" s="12"/>
      <c r="H115" s="12"/>
    </row>
    <row r="116" spans="1:8" ht="15" customHeight="1" x14ac:dyDescent="0.3">
      <c r="A116" s="1" t="s">
        <v>485</v>
      </c>
      <c r="B116" s="1"/>
      <c r="C116" s="1"/>
      <c r="D116" s="1"/>
      <c r="E116" s="1"/>
      <c r="F116" s="1"/>
      <c r="G116" s="1"/>
      <c r="H116" s="1"/>
    </row>
    <row r="117" spans="1:8" ht="15" customHeight="1" x14ac:dyDescent="0.3">
      <c r="A117" s="1" t="s">
        <v>486</v>
      </c>
      <c r="B117" s="1"/>
      <c r="C117" s="1"/>
      <c r="D117" s="1"/>
      <c r="E117" s="1"/>
      <c r="F117" s="1"/>
      <c r="G117" s="1"/>
      <c r="H117" s="1"/>
    </row>
    <row r="118" spans="1:8" ht="15" customHeight="1" x14ac:dyDescent="0.3">
      <c r="A118" s="1" t="s">
        <v>487</v>
      </c>
      <c r="B118" s="1"/>
      <c r="C118" s="1"/>
      <c r="D118" s="1"/>
      <c r="E118" s="1"/>
      <c r="F118" s="1"/>
      <c r="G118" s="1"/>
      <c r="H118" s="1"/>
    </row>
    <row r="119" spans="1:8" ht="15" customHeight="1" x14ac:dyDescent="0.3">
      <c r="A119" s="1" t="s">
        <v>488</v>
      </c>
      <c r="B119" s="1"/>
      <c r="C119" s="1"/>
      <c r="D119" s="1"/>
      <c r="E119" s="1"/>
      <c r="F119" s="1"/>
      <c r="G119" s="1"/>
      <c r="H119" s="1"/>
    </row>
    <row r="120" spans="1:8" ht="15" customHeight="1" x14ac:dyDescent="0.3">
      <c r="A120" s="1" t="s">
        <v>489</v>
      </c>
      <c r="B120" s="1"/>
      <c r="C120" s="1"/>
      <c r="D120" s="1"/>
      <c r="E120" s="1"/>
      <c r="F120" s="1"/>
      <c r="G120" s="1"/>
      <c r="H120" s="1"/>
    </row>
    <row r="121" spans="1:8" ht="15" customHeight="1" x14ac:dyDescent="0.3">
      <c r="A121" s="1" t="s">
        <v>490</v>
      </c>
      <c r="B121" s="1"/>
      <c r="C121" s="1"/>
      <c r="D121" s="1"/>
      <c r="E121" s="1"/>
      <c r="F121" s="1"/>
      <c r="G121" s="1"/>
      <c r="H121" s="1"/>
    </row>
    <row r="123" spans="1:8" ht="21.75" customHeight="1" x14ac:dyDescent="0.3">
      <c r="A123" s="12" t="s">
        <v>491</v>
      </c>
      <c r="B123" s="12"/>
      <c r="C123" s="12"/>
      <c r="D123" s="12"/>
      <c r="E123" s="12"/>
      <c r="F123" s="12"/>
      <c r="G123" s="12"/>
      <c r="H123" s="12"/>
    </row>
    <row r="124" spans="1:8" ht="15" customHeight="1" x14ac:dyDescent="0.3">
      <c r="A124" s="1" t="s">
        <v>492</v>
      </c>
      <c r="B124" s="1"/>
      <c r="C124" s="1"/>
      <c r="D124" s="1"/>
      <c r="E124" s="1"/>
      <c r="F124" s="1"/>
      <c r="G124" s="1"/>
      <c r="H124" s="1"/>
    </row>
    <row r="125" spans="1:8" ht="15" customHeight="1" x14ac:dyDescent="0.3">
      <c r="A125" s="1" t="s">
        <v>493</v>
      </c>
      <c r="B125" s="1"/>
      <c r="C125" s="1"/>
      <c r="D125" s="1"/>
      <c r="E125" s="1"/>
      <c r="F125" s="1"/>
      <c r="G125" s="1"/>
      <c r="H125" s="1"/>
    </row>
    <row r="126" spans="1:8" ht="15" customHeight="1" x14ac:dyDescent="0.3">
      <c r="A126" s="1" t="s">
        <v>494</v>
      </c>
      <c r="B126" s="1"/>
      <c r="C126" s="1"/>
      <c r="D126" s="1"/>
      <c r="E126" s="1"/>
      <c r="F126" s="1"/>
      <c r="G126" s="1"/>
      <c r="H126" s="1"/>
    </row>
    <row r="127" spans="1:8" ht="15" customHeight="1" x14ac:dyDescent="0.3">
      <c r="A127" s="1" t="s">
        <v>495</v>
      </c>
      <c r="B127" s="1"/>
      <c r="C127" s="1"/>
      <c r="D127" s="1"/>
      <c r="E127" s="1"/>
      <c r="F127" s="1"/>
      <c r="G127" s="1"/>
      <c r="H127" s="1"/>
    </row>
    <row r="128" spans="1:8" ht="15" customHeight="1" x14ac:dyDescent="0.3">
      <c r="A128" s="1" t="s">
        <v>496</v>
      </c>
      <c r="B128" s="1"/>
      <c r="C128" s="1"/>
      <c r="D128" s="1"/>
      <c r="E128" s="1"/>
      <c r="F128" s="1"/>
      <c r="G128" s="1"/>
      <c r="H128" s="1"/>
    </row>
    <row r="129" spans="1:8" ht="21.75" customHeight="1" x14ac:dyDescent="0.3">
      <c r="A129" s="12" t="s">
        <v>497</v>
      </c>
      <c r="B129" s="12"/>
      <c r="C129" s="12"/>
      <c r="D129" s="12"/>
      <c r="E129" s="12"/>
      <c r="F129" s="12"/>
      <c r="G129" s="12"/>
      <c r="H129" s="12"/>
    </row>
    <row r="130" spans="1:8" ht="15" customHeight="1" x14ac:dyDescent="0.3">
      <c r="A130" s="25" t="s">
        <v>498</v>
      </c>
      <c r="B130" s="25"/>
      <c r="C130" s="25"/>
      <c r="D130" s="25"/>
      <c r="E130" s="25"/>
      <c r="F130" s="25"/>
      <c r="G130" s="25"/>
      <c r="H130" s="25"/>
    </row>
    <row r="131" spans="1:8" ht="21.75" customHeight="1" x14ac:dyDescent="0.3">
      <c r="A131" s="15" t="s">
        <v>448</v>
      </c>
      <c r="B131" s="15" t="s">
        <v>499</v>
      </c>
      <c r="C131" s="15" t="s">
        <v>500</v>
      </c>
      <c r="D131" s="15" t="s">
        <v>501</v>
      </c>
      <c r="E131" s="15" t="s">
        <v>502</v>
      </c>
      <c r="F131" s="19"/>
      <c r="G131" s="19"/>
      <c r="H131" s="19"/>
    </row>
    <row r="132" spans="1:8" ht="15" customHeight="1" x14ac:dyDescent="0.3">
      <c r="A132" s="20" t="s">
        <v>8</v>
      </c>
      <c r="B132" s="21">
        <v>8230899</v>
      </c>
      <c r="C132" s="21">
        <v>0</v>
      </c>
      <c r="D132" s="21">
        <v>8230899</v>
      </c>
      <c r="E132" s="21">
        <v>0</v>
      </c>
      <c r="F132" s="19"/>
      <c r="G132" s="19"/>
      <c r="H132" s="19"/>
    </row>
    <row r="133" spans="1:8" ht="15" customHeight="1" x14ac:dyDescent="0.3">
      <c r="A133" s="16" t="s">
        <v>452</v>
      </c>
      <c r="B133" s="17">
        <v>6285791</v>
      </c>
      <c r="C133" s="17">
        <v>6285791</v>
      </c>
      <c r="D133" s="17">
        <v>0</v>
      </c>
      <c r="E133" s="17">
        <v>1945108</v>
      </c>
      <c r="F133" s="19"/>
      <c r="G133" s="19"/>
      <c r="H133" s="19"/>
    </row>
    <row r="134" spans="1:8" ht="15" customHeight="1" x14ac:dyDescent="0.3">
      <c r="A134" s="16" t="s">
        <v>453</v>
      </c>
      <c r="B134" s="17">
        <v>8158550</v>
      </c>
      <c r="C134" s="17">
        <v>6285791</v>
      </c>
      <c r="D134" s="17">
        <v>1872759</v>
      </c>
      <c r="E134" s="17">
        <v>0</v>
      </c>
      <c r="F134" s="19"/>
      <c r="G134" s="19"/>
      <c r="H134" s="19"/>
    </row>
    <row r="135" spans="1:8" ht="15" customHeight="1" x14ac:dyDescent="0.3">
      <c r="A135" s="16" t="s">
        <v>454</v>
      </c>
      <c r="B135" s="17">
        <v>7177984</v>
      </c>
      <c r="C135" s="17">
        <v>7177984</v>
      </c>
      <c r="D135" s="17">
        <v>0</v>
      </c>
      <c r="E135" s="17">
        <v>980566</v>
      </c>
      <c r="F135" s="19"/>
      <c r="G135" s="19"/>
      <c r="H135" s="19"/>
    </row>
    <row r="136" spans="1:8" ht="15" customHeight="1" x14ac:dyDescent="0.3">
      <c r="A136" s="16" t="s">
        <v>455</v>
      </c>
      <c r="B136" s="17">
        <v>6210795</v>
      </c>
      <c r="C136" s="17">
        <v>6210795</v>
      </c>
      <c r="D136" s="17">
        <v>0</v>
      </c>
      <c r="E136" s="17">
        <v>967189</v>
      </c>
      <c r="F136" s="19"/>
      <c r="G136" s="19"/>
      <c r="H136" s="19"/>
    </row>
    <row r="137" spans="1:8" ht="15" customHeight="1" x14ac:dyDescent="0.3">
      <c r="A137" s="16" t="s">
        <v>456</v>
      </c>
      <c r="B137" s="17">
        <v>7259682</v>
      </c>
      <c r="C137" s="17">
        <v>6210795</v>
      </c>
      <c r="D137" s="17">
        <v>1048887</v>
      </c>
      <c r="E137" s="17">
        <v>0</v>
      </c>
      <c r="F137" s="19"/>
      <c r="G137" s="19"/>
      <c r="H137" s="19"/>
    </row>
    <row r="138" spans="1:8" ht="15" customHeight="1" x14ac:dyDescent="0.3">
      <c r="A138" s="16" t="s">
        <v>457</v>
      </c>
      <c r="B138" s="17">
        <v>9432089</v>
      </c>
      <c r="C138" s="17">
        <v>7259682</v>
      </c>
      <c r="D138" s="17">
        <v>2172407</v>
      </c>
      <c r="E138" s="17">
        <v>0</v>
      </c>
      <c r="F138" s="19"/>
      <c r="G138" s="19"/>
      <c r="H138" s="19"/>
    </row>
    <row r="139" spans="1:8" ht="15" customHeight="1" x14ac:dyDescent="0.3">
      <c r="A139" s="16" t="s">
        <v>458</v>
      </c>
      <c r="B139" s="17">
        <v>9116987</v>
      </c>
      <c r="C139" s="17">
        <v>9116987</v>
      </c>
      <c r="D139" s="17">
        <v>0</v>
      </c>
      <c r="E139" s="17">
        <v>315102</v>
      </c>
      <c r="F139" s="19"/>
      <c r="G139" s="19"/>
      <c r="H139" s="19"/>
    </row>
    <row r="140" spans="1:8" ht="15" customHeight="1" x14ac:dyDescent="0.3">
      <c r="A140" s="16" t="s">
        <v>459</v>
      </c>
      <c r="B140" s="17">
        <v>7403277</v>
      </c>
      <c r="C140" s="17">
        <v>7403277</v>
      </c>
      <c r="D140" s="17">
        <v>0</v>
      </c>
      <c r="E140" s="17">
        <v>1713710</v>
      </c>
      <c r="F140" s="19"/>
      <c r="G140" s="19"/>
      <c r="H140" s="19"/>
    </row>
    <row r="141" spans="1:8" ht="15" customHeight="1" x14ac:dyDescent="0.3">
      <c r="A141" s="16" t="s">
        <v>460</v>
      </c>
      <c r="B141" s="17">
        <v>9315625</v>
      </c>
      <c r="C141" s="17">
        <v>7403277</v>
      </c>
      <c r="D141" s="17">
        <v>1912348</v>
      </c>
      <c r="E141" s="17">
        <v>0</v>
      </c>
      <c r="F141" s="19"/>
      <c r="G141" s="19"/>
      <c r="H141" s="19"/>
    </row>
    <row r="142" spans="1:8" ht="15" customHeight="1" x14ac:dyDescent="0.3">
      <c r="A142" s="16" t="s">
        <v>461</v>
      </c>
      <c r="B142" s="17">
        <v>7558036</v>
      </c>
      <c r="C142" s="17">
        <v>7558036</v>
      </c>
      <c r="D142" s="17">
        <v>0</v>
      </c>
      <c r="E142" s="17">
        <v>1757589</v>
      </c>
      <c r="F142" s="19"/>
      <c r="G142" s="19"/>
      <c r="H142" s="19"/>
    </row>
    <row r="143" spans="1:8" ht="15" customHeight="1" x14ac:dyDescent="0.3">
      <c r="A143" s="16" t="s">
        <v>9</v>
      </c>
      <c r="B143" s="17">
        <v>7153474</v>
      </c>
      <c r="C143" s="17">
        <v>7153474</v>
      </c>
      <c r="D143" s="17">
        <v>0</v>
      </c>
      <c r="E143" s="17">
        <v>404562</v>
      </c>
      <c r="F143" s="19"/>
      <c r="G143" s="19"/>
      <c r="H143" s="19"/>
    </row>
    <row r="144" spans="1:8" ht="15" customHeight="1" x14ac:dyDescent="0.3">
      <c r="A144" s="19"/>
      <c r="B144" s="22"/>
      <c r="C144" s="22"/>
      <c r="D144" s="22"/>
      <c r="E144" s="22"/>
      <c r="F144" s="19"/>
      <c r="G144" s="19"/>
      <c r="H144" s="19"/>
    </row>
    <row r="145" spans="1:8" ht="15" customHeight="1" x14ac:dyDescent="0.3">
      <c r="A145" s="19"/>
      <c r="B145" s="22"/>
      <c r="C145" s="22"/>
      <c r="D145" s="22"/>
      <c r="E145" s="22"/>
      <c r="F145" s="19"/>
      <c r="G145" s="19"/>
      <c r="H145" s="19"/>
    </row>
  </sheetData>
  <mergeCells count="48">
    <mergeCell ref="A128:H128"/>
    <mergeCell ref="A129:H129"/>
    <mergeCell ref="A130:H130"/>
    <mergeCell ref="A123:H123"/>
    <mergeCell ref="A124:H124"/>
    <mergeCell ref="A125:H125"/>
    <mergeCell ref="A126:H126"/>
    <mergeCell ref="A127:H127"/>
    <mergeCell ref="A117:H117"/>
    <mergeCell ref="A118:H118"/>
    <mergeCell ref="A119:H119"/>
    <mergeCell ref="A120:H120"/>
    <mergeCell ref="A121:H121"/>
    <mergeCell ref="B111:H111"/>
    <mergeCell ref="B112:H112"/>
    <mergeCell ref="B113:H113"/>
    <mergeCell ref="A115:H115"/>
    <mergeCell ref="A116:H116"/>
    <mergeCell ref="B106:H106"/>
    <mergeCell ref="B107:H107"/>
    <mergeCell ref="B108:H108"/>
    <mergeCell ref="B109:H109"/>
    <mergeCell ref="B110:H110"/>
    <mergeCell ref="A33:H33"/>
    <mergeCell ref="A54:H54"/>
    <mergeCell ref="A75:H75"/>
    <mergeCell ref="A96:H96"/>
    <mergeCell ref="A105:H105"/>
    <mergeCell ref="A9:B9"/>
    <mergeCell ref="C9:D9"/>
    <mergeCell ref="E9:F9"/>
    <mergeCell ref="G9:H9"/>
    <mergeCell ref="A12:H12"/>
    <mergeCell ref="A6:B6"/>
    <mergeCell ref="C6:D6"/>
    <mergeCell ref="E6:F6"/>
    <mergeCell ref="G6:H6"/>
    <mergeCell ref="A8:B8"/>
    <mergeCell ref="C8:D8"/>
    <mergeCell ref="E8:F8"/>
    <mergeCell ref="G8:H8"/>
    <mergeCell ref="A1:H1"/>
    <mergeCell ref="A2:H2"/>
    <mergeCell ref="A4:H4"/>
    <mergeCell ref="A5:B5"/>
    <mergeCell ref="C5:D5"/>
    <mergeCell ref="E5:F5"/>
    <mergeCell ref="G5:H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288"/>
  <sheetViews>
    <sheetView zoomScaleNormal="100" workbookViewId="0"/>
  </sheetViews>
  <sheetFormatPr defaultColWidth="8.5546875" defaultRowHeight="14.4" x14ac:dyDescent="0.3"/>
  <sheetData>
    <row r="1" spans="1:29" x14ac:dyDescent="0.3">
      <c r="A1" s="23" t="s">
        <v>18</v>
      </c>
      <c r="B1" s="23" t="s">
        <v>19</v>
      </c>
      <c r="C1" s="23" t="s">
        <v>448</v>
      </c>
      <c r="D1" s="23" t="s">
        <v>5</v>
      </c>
      <c r="E1" s="23" t="s">
        <v>6</v>
      </c>
      <c r="F1" s="23" t="s">
        <v>24</v>
      </c>
      <c r="G1" s="23" t="s">
        <v>27</v>
      </c>
      <c r="H1" s="23" t="s">
        <v>30</v>
      </c>
      <c r="I1" s="23" t="s">
        <v>503</v>
      </c>
      <c r="K1" s="23" t="s">
        <v>5</v>
      </c>
      <c r="L1" s="23" t="s">
        <v>504</v>
      </c>
      <c r="M1" s="23" t="s">
        <v>30</v>
      </c>
      <c r="N1" s="23" t="s">
        <v>451</v>
      </c>
      <c r="P1" s="23" t="s">
        <v>6</v>
      </c>
      <c r="Q1" s="23" t="s">
        <v>504</v>
      </c>
      <c r="R1" s="23" t="s">
        <v>30</v>
      </c>
      <c r="S1" s="23" t="s">
        <v>451</v>
      </c>
      <c r="U1" s="23" t="s">
        <v>7</v>
      </c>
      <c r="V1" s="23" t="s">
        <v>504</v>
      </c>
      <c r="W1" s="23" t="s">
        <v>30</v>
      </c>
      <c r="X1" s="23" t="s">
        <v>451</v>
      </c>
      <c r="Z1" s="23" t="s">
        <v>448</v>
      </c>
      <c r="AA1" s="23" t="s">
        <v>504</v>
      </c>
      <c r="AB1" s="23" t="s">
        <v>30</v>
      </c>
      <c r="AC1" s="23" t="s">
        <v>451</v>
      </c>
    </row>
    <row r="2" spans="1:29" x14ac:dyDescent="0.3">
      <c r="A2">
        <f>Sheet1!A2</f>
        <v>1001</v>
      </c>
      <c r="B2" t="str">
        <f>Sheet1!B2</f>
        <v>2025-01-01</v>
      </c>
      <c r="C2" t="str">
        <f>TEXT(Sheet1!B2,"YYYY-MM")</f>
        <v>2025-01</v>
      </c>
      <c r="D2" t="str">
        <f>Sheet1!D2</f>
        <v>Hyderabad</v>
      </c>
      <c r="E2" t="str">
        <f>Sheet1!F2</f>
        <v>Electronics</v>
      </c>
      <c r="F2" t="str">
        <f>Sheet1!H2</f>
        <v>Sneha</v>
      </c>
      <c r="G2">
        <f>Sheet1!K2</f>
        <v>73443.600000000006</v>
      </c>
      <c r="H2">
        <f>Sheet1!N2</f>
        <v>21019.15</v>
      </c>
      <c r="I2">
        <f t="shared" ref="I2:I65" si="0">IF(AND(OR(FilterCity="All",D2=FilterCity),OR(FilterCategory="All",E2=FilterCategory),OR(FilterRep="All",F2=FilterRep),C2&gt;=FilterMonthFrom,C2&lt;=FilterMonthTo),1,0)</f>
        <v>1</v>
      </c>
      <c r="K2" s="24" t="s">
        <v>66</v>
      </c>
      <c r="L2" s="24">
        <f>SUMPRODUCT(($D$2:$D$1288=K2)*$I$2:$I$1288*$G$2:$G$1288)</f>
        <v>21409479.300000004</v>
      </c>
      <c r="M2" s="24">
        <f>SUMPRODUCT(($D$2:$D$1288=K2)*$I$2:$I$1288*$H$2:$H$1288)</f>
        <v>4302267.0799999973</v>
      </c>
      <c r="N2" s="24">
        <f>SUMPRODUCT(($D$2:$D$1288=K2)*$I$2:$I$1288)</f>
        <v>276</v>
      </c>
      <c r="P2" s="24" t="s">
        <v>51</v>
      </c>
      <c r="Q2" s="24">
        <f>SUMPRODUCT(($E$2:$E$1288=P2)*$I$2:$I$1288*$G$2:$G$1288)</f>
        <v>30181058.099999998</v>
      </c>
      <c r="R2" s="24">
        <f>SUMPRODUCT(($E$2:$E$1288=P2)*$I$2:$I$1288*$H$2:$H$1288)</f>
        <v>5953973.5100000007</v>
      </c>
      <c r="S2" s="24">
        <f>SUMPRODUCT(($E$2:$E$1288=P2)*$I$2:$I$1288)</f>
        <v>416</v>
      </c>
      <c r="U2" s="24" t="s">
        <v>42</v>
      </c>
      <c r="V2" s="24">
        <f>SUMPRODUCT(($F$2:$F$1288=U2)*$I$2:$I$1288*$G$2:$G$1288)</f>
        <v>25775669.350000001</v>
      </c>
      <c r="W2" s="24">
        <f>SUMPRODUCT(($F$2:$F$1288=U2)*$I$2:$I$1288*$H$2:$H$1288)</f>
        <v>5074993.8100000015</v>
      </c>
      <c r="X2" s="24">
        <f>SUMPRODUCT(($F$2:$F$1288=U2)*$I$2:$I$1288)</f>
        <v>339</v>
      </c>
      <c r="Z2" s="24" t="s">
        <v>8</v>
      </c>
      <c r="AA2" s="24">
        <f t="shared" ref="AA2:AA13" si="1">SUMPRODUCT(($C$2:$C$1288=Z2)*$I$2:$I$1288*$G$2:$G$1288)</f>
        <v>8230898.8500000015</v>
      </c>
      <c r="AB2" s="24">
        <f t="shared" ref="AB2:AB13" si="2">SUMPRODUCT(($C$2:$C$1288=Z2)*$I$2:$I$1288*$H$2:$H$1288)</f>
        <v>1554667.9300000004</v>
      </c>
      <c r="AC2" s="24">
        <f t="shared" ref="AC2:AC13" si="3">SUMPRODUCT(($C$2:$C$1288=Z2)*$I$2:$I$1288)</f>
        <v>108</v>
      </c>
    </row>
    <row r="3" spans="1:29" x14ac:dyDescent="0.3">
      <c r="A3">
        <f>Sheet1!A3</f>
        <v>1002</v>
      </c>
      <c r="B3" t="str">
        <f>Sheet1!B3</f>
        <v>2025-01-01</v>
      </c>
      <c r="C3" t="str">
        <f>TEXT(Sheet1!B3,"YYYY-MM")</f>
        <v>2025-01</v>
      </c>
      <c r="D3" t="str">
        <f>Sheet1!D3</f>
        <v>Delhi</v>
      </c>
      <c r="E3" t="str">
        <f>Sheet1!F3</f>
        <v>Electronics</v>
      </c>
      <c r="F3" t="str">
        <f>Sheet1!H3</f>
        <v>Ajay</v>
      </c>
      <c r="G3">
        <f>Sheet1!K3</f>
        <v>66424</v>
      </c>
      <c r="H3">
        <f>Sheet1!N3</f>
        <v>15368.62</v>
      </c>
      <c r="I3">
        <f t="shared" si="0"/>
        <v>1</v>
      </c>
      <c r="K3" s="24" t="s">
        <v>40</v>
      </c>
      <c r="L3" s="24">
        <f>SUMPRODUCT(($D$2:$D$1288=K3)*$I$2:$I$1288*$G$2:$G$1288)</f>
        <v>18324683.850000005</v>
      </c>
      <c r="M3" s="24">
        <f>SUMPRODUCT(($D$2:$D$1288=K3)*$I$2:$I$1288*$H$2:$H$1288)</f>
        <v>3691566.5400000024</v>
      </c>
      <c r="N3" s="24">
        <f>SUMPRODUCT(($D$2:$D$1288=K3)*$I$2:$I$1288)</f>
        <v>249</v>
      </c>
      <c r="P3" s="24" t="s">
        <v>35</v>
      </c>
      <c r="Q3" s="24">
        <f>SUMPRODUCT(($E$2:$E$1288=P3)*$I$2:$I$1288*$G$2:$G$1288)</f>
        <v>31645209.050000012</v>
      </c>
      <c r="R3" s="24">
        <f>SUMPRODUCT(($E$2:$E$1288=P3)*$I$2:$I$1288*$H$2:$H$1288)</f>
        <v>6362324.8000000054</v>
      </c>
      <c r="S3" s="24">
        <f>SUMPRODUCT(($E$2:$E$1288=P3)*$I$2:$I$1288)</f>
        <v>428</v>
      </c>
      <c r="U3" s="24" t="s">
        <v>55</v>
      </c>
      <c r="V3" s="24">
        <f>SUMPRODUCT(($F$2:$F$1288=U3)*$I$2:$I$1288*$G$2:$G$1288)</f>
        <v>21561355.000000011</v>
      </c>
      <c r="W3" s="24">
        <f>SUMPRODUCT(($F$2:$F$1288=U3)*$I$2:$I$1288*$H$2:$H$1288)</f>
        <v>4307209.1799999978</v>
      </c>
      <c r="X3" s="24">
        <f>SUMPRODUCT(($F$2:$F$1288=U3)*$I$2:$I$1288)</f>
        <v>316</v>
      </c>
      <c r="Z3" s="24" t="s">
        <v>452</v>
      </c>
      <c r="AA3" s="24">
        <f t="shared" si="1"/>
        <v>6285791.3000000026</v>
      </c>
      <c r="AB3" s="24">
        <f t="shared" si="2"/>
        <v>1291060.17</v>
      </c>
      <c r="AC3" s="24">
        <f t="shared" si="3"/>
        <v>102</v>
      </c>
    </row>
    <row r="4" spans="1:29" x14ac:dyDescent="0.3">
      <c r="A4">
        <f>Sheet1!A4</f>
        <v>1003</v>
      </c>
      <c r="B4" t="str">
        <f>Sheet1!B4</f>
        <v>2025-01-01</v>
      </c>
      <c r="C4" t="str">
        <f>TEXT(Sheet1!B4,"YYYY-MM")</f>
        <v>2025-01</v>
      </c>
      <c r="D4" t="str">
        <f>Sheet1!D4</f>
        <v>Hyderabad</v>
      </c>
      <c r="E4" t="str">
        <f>Sheet1!F4</f>
        <v>Furniture</v>
      </c>
      <c r="F4" t="str">
        <f>Sheet1!H4</f>
        <v>Rahul</v>
      </c>
      <c r="G4">
        <f>Sheet1!K4</f>
        <v>18542.7</v>
      </c>
      <c r="H4">
        <f>Sheet1!N4</f>
        <v>3595.24</v>
      </c>
      <c r="I4">
        <f t="shared" si="0"/>
        <v>1</v>
      </c>
      <c r="K4" s="24" t="s">
        <v>33</v>
      </c>
      <c r="L4" s="24">
        <f>SUMPRODUCT(($D$2:$D$1288=K4)*$I$2:$I$1288*$G$2:$G$1288)</f>
        <v>17166029.850000005</v>
      </c>
      <c r="M4" s="24">
        <f>SUMPRODUCT(($D$2:$D$1288=K4)*$I$2:$I$1288*$H$2:$H$1288)</f>
        <v>3297956.25</v>
      </c>
      <c r="N4" s="24">
        <f>SUMPRODUCT(($D$2:$D$1288=K4)*$I$2:$I$1288)</f>
        <v>246</v>
      </c>
      <c r="P4" s="24" t="s">
        <v>45</v>
      </c>
      <c r="Q4" s="24">
        <f>SUMPRODUCT(($E$2:$E$1288=P4)*$I$2:$I$1288*$G$2:$G$1288)</f>
        <v>31476922.450000007</v>
      </c>
      <c r="R4" s="24">
        <f>SUMPRODUCT(($E$2:$E$1288=P4)*$I$2:$I$1288*$H$2:$H$1288)</f>
        <v>6344279.799999998</v>
      </c>
      <c r="S4" s="24">
        <f>SUMPRODUCT(($E$2:$E$1288=P4)*$I$2:$I$1288)</f>
        <v>443</v>
      </c>
      <c r="U4" s="24" t="s">
        <v>47</v>
      </c>
      <c r="V4" s="24">
        <f>SUMPRODUCT(($F$2:$F$1288=U4)*$I$2:$I$1288*$G$2:$G$1288)</f>
        <v>24295450.449999999</v>
      </c>
      <c r="W4" s="24">
        <f>SUMPRODUCT(($F$2:$F$1288=U4)*$I$2:$I$1288*$H$2:$H$1288)</f>
        <v>4970469.5300000031</v>
      </c>
      <c r="X4" s="24">
        <f>SUMPRODUCT(($F$2:$F$1288=U4)*$I$2:$I$1288)</f>
        <v>326</v>
      </c>
      <c r="Z4" s="24" t="s">
        <v>453</v>
      </c>
      <c r="AA4" s="24">
        <f t="shared" si="1"/>
        <v>8158549.8499999996</v>
      </c>
      <c r="AB4" s="24">
        <f t="shared" si="2"/>
        <v>1609965.18</v>
      </c>
      <c r="AC4" s="24">
        <f t="shared" si="3"/>
        <v>110</v>
      </c>
    </row>
    <row r="5" spans="1:29" x14ac:dyDescent="0.3">
      <c r="A5">
        <f>Sheet1!A5</f>
        <v>1004</v>
      </c>
      <c r="B5" t="str">
        <f>Sheet1!B5</f>
        <v>2025-01-02</v>
      </c>
      <c r="C5" t="str">
        <f>TEXT(Sheet1!B5,"YYYY-MM")</f>
        <v>2025-01</v>
      </c>
      <c r="D5" t="str">
        <f>Sheet1!D5</f>
        <v>Hyderabad</v>
      </c>
      <c r="E5" t="str">
        <f>Sheet1!F5</f>
        <v>Clothing</v>
      </c>
      <c r="F5" t="str">
        <f>Sheet1!H5</f>
        <v>Rahul</v>
      </c>
      <c r="G5">
        <f>Sheet1!K5</f>
        <v>71574</v>
      </c>
      <c r="H5">
        <f>Sheet1!N5</f>
        <v>10999.85</v>
      </c>
      <c r="I5">
        <f t="shared" si="0"/>
        <v>1</v>
      </c>
      <c r="K5" s="24" t="s">
        <v>53</v>
      </c>
      <c r="L5" s="24">
        <f>SUMPRODUCT(($D$2:$D$1288=K5)*$I$2:$I$1288*$G$2:$G$1288)</f>
        <v>17674169.749999996</v>
      </c>
      <c r="M5" s="24">
        <f>SUMPRODUCT(($D$2:$D$1288=K5)*$I$2:$I$1288*$H$2:$H$1288)</f>
        <v>3571213.4099999992</v>
      </c>
      <c r="N5" s="24">
        <f>SUMPRODUCT(($D$2:$D$1288=K5)*$I$2:$I$1288)</f>
        <v>253</v>
      </c>
      <c r="U5" s="24" t="s">
        <v>37</v>
      </c>
      <c r="V5" s="24">
        <f>SUMPRODUCT(($F$2:$F$1288=U5)*$I$2:$I$1288*$G$2:$G$1288)</f>
        <v>21670714.800000004</v>
      </c>
      <c r="W5" s="24">
        <f>SUMPRODUCT(($F$2:$F$1288=U5)*$I$2:$I$1288*$H$2:$H$1288)</f>
        <v>4307905.5900000026</v>
      </c>
      <c r="X5" s="24">
        <f>SUMPRODUCT(($F$2:$F$1288=U5)*$I$2:$I$1288)</f>
        <v>306</v>
      </c>
      <c r="Z5" s="24" t="s">
        <v>454</v>
      </c>
      <c r="AA5" s="24">
        <f t="shared" si="1"/>
        <v>7177984.0500000017</v>
      </c>
      <c r="AB5" s="24">
        <f t="shared" si="2"/>
        <v>1388411.0799999998</v>
      </c>
      <c r="AC5" s="24">
        <f t="shared" si="3"/>
        <v>100</v>
      </c>
    </row>
    <row r="6" spans="1:29" x14ac:dyDescent="0.3">
      <c r="A6">
        <f>Sheet1!A6</f>
        <v>1005</v>
      </c>
      <c r="B6" t="str">
        <f>Sheet1!B6</f>
        <v>2025-01-02</v>
      </c>
      <c r="C6" t="str">
        <f>TEXT(Sheet1!B6,"YYYY-MM")</f>
        <v>2025-01</v>
      </c>
      <c r="D6" t="str">
        <f>Sheet1!D6</f>
        <v>Mumbai</v>
      </c>
      <c r="E6" t="str">
        <f>Sheet1!F6</f>
        <v>Furniture</v>
      </c>
      <c r="F6" t="str">
        <f>Sheet1!H6</f>
        <v>Pooja</v>
      </c>
      <c r="G6">
        <f>Sheet1!K6</f>
        <v>206980</v>
      </c>
      <c r="H6">
        <f>Sheet1!N6</f>
        <v>34168.81</v>
      </c>
      <c r="I6">
        <f t="shared" si="0"/>
        <v>1</v>
      </c>
      <c r="K6" s="24" t="s">
        <v>58</v>
      </c>
      <c r="L6" s="24">
        <f>SUMPRODUCT(($D$2:$D$1288=K6)*$I$2:$I$1288*$G$2:$G$1288)</f>
        <v>18728826.849999994</v>
      </c>
      <c r="M6" s="24">
        <f>SUMPRODUCT(($D$2:$D$1288=K6)*$I$2:$I$1288*$H$2:$H$1288)</f>
        <v>3797574.8299999973</v>
      </c>
      <c r="N6" s="24">
        <f>SUMPRODUCT(($D$2:$D$1288=K6)*$I$2:$I$1288)</f>
        <v>263</v>
      </c>
      <c r="Z6" s="24" t="s">
        <v>455</v>
      </c>
      <c r="AA6" s="24">
        <f t="shared" si="1"/>
        <v>6210795.2999999998</v>
      </c>
      <c r="AB6" s="24">
        <f t="shared" si="2"/>
        <v>1240932.3599999999</v>
      </c>
      <c r="AC6" s="24">
        <f t="shared" si="3"/>
        <v>101</v>
      </c>
    </row>
    <row r="7" spans="1:29" x14ac:dyDescent="0.3">
      <c r="A7">
        <f>Sheet1!A7</f>
        <v>1006</v>
      </c>
      <c r="B7" t="str">
        <f>Sheet1!B7</f>
        <v>2025-01-03</v>
      </c>
      <c r="C7" t="str">
        <f>TEXT(Sheet1!B7,"YYYY-MM")</f>
        <v>2025-01</v>
      </c>
      <c r="D7" t="str">
        <f>Sheet1!D7</f>
        <v>Hyderabad</v>
      </c>
      <c r="E7" t="str">
        <f>Sheet1!F7</f>
        <v>Furniture</v>
      </c>
      <c r="F7" t="str">
        <f>Sheet1!H7</f>
        <v>Ajay</v>
      </c>
      <c r="G7">
        <f>Sheet1!K7</f>
        <v>157960</v>
      </c>
      <c r="H7">
        <f>Sheet1!N7</f>
        <v>21390.53</v>
      </c>
      <c r="I7">
        <f t="shared" si="0"/>
        <v>1</v>
      </c>
      <c r="Z7" s="24" t="s">
        <v>456</v>
      </c>
      <c r="AA7" s="24">
        <f t="shared" si="1"/>
        <v>7259682.2999999998</v>
      </c>
      <c r="AB7" s="24">
        <f t="shared" si="2"/>
        <v>1486745.5099999995</v>
      </c>
      <c r="AC7" s="24">
        <f t="shared" si="3"/>
        <v>105</v>
      </c>
    </row>
    <row r="8" spans="1:29" x14ac:dyDescent="0.3">
      <c r="A8">
        <f>Sheet1!A8</f>
        <v>1007</v>
      </c>
      <c r="B8" t="str">
        <f>Sheet1!B8</f>
        <v>2025-01-03</v>
      </c>
      <c r="C8" t="str">
        <f>TEXT(Sheet1!B8,"YYYY-MM")</f>
        <v>2025-01</v>
      </c>
      <c r="D8" t="str">
        <f>Sheet1!D8</f>
        <v>Pune</v>
      </c>
      <c r="E8" t="str">
        <f>Sheet1!F8</f>
        <v>Electronics</v>
      </c>
      <c r="F8" t="str">
        <f>Sheet1!H8</f>
        <v>Rahul</v>
      </c>
      <c r="G8">
        <f>Sheet1!K8</f>
        <v>113745</v>
      </c>
      <c r="H8">
        <f>Sheet1!N8</f>
        <v>30022.959999999999</v>
      </c>
      <c r="I8">
        <f t="shared" si="0"/>
        <v>1</v>
      </c>
      <c r="Z8" s="24" t="s">
        <v>457</v>
      </c>
      <c r="AA8" s="24">
        <f t="shared" si="1"/>
        <v>9432089.3499999996</v>
      </c>
      <c r="AB8" s="24">
        <f t="shared" si="2"/>
        <v>1866301.5599999994</v>
      </c>
      <c r="AC8" s="24">
        <f t="shared" si="3"/>
        <v>120</v>
      </c>
    </row>
    <row r="9" spans="1:29" x14ac:dyDescent="0.3">
      <c r="A9">
        <f>Sheet1!A9</f>
        <v>1008</v>
      </c>
      <c r="B9" t="str">
        <f>Sheet1!B9</f>
        <v>2025-01-04</v>
      </c>
      <c r="C9" t="str">
        <f>TEXT(Sheet1!B9,"YYYY-MM")</f>
        <v>2025-01</v>
      </c>
      <c r="D9" t="str">
        <f>Sheet1!D9</f>
        <v>Mumbai</v>
      </c>
      <c r="E9" t="str">
        <f>Sheet1!F9</f>
        <v>Electronics</v>
      </c>
      <c r="F9" t="str">
        <f>Sheet1!H9</f>
        <v>Rahul</v>
      </c>
      <c r="G9">
        <f>Sheet1!K9</f>
        <v>36916.050000000003</v>
      </c>
      <c r="H9">
        <f>Sheet1!N9</f>
        <v>6036.85</v>
      </c>
      <c r="I9">
        <f t="shared" si="0"/>
        <v>1</v>
      </c>
      <c r="Z9" s="24" t="s">
        <v>458</v>
      </c>
      <c r="AA9" s="24">
        <f t="shared" si="1"/>
        <v>9116986.7000000048</v>
      </c>
      <c r="AB9" s="24">
        <f t="shared" si="2"/>
        <v>1926541.5999999996</v>
      </c>
      <c r="AC9" s="24">
        <f t="shared" si="3"/>
        <v>109</v>
      </c>
    </row>
    <row r="10" spans="1:29" x14ac:dyDescent="0.3">
      <c r="A10">
        <f>Sheet1!A10</f>
        <v>1009</v>
      </c>
      <c r="B10" t="str">
        <f>Sheet1!B10</f>
        <v>2025-01-04</v>
      </c>
      <c r="C10" t="str">
        <f>TEXT(Sheet1!B10,"YYYY-MM")</f>
        <v>2025-01</v>
      </c>
      <c r="D10" t="str">
        <f>Sheet1!D10</f>
        <v>Mumbai</v>
      </c>
      <c r="E10" t="str">
        <f>Sheet1!F10</f>
        <v>Clothing</v>
      </c>
      <c r="F10" t="str">
        <f>Sheet1!H10</f>
        <v>Sneha</v>
      </c>
      <c r="G10">
        <f>Sheet1!K10</f>
        <v>71020.800000000003</v>
      </c>
      <c r="H10">
        <f>Sheet1!N10</f>
        <v>8473.11</v>
      </c>
      <c r="I10">
        <f t="shared" si="0"/>
        <v>1</v>
      </c>
      <c r="Z10" s="24" t="s">
        <v>459</v>
      </c>
      <c r="AA10" s="24">
        <f t="shared" si="1"/>
        <v>7403277.2999999989</v>
      </c>
      <c r="AB10" s="24">
        <f t="shared" si="2"/>
        <v>1424073.16</v>
      </c>
      <c r="AC10" s="24">
        <f t="shared" si="3"/>
        <v>105</v>
      </c>
    </row>
    <row r="11" spans="1:29" x14ac:dyDescent="0.3">
      <c r="A11">
        <f>Sheet1!A11</f>
        <v>1010</v>
      </c>
      <c r="B11" t="str">
        <f>Sheet1!B11</f>
        <v>2025-01-04</v>
      </c>
      <c r="C11" t="str">
        <f>TEXT(Sheet1!B11,"YYYY-MM")</f>
        <v>2025-01</v>
      </c>
      <c r="D11" t="str">
        <f>Sheet1!D11</f>
        <v>Mumbai</v>
      </c>
      <c r="E11" t="str">
        <f>Sheet1!F11</f>
        <v>Clothing</v>
      </c>
      <c r="F11" t="str">
        <f>Sheet1!H11</f>
        <v>Rahul</v>
      </c>
      <c r="G11">
        <f>Sheet1!K11</f>
        <v>67974.5</v>
      </c>
      <c r="H11">
        <f>Sheet1!N11</f>
        <v>12850.43</v>
      </c>
      <c r="I11">
        <f t="shared" si="0"/>
        <v>1</v>
      </c>
      <c r="Z11" s="24" t="s">
        <v>460</v>
      </c>
      <c r="AA11" s="24">
        <f t="shared" si="1"/>
        <v>9315625.1499999985</v>
      </c>
      <c r="AB11" s="24">
        <f t="shared" si="2"/>
        <v>1927927.9300000011</v>
      </c>
      <c r="AC11" s="24">
        <f t="shared" si="3"/>
        <v>112</v>
      </c>
    </row>
    <row r="12" spans="1:29" x14ac:dyDescent="0.3">
      <c r="A12">
        <f>Sheet1!A12</f>
        <v>1011</v>
      </c>
      <c r="B12" t="str">
        <f>Sheet1!B12</f>
        <v>2025-01-05</v>
      </c>
      <c r="C12" t="str">
        <f>TEXT(Sheet1!B12,"YYYY-MM")</f>
        <v>2025-01</v>
      </c>
      <c r="D12" t="str">
        <f>Sheet1!D12</f>
        <v>Mumbai</v>
      </c>
      <c r="E12" t="str">
        <f>Sheet1!F12</f>
        <v>Electronics</v>
      </c>
      <c r="F12" t="str">
        <f>Sheet1!H12</f>
        <v>Ajay</v>
      </c>
      <c r="G12">
        <f>Sheet1!K12</f>
        <v>58587.45</v>
      </c>
      <c r="H12">
        <f>Sheet1!N12</f>
        <v>6595.92</v>
      </c>
      <c r="I12">
        <f t="shared" si="0"/>
        <v>1</v>
      </c>
      <c r="Z12" s="24" t="s">
        <v>461</v>
      </c>
      <c r="AA12" s="24">
        <f t="shared" si="1"/>
        <v>7558035.8499999978</v>
      </c>
      <c r="AB12" s="24">
        <f t="shared" si="2"/>
        <v>1510867.7200000009</v>
      </c>
      <c r="AC12" s="24">
        <f t="shared" si="3"/>
        <v>110</v>
      </c>
    </row>
    <row r="13" spans="1:29" x14ac:dyDescent="0.3">
      <c r="A13">
        <f>Sheet1!A13</f>
        <v>1012</v>
      </c>
      <c r="B13" t="str">
        <f>Sheet1!B13</f>
        <v>2025-01-05</v>
      </c>
      <c r="C13" t="str">
        <f>TEXT(Sheet1!B13,"YYYY-MM")</f>
        <v>2025-01</v>
      </c>
      <c r="D13" t="str">
        <f>Sheet1!D13</f>
        <v>Hyderabad</v>
      </c>
      <c r="E13" t="str">
        <f>Sheet1!F13</f>
        <v>Electronics</v>
      </c>
      <c r="F13" t="str">
        <f>Sheet1!H13</f>
        <v>Ajay</v>
      </c>
      <c r="G13">
        <f>Sheet1!K13</f>
        <v>1829.7</v>
      </c>
      <c r="H13">
        <f>Sheet1!N13</f>
        <v>199.21</v>
      </c>
      <c r="I13">
        <f t="shared" si="0"/>
        <v>1</v>
      </c>
      <c r="Z13" s="24" t="s">
        <v>9</v>
      </c>
      <c r="AA13" s="24">
        <f t="shared" si="1"/>
        <v>7153473.5999999987</v>
      </c>
      <c r="AB13" s="24">
        <f t="shared" si="2"/>
        <v>1433083.9099999997</v>
      </c>
      <c r="AC13" s="24">
        <f t="shared" si="3"/>
        <v>105</v>
      </c>
    </row>
    <row r="14" spans="1:29" x14ac:dyDescent="0.3">
      <c r="A14">
        <f>Sheet1!A14</f>
        <v>1013</v>
      </c>
      <c r="B14" t="str">
        <f>Sheet1!B14</f>
        <v>2025-01-05</v>
      </c>
      <c r="C14" t="str">
        <f>TEXT(Sheet1!B14,"YYYY-MM")</f>
        <v>2025-01</v>
      </c>
      <c r="D14" t="str">
        <f>Sheet1!D14</f>
        <v>Bangalore</v>
      </c>
      <c r="E14" t="str">
        <f>Sheet1!F14</f>
        <v>Electronics</v>
      </c>
      <c r="F14" t="str">
        <f>Sheet1!H14</f>
        <v>Pooja</v>
      </c>
      <c r="G14">
        <f>Sheet1!K14</f>
        <v>80271.199999999997</v>
      </c>
      <c r="H14">
        <f>Sheet1!N14</f>
        <v>15340.73</v>
      </c>
      <c r="I14">
        <f t="shared" si="0"/>
        <v>1</v>
      </c>
    </row>
    <row r="15" spans="1:29" x14ac:dyDescent="0.3">
      <c r="A15">
        <f>Sheet1!A15</f>
        <v>1014</v>
      </c>
      <c r="B15" t="str">
        <f>Sheet1!B15</f>
        <v>2025-01-05</v>
      </c>
      <c r="C15" t="str">
        <f>TEXT(Sheet1!B15,"YYYY-MM")</f>
        <v>2025-01</v>
      </c>
      <c r="D15" t="str">
        <f>Sheet1!D15</f>
        <v>Mumbai</v>
      </c>
      <c r="E15" t="str">
        <f>Sheet1!F15</f>
        <v>Furniture</v>
      </c>
      <c r="F15" t="str">
        <f>Sheet1!H15</f>
        <v>Sneha</v>
      </c>
      <c r="G15">
        <f>Sheet1!K15</f>
        <v>129538.8</v>
      </c>
      <c r="H15">
        <f>Sheet1!N15</f>
        <v>21019.95</v>
      </c>
      <c r="I15">
        <f t="shared" si="0"/>
        <v>1</v>
      </c>
    </row>
    <row r="16" spans="1:29" x14ac:dyDescent="0.3">
      <c r="A16">
        <f>Sheet1!A16</f>
        <v>1015</v>
      </c>
      <c r="B16" t="str">
        <f>Sheet1!B16</f>
        <v>2025-01-06</v>
      </c>
      <c r="C16" t="str">
        <f>TEXT(Sheet1!B16,"YYYY-MM")</f>
        <v>2025-01</v>
      </c>
      <c r="D16" t="str">
        <f>Sheet1!D16</f>
        <v>Mumbai</v>
      </c>
      <c r="E16" t="str">
        <f>Sheet1!F16</f>
        <v>Electronics</v>
      </c>
      <c r="F16" t="str">
        <f>Sheet1!H16</f>
        <v>Ajay</v>
      </c>
      <c r="G16">
        <f>Sheet1!K16</f>
        <v>82834</v>
      </c>
      <c r="H16">
        <f>Sheet1!N16</f>
        <v>13758.71</v>
      </c>
      <c r="I16">
        <f t="shared" si="0"/>
        <v>1</v>
      </c>
    </row>
    <row r="17" spans="1:9" x14ac:dyDescent="0.3">
      <c r="A17">
        <f>Sheet1!A17</f>
        <v>1016</v>
      </c>
      <c r="B17" t="str">
        <f>Sheet1!B17</f>
        <v>2025-01-06</v>
      </c>
      <c r="C17" t="str">
        <f>TEXT(Sheet1!B17,"YYYY-MM")</f>
        <v>2025-01</v>
      </c>
      <c r="D17" t="str">
        <f>Sheet1!D17</f>
        <v>Pune</v>
      </c>
      <c r="E17" t="str">
        <f>Sheet1!F17</f>
        <v>Furniture</v>
      </c>
      <c r="F17" t="str">
        <f>Sheet1!H17</f>
        <v>Rahul</v>
      </c>
      <c r="G17">
        <f>Sheet1!K17</f>
        <v>12194</v>
      </c>
      <c r="H17">
        <f>Sheet1!N17</f>
        <v>2550.4699999999998</v>
      </c>
      <c r="I17">
        <f t="shared" si="0"/>
        <v>1</v>
      </c>
    </row>
    <row r="18" spans="1:9" x14ac:dyDescent="0.3">
      <c r="A18">
        <f>Sheet1!A18</f>
        <v>1017</v>
      </c>
      <c r="B18" t="str">
        <f>Sheet1!B18</f>
        <v>2025-01-06</v>
      </c>
      <c r="C18" t="str">
        <f>TEXT(Sheet1!B18,"YYYY-MM")</f>
        <v>2025-01</v>
      </c>
      <c r="D18" t="str">
        <f>Sheet1!D18</f>
        <v>Delhi</v>
      </c>
      <c r="E18" t="str">
        <f>Sheet1!F18</f>
        <v>Clothing</v>
      </c>
      <c r="F18" t="str">
        <f>Sheet1!H18</f>
        <v>Sneha</v>
      </c>
      <c r="G18">
        <f>Sheet1!K18</f>
        <v>141835.5</v>
      </c>
      <c r="H18">
        <f>Sheet1!N18</f>
        <v>21722.95</v>
      </c>
      <c r="I18">
        <f t="shared" si="0"/>
        <v>1</v>
      </c>
    </row>
    <row r="19" spans="1:9" x14ac:dyDescent="0.3">
      <c r="A19">
        <f>Sheet1!A19</f>
        <v>1018</v>
      </c>
      <c r="B19" t="str">
        <f>Sheet1!B19</f>
        <v>2025-01-06</v>
      </c>
      <c r="C19" t="str">
        <f>TEXT(Sheet1!B19,"YYYY-MM")</f>
        <v>2025-01</v>
      </c>
      <c r="D19" t="str">
        <f>Sheet1!D19</f>
        <v>Delhi</v>
      </c>
      <c r="E19" t="str">
        <f>Sheet1!F19</f>
        <v>Furniture</v>
      </c>
      <c r="F19" t="str">
        <f>Sheet1!H19</f>
        <v>Rahul</v>
      </c>
      <c r="G19">
        <f>Sheet1!K19</f>
        <v>42340</v>
      </c>
      <c r="H19">
        <f>Sheet1!N19</f>
        <v>5531.83</v>
      </c>
      <c r="I19">
        <f t="shared" si="0"/>
        <v>1</v>
      </c>
    </row>
    <row r="20" spans="1:9" x14ac:dyDescent="0.3">
      <c r="A20">
        <f>Sheet1!A20</f>
        <v>1019</v>
      </c>
      <c r="B20" t="str">
        <f>Sheet1!B20</f>
        <v>2025-01-06</v>
      </c>
      <c r="C20" t="str">
        <f>TEXT(Sheet1!B20,"YYYY-MM")</f>
        <v>2025-01</v>
      </c>
      <c r="D20" t="str">
        <f>Sheet1!D20</f>
        <v>Hyderabad</v>
      </c>
      <c r="E20" t="str">
        <f>Sheet1!F20</f>
        <v>Furniture</v>
      </c>
      <c r="F20" t="str">
        <f>Sheet1!H20</f>
        <v>Rahul</v>
      </c>
      <c r="G20">
        <f>Sheet1!K20</f>
        <v>8504</v>
      </c>
      <c r="H20">
        <f>Sheet1!N20</f>
        <v>1015.88</v>
      </c>
      <c r="I20">
        <f t="shared" si="0"/>
        <v>1</v>
      </c>
    </row>
    <row r="21" spans="1:9" x14ac:dyDescent="0.3">
      <c r="A21">
        <f>Sheet1!A21</f>
        <v>1020</v>
      </c>
      <c r="B21" t="str">
        <f>Sheet1!B21</f>
        <v>2025-01-07</v>
      </c>
      <c r="C21" t="str">
        <f>TEXT(Sheet1!B21,"YYYY-MM")</f>
        <v>2025-01</v>
      </c>
      <c r="D21" t="str">
        <f>Sheet1!D21</f>
        <v>Mumbai</v>
      </c>
      <c r="E21" t="str">
        <f>Sheet1!F21</f>
        <v>Furniture</v>
      </c>
      <c r="F21" t="str">
        <f>Sheet1!H21</f>
        <v>Pooja</v>
      </c>
      <c r="G21">
        <f>Sheet1!K21</f>
        <v>21092.85</v>
      </c>
      <c r="H21">
        <f>Sheet1!N21</f>
        <v>3948.81</v>
      </c>
      <c r="I21">
        <f t="shared" si="0"/>
        <v>1</v>
      </c>
    </row>
    <row r="22" spans="1:9" x14ac:dyDescent="0.3">
      <c r="A22">
        <f>Sheet1!A22</f>
        <v>1021</v>
      </c>
      <c r="B22" t="str">
        <f>Sheet1!B22</f>
        <v>2025-01-07</v>
      </c>
      <c r="C22" t="str">
        <f>TEXT(Sheet1!B22,"YYYY-MM")</f>
        <v>2025-01</v>
      </c>
      <c r="D22" t="str">
        <f>Sheet1!D22</f>
        <v>Mumbai</v>
      </c>
      <c r="E22" t="str">
        <f>Sheet1!F22</f>
        <v>Furniture</v>
      </c>
      <c r="F22" t="str">
        <f>Sheet1!H22</f>
        <v>Rahul</v>
      </c>
      <c r="G22">
        <f>Sheet1!K22</f>
        <v>122557.5</v>
      </c>
      <c r="H22">
        <f>Sheet1!N22</f>
        <v>22166.05</v>
      </c>
      <c r="I22">
        <f t="shared" si="0"/>
        <v>1</v>
      </c>
    </row>
    <row r="23" spans="1:9" x14ac:dyDescent="0.3">
      <c r="A23">
        <f>Sheet1!A23</f>
        <v>1022</v>
      </c>
      <c r="B23" t="str">
        <f>Sheet1!B23</f>
        <v>2025-01-07</v>
      </c>
      <c r="C23" t="str">
        <f>TEXT(Sheet1!B23,"YYYY-MM")</f>
        <v>2025-01</v>
      </c>
      <c r="D23" t="str">
        <f>Sheet1!D23</f>
        <v>Hyderabad</v>
      </c>
      <c r="E23" t="str">
        <f>Sheet1!F23</f>
        <v>Clothing</v>
      </c>
      <c r="F23" t="str">
        <f>Sheet1!H23</f>
        <v>Ajay</v>
      </c>
      <c r="G23">
        <f>Sheet1!K23</f>
        <v>84360</v>
      </c>
      <c r="H23">
        <f>Sheet1!N23</f>
        <v>18150.330000000002</v>
      </c>
      <c r="I23">
        <f t="shared" si="0"/>
        <v>1</v>
      </c>
    </row>
    <row r="24" spans="1:9" x14ac:dyDescent="0.3">
      <c r="A24">
        <f>Sheet1!A24</f>
        <v>1023</v>
      </c>
      <c r="B24" t="str">
        <f>Sheet1!B24</f>
        <v>2025-01-08</v>
      </c>
      <c r="C24" t="str">
        <f>TEXT(Sheet1!B24,"YYYY-MM")</f>
        <v>2025-01</v>
      </c>
      <c r="D24" t="str">
        <f>Sheet1!D24</f>
        <v>Pune</v>
      </c>
      <c r="E24" t="str">
        <f>Sheet1!F24</f>
        <v>Furniture</v>
      </c>
      <c r="F24" t="str">
        <f>Sheet1!H24</f>
        <v>Sneha</v>
      </c>
      <c r="G24">
        <f>Sheet1!K24</f>
        <v>12491.6</v>
      </c>
      <c r="H24">
        <f>Sheet1!N24</f>
        <v>2919.66</v>
      </c>
      <c r="I24">
        <f t="shared" si="0"/>
        <v>1</v>
      </c>
    </row>
    <row r="25" spans="1:9" x14ac:dyDescent="0.3">
      <c r="A25">
        <f>Sheet1!A25</f>
        <v>1024</v>
      </c>
      <c r="B25" t="str">
        <f>Sheet1!B25</f>
        <v>2025-01-08</v>
      </c>
      <c r="C25" t="str">
        <f>TEXT(Sheet1!B25,"YYYY-MM")</f>
        <v>2025-01</v>
      </c>
      <c r="D25" t="str">
        <f>Sheet1!D25</f>
        <v>Hyderabad</v>
      </c>
      <c r="E25" t="str">
        <f>Sheet1!F25</f>
        <v>Electronics</v>
      </c>
      <c r="F25" t="str">
        <f>Sheet1!H25</f>
        <v>Ajay</v>
      </c>
      <c r="G25">
        <f>Sheet1!K25</f>
        <v>41440.9</v>
      </c>
      <c r="H25">
        <f>Sheet1!N25</f>
        <v>4574.51</v>
      </c>
      <c r="I25">
        <f t="shared" si="0"/>
        <v>1</v>
      </c>
    </row>
    <row r="26" spans="1:9" x14ac:dyDescent="0.3">
      <c r="A26">
        <f>Sheet1!A26</f>
        <v>1025</v>
      </c>
      <c r="B26" t="str">
        <f>Sheet1!B26</f>
        <v>2025-01-08</v>
      </c>
      <c r="C26" t="str">
        <f>TEXT(Sheet1!B26,"YYYY-MM")</f>
        <v>2025-01</v>
      </c>
      <c r="D26" t="str">
        <f>Sheet1!D26</f>
        <v>Mumbai</v>
      </c>
      <c r="E26" t="str">
        <f>Sheet1!F26</f>
        <v>Clothing</v>
      </c>
      <c r="F26" t="str">
        <f>Sheet1!H26</f>
        <v>Rahul</v>
      </c>
      <c r="G26">
        <f>Sheet1!K26</f>
        <v>79872.2</v>
      </c>
      <c r="H26">
        <f>Sheet1!N26</f>
        <v>13347.19</v>
      </c>
      <c r="I26">
        <f t="shared" si="0"/>
        <v>1</v>
      </c>
    </row>
    <row r="27" spans="1:9" x14ac:dyDescent="0.3">
      <c r="A27">
        <f>Sheet1!A27</f>
        <v>1026</v>
      </c>
      <c r="B27" t="str">
        <f>Sheet1!B27</f>
        <v>2025-01-09</v>
      </c>
      <c r="C27" t="str">
        <f>TEXT(Sheet1!B27,"YYYY-MM")</f>
        <v>2025-01</v>
      </c>
      <c r="D27" t="str">
        <f>Sheet1!D27</f>
        <v>Bangalore</v>
      </c>
      <c r="E27" t="str">
        <f>Sheet1!F27</f>
        <v>Electronics</v>
      </c>
      <c r="F27" t="str">
        <f>Sheet1!H27</f>
        <v>Sneha</v>
      </c>
      <c r="G27">
        <f>Sheet1!K27</f>
        <v>22720.5</v>
      </c>
      <c r="H27">
        <f>Sheet1!N27</f>
        <v>2603.14</v>
      </c>
      <c r="I27">
        <f t="shared" si="0"/>
        <v>1</v>
      </c>
    </row>
    <row r="28" spans="1:9" x14ac:dyDescent="0.3">
      <c r="A28">
        <f>Sheet1!A28</f>
        <v>1027</v>
      </c>
      <c r="B28" t="str">
        <f>Sheet1!B28</f>
        <v>2025-01-09</v>
      </c>
      <c r="C28" t="str">
        <f>TEXT(Sheet1!B28,"YYYY-MM")</f>
        <v>2025-01</v>
      </c>
      <c r="D28" t="str">
        <f>Sheet1!D28</f>
        <v>Delhi</v>
      </c>
      <c r="E28" t="str">
        <f>Sheet1!F28</f>
        <v>Clothing</v>
      </c>
      <c r="F28" t="str">
        <f>Sheet1!H28</f>
        <v>Sneha</v>
      </c>
      <c r="G28">
        <f>Sheet1!K28</f>
        <v>36769.75</v>
      </c>
      <c r="H28">
        <f>Sheet1!N28</f>
        <v>8869.92</v>
      </c>
      <c r="I28">
        <f t="shared" si="0"/>
        <v>1</v>
      </c>
    </row>
    <row r="29" spans="1:9" x14ac:dyDescent="0.3">
      <c r="A29">
        <f>Sheet1!A29</f>
        <v>1028</v>
      </c>
      <c r="B29" t="str">
        <f>Sheet1!B29</f>
        <v>2025-01-09</v>
      </c>
      <c r="C29" t="str">
        <f>TEXT(Sheet1!B29,"YYYY-MM")</f>
        <v>2025-01</v>
      </c>
      <c r="D29" t="str">
        <f>Sheet1!D29</f>
        <v>Pune</v>
      </c>
      <c r="E29" t="str">
        <f>Sheet1!F29</f>
        <v>Furniture</v>
      </c>
      <c r="F29" t="str">
        <f>Sheet1!H29</f>
        <v>Rahul</v>
      </c>
      <c r="G29">
        <f>Sheet1!K29</f>
        <v>41899.5</v>
      </c>
      <c r="H29">
        <f>Sheet1!N29</f>
        <v>4666.68</v>
      </c>
      <c r="I29">
        <f t="shared" si="0"/>
        <v>1</v>
      </c>
    </row>
    <row r="30" spans="1:9" x14ac:dyDescent="0.3">
      <c r="A30">
        <f>Sheet1!A30</f>
        <v>1029</v>
      </c>
      <c r="B30" t="str">
        <f>Sheet1!B30</f>
        <v>2025-01-09</v>
      </c>
      <c r="C30" t="str">
        <f>TEXT(Sheet1!B30,"YYYY-MM")</f>
        <v>2025-01</v>
      </c>
      <c r="D30" t="str">
        <f>Sheet1!D30</f>
        <v>Mumbai</v>
      </c>
      <c r="E30" t="str">
        <f>Sheet1!F30</f>
        <v>Furniture</v>
      </c>
      <c r="F30" t="str">
        <f>Sheet1!H30</f>
        <v>Rahul</v>
      </c>
      <c r="G30">
        <f>Sheet1!K30</f>
        <v>54716.4</v>
      </c>
      <c r="H30">
        <f>Sheet1!N30</f>
        <v>12834.94</v>
      </c>
      <c r="I30">
        <f t="shared" si="0"/>
        <v>1</v>
      </c>
    </row>
    <row r="31" spans="1:9" x14ac:dyDescent="0.3">
      <c r="A31">
        <f>Sheet1!A31</f>
        <v>1030</v>
      </c>
      <c r="B31" t="str">
        <f>Sheet1!B31</f>
        <v>2025-01-09</v>
      </c>
      <c r="C31" t="str">
        <f>TEXT(Sheet1!B31,"YYYY-MM")</f>
        <v>2025-01</v>
      </c>
      <c r="D31" t="str">
        <f>Sheet1!D31</f>
        <v>Delhi</v>
      </c>
      <c r="E31" t="str">
        <f>Sheet1!F31</f>
        <v>Electronics</v>
      </c>
      <c r="F31" t="str">
        <f>Sheet1!H31</f>
        <v>Ajay</v>
      </c>
      <c r="G31">
        <f>Sheet1!K31</f>
        <v>131152.5</v>
      </c>
      <c r="H31">
        <f>Sheet1!N31</f>
        <v>13842.6</v>
      </c>
      <c r="I31">
        <f t="shared" si="0"/>
        <v>1</v>
      </c>
    </row>
    <row r="32" spans="1:9" x14ac:dyDescent="0.3">
      <c r="A32">
        <f>Sheet1!A32</f>
        <v>1031</v>
      </c>
      <c r="B32" t="str">
        <f>Sheet1!B32</f>
        <v>2025-01-10</v>
      </c>
      <c r="C32" t="str">
        <f>TEXT(Sheet1!B32,"YYYY-MM")</f>
        <v>2025-01</v>
      </c>
      <c r="D32" t="str">
        <f>Sheet1!D32</f>
        <v>Mumbai</v>
      </c>
      <c r="E32" t="str">
        <f>Sheet1!F32</f>
        <v>Electronics</v>
      </c>
      <c r="F32" t="str">
        <f>Sheet1!H32</f>
        <v>Ajay</v>
      </c>
      <c r="G32">
        <f>Sheet1!K32</f>
        <v>14666</v>
      </c>
      <c r="H32">
        <f>Sheet1!N32</f>
        <v>2772.92</v>
      </c>
      <c r="I32">
        <f t="shared" si="0"/>
        <v>1</v>
      </c>
    </row>
    <row r="33" spans="1:9" x14ac:dyDescent="0.3">
      <c r="A33">
        <f>Sheet1!A33</f>
        <v>1032</v>
      </c>
      <c r="B33" t="str">
        <f>Sheet1!B33</f>
        <v>2025-01-10</v>
      </c>
      <c r="C33" t="str">
        <f>TEXT(Sheet1!B33,"YYYY-MM")</f>
        <v>2025-01</v>
      </c>
      <c r="D33" t="str">
        <f>Sheet1!D33</f>
        <v>Pune</v>
      </c>
      <c r="E33" t="str">
        <f>Sheet1!F33</f>
        <v>Electronics</v>
      </c>
      <c r="F33" t="str">
        <f>Sheet1!H33</f>
        <v>Ajay</v>
      </c>
      <c r="G33">
        <f>Sheet1!K33</f>
        <v>93732</v>
      </c>
      <c r="H33">
        <f>Sheet1!N33</f>
        <v>26963.14</v>
      </c>
      <c r="I33">
        <f t="shared" si="0"/>
        <v>1</v>
      </c>
    </row>
    <row r="34" spans="1:9" x14ac:dyDescent="0.3">
      <c r="A34">
        <f>Sheet1!A34</f>
        <v>1033</v>
      </c>
      <c r="B34" t="str">
        <f>Sheet1!B34</f>
        <v>2025-01-10</v>
      </c>
      <c r="C34" t="str">
        <f>TEXT(Sheet1!B34,"YYYY-MM")</f>
        <v>2025-01</v>
      </c>
      <c r="D34" t="str">
        <f>Sheet1!D34</f>
        <v>Hyderabad</v>
      </c>
      <c r="E34" t="str">
        <f>Sheet1!F34</f>
        <v>Clothing</v>
      </c>
      <c r="F34" t="str">
        <f>Sheet1!H34</f>
        <v>Pooja</v>
      </c>
      <c r="G34">
        <f>Sheet1!K34</f>
        <v>137271.6</v>
      </c>
      <c r="H34">
        <f>Sheet1!N34</f>
        <v>33440.870000000003</v>
      </c>
      <c r="I34">
        <f t="shared" si="0"/>
        <v>1</v>
      </c>
    </row>
    <row r="35" spans="1:9" x14ac:dyDescent="0.3">
      <c r="A35">
        <f>Sheet1!A35</f>
        <v>1034</v>
      </c>
      <c r="B35" t="str">
        <f>Sheet1!B35</f>
        <v>2025-01-10</v>
      </c>
      <c r="C35" t="str">
        <f>TEXT(Sheet1!B35,"YYYY-MM")</f>
        <v>2025-01</v>
      </c>
      <c r="D35" t="str">
        <f>Sheet1!D35</f>
        <v>Mumbai</v>
      </c>
      <c r="E35" t="str">
        <f>Sheet1!F35</f>
        <v>Clothing</v>
      </c>
      <c r="F35" t="str">
        <f>Sheet1!H35</f>
        <v>Ajay</v>
      </c>
      <c r="G35">
        <f>Sheet1!K35</f>
        <v>15138</v>
      </c>
      <c r="H35">
        <f>Sheet1!N35</f>
        <v>2248.4699999999998</v>
      </c>
      <c r="I35">
        <f t="shared" si="0"/>
        <v>1</v>
      </c>
    </row>
    <row r="36" spans="1:9" x14ac:dyDescent="0.3">
      <c r="A36">
        <f>Sheet1!A36</f>
        <v>1035</v>
      </c>
      <c r="B36" t="str">
        <f>Sheet1!B36</f>
        <v>2025-01-11</v>
      </c>
      <c r="C36" t="str">
        <f>TEXT(Sheet1!B36,"YYYY-MM")</f>
        <v>2025-01</v>
      </c>
      <c r="D36" t="str">
        <f>Sheet1!D36</f>
        <v>Bangalore</v>
      </c>
      <c r="E36" t="str">
        <f>Sheet1!F36</f>
        <v>Electronics</v>
      </c>
      <c r="F36" t="str">
        <f>Sheet1!H36</f>
        <v>Pooja</v>
      </c>
      <c r="G36">
        <f>Sheet1!K36</f>
        <v>1803.7</v>
      </c>
      <c r="H36">
        <f>Sheet1!N36</f>
        <v>395.46</v>
      </c>
      <c r="I36">
        <f t="shared" si="0"/>
        <v>1</v>
      </c>
    </row>
    <row r="37" spans="1:9" x14ac:dyDescent="0.3">
      <c r="A37">
        <f>Sheet1!A37</f>
        <v>1036</v>
      </c>
      <c r="B37" t="str">
        <f>Sheet1!B37</f>
        <v>2025-01-11</v>
      </c>
      <c r="C37" t="str">
        <f>TEXT(Sheet1!B37,"YYYY-MM")</f>
        <v>2025-01</v>
      </c>
      <c r="D37" t="str">
        <f>Sheet1!D37</f>
        <v>Mumbai</v>
      </c>
      <c r="E37" t="str">
        <f>Sheet1!F37</f>
        <v>Furniture</v>
      </c>
      <c r="F37" t="str">
        <f>Sheet1!H37</f>
        <v>Pooja</v>
      </c>
      <c r="G37">
        <f>Sheet1!K37</f>
        <v>46528.2</v>
      </c>
      <c r="H37">
        <f>Sheet1!N37</f>
        <v>10762.31</v>
      </c>
      <c r="I37">
        <f t="shared" si="0"/>
        <v>1</v>
      </c>
    </row>
    <row r="38" spans="1:9" x14ac:dyDescent="0.3">
      <c r="A38">
        <f>Sheet1!A38</f>
        <v>1037</v>
      </c>
      <c r="B38" t="str">
        <f>Sheet1!B38</f>
        <v>2025-01-11</v>
      </c>
      <c r="C38" t="str">
        <f>TEXT(Sheet1!B38,"YYYY-MM")</f>
        <v>2025-01</v>
      </c>
      <c r="D38" t="str">
        <f>Sheet1!D38</f>
        <v>Mumbai</v>
      </c>
      <c r="E38" t="str">
        <f>Sheet1!F38</f>
        <v>Furniture</v>
      </c>
      <c r="F38" t="str">
        <f>Sheet1!H38</f>
        <v>Ajay</v>
      </c>
      <c r="G38">
        <f>Sheet1!K38</f>
        <v>205615</v>
      </c>
      <c r="H38">
        <f>Sheet1!N38</f>
        <v>34507.800000000003</v>
      </c>
      <c r="I38">
        <f t="shared" si="0"/>
        <v>1</v>
      </c>
    </row>
    <row r="39" spans="1:9" x14ac:dyDescent="0.3">
      <c r="A39">
        <f>Sheet1!A39</f>
        <v>1038</v>
      </c>
      <c r="B39" t="str">
        <f>Sheet1!B39</f>
        <v>2025-01-12</v>
      </c>
      <c r="C39" t="str">
        <f>TEXT(Sheet1!B39,"YYYY-MM")</f>
        <v>2025-01</v>
      </c>
      <c r="D39" t="str">
        <f>Sheet1!D39</f>
        <v>Mumbai</v>
      </c>
      <c r="E39" t="str">
        <f>Sheet1!F39</f>
        <v>Furniture</v>
      </c>
      <c r="F39" t="str">
        <f>Sheet1!H39</f>
        <v>Rahul</v>
      </c>
      <c r="G39">
        <f>Sheet1!K39</f>
        <v>29108</v>
      </c>
      <c r="H39">
        <f>Sheet1!N39</f>
        <v>6701.95</v>
      </c>
      <c r="I39">
        <f t="shared" si="0"/>
        <v>1</v>
      </c>
    </row>
    <row r="40" spans="1:9" x14ac:dyDescent="0.3">
      <c r="A40">
        <f>Sheet1!A40</f>
        <v>1039</v>
      </c>
      <c r="B40" t="str">
        <f>Sheet1!B40</f>
        <v>2025-01-12</v>
      </c>
      <c r="C40" t="str">
        <f>TEXT(Sheet1!B40,"YYYY-MM")</f>
        <v>2025-01</v>
      </c>
      <c r="D40" t="str">
        <f>Sheet1!D40</f>
        <v>Delhi</v>
      </c>
      <c r="E40" t="str">
        <f>Sheet1!F40</f>
        <v>Electronics</v>
      </c>
      <c r="F40" t="str">
        <f>Sheet1!H40</f>
        <v>Ajay</v>
      </c>
      <c r="G40">
        <f>Sheet1!K40</f>
        <v>190197</v>
      </c>
      <c r="H40">
        <f>Sheet1!N40</f>
        <v>25035.77</v>
      </c>
      <c r="I40">
        <f t="shared" si="0"/>
        <v>1</v>
      </c>
    </row>
    <row r="41" spans="1:9" x14ac:dyDescent="0.3">
      <c r="A41">
        <f>Sheet1!A41</f>
        <v>1040</v>
      </c>
      <c r="B41" t="str">
        <f>Sheet1!B41</f>
        <v>2025-01-12</v>
      </c>
      <c r="C41" t="str">
        <f>TEXT(Sheet1!B41,"YYYY-MM")</f>
        <v>2025-01</v>
      </c>
      <c r="D41" t="str">
        <f>Sheet1!D41</f>
        <v>Bangalore</v>
      </c>
      <c r="E41" t="str">
        <f>Sheet1!F41</f>
        <v>Electronics</v>
      </c>
      <c r="F41" t="str">
        <f>Sheet1!H41</f>
        <v>Rahul</v>
      </c>
      <c r="G41">
        <f>Sheet1!K41</f>
        <v>124915.5</v>
      </c>
      <c r="H41">
        <f>Sheet1!N41</f>
        <v>27202.65</v>
      </c>
      <c r="I41">
        <f t="shared" si="0"/>
        <v>1</v>
      </c>
    </row>
    <row r="42" spans="1:9" x14ac:dyDescent="0.3">
      <c r="A42">
        <f>Sheet1!A42</f>
        <v>1041</v>
      </c>
      <c r="B42" t="str">
        <f>Sheet1!B42</f>
        <v>2025-01-13</v>
      </c>
      <c r="C42" t="str">
        <f>TEXT(Sheet1!B42,"YYYY-MM")</f>
        <v>2025-01</v>
      </c>
      <c r="D42" t="str">
        <f>Sheet1!D42</f>
        <v>Pune</v>
      </c>
      <c r="E42" t="str">
        <f>Sheet1!F42</f>
        <v>Furniture</v>
      </c>
      <c r="F42" t="str">
        <f>Sheet1!H42</f>
        <v>Pooja</v>
      </c>
      <c r="G42">
        <f>Sheet1!K42</f>
        <v>43060</v>
      </c>
      <c r="H42">
        <f>Sheet1!N42</f>
        <v>6782.52</v>
      </c>
      <c r="I42">
        <f t="shared" si="0"/>
        <v>1</v>
      </c>
    </row>
    <row r="43" spans="1:9" x14ac:dyDescent="0.3">
      <c r="A43">
        <f>Sheet1!A43</f>
        <v>1042</v>
      </c>
      <c r="B43" t="str">
        <f>Sheet1!B43</f>
        <v>2025-01-13</v>
      </c>
      <c r="C43" t="str">
        <f>TEXT(Sheet1!B43,"YYYY-MM")</f>
        <v>2025-01</v>
      </c>
      <c r="D43" t="str">
        <f>Sheet1!D43</f>
        <v>Pune</v>
      </c>
      <c r="E43" t="str">
        <f>Sheet1!F43</f>
        <v>Furniture</v>
      </c>
      <c r="F43" t="str">
        <f>Sheet1!H43</f>
        <v>Rahul</v>
      </c>
      <c r="G43">
        <f>Sheet1!K43</f>
        <v>29076.65</v>
      </c>
      <c r="H43">
        <f>Sheet1!N43</f>
        <v>5647.78</v>
      </c>
      <c r="I43">
        <f t="shared" si="0"/>
        <v>1</v>
      </c>
    </row>
    <row r="44" spans="1:9" x14ac:dyDescent="0.3">
      <c r="A44">
        <f>Sheet1!A44</f>
        <v>1043</v>
      </c>
      <c r="B44" t="str">
        <f>Sheet1!B44</f>
        <v>2025-01-13</v>
      </c>
      <c r="C44" t="str">
        <f>TEXT(Sheet1!B44,"YYYY-MM")</f>
        <v>2025-01</v>
      </c>
      <c r="D44" t="str">
        <f>Sheet1!D44</f>
        <v>Bangalore</v>
      </c>
      <c r="E44" t="str">
        <f>Sheet1!F44</f>
        <v>Clothing</v>
      </c>
      <c r="F44" t="str">
        <f>Sheet1!H44</f>
        <v>Ajay</v>
      </c>
      <c r="G44">
        <f>Sheet1!K44</f>
        <v>30339.200000000001</v>
      </c>
      <c r="H44">
        <f>Sheet1!N44</f>
        <v>5120.08</v>
      </c>
      <c r="I44">
        <f t="shared" si="0"/>
        <v>1</v>
      </c>
    </row>
    <row r="45" spans="1:9" x14ac:dyDescent="0.3">
      <c r="A45">
        <f>Sheet1!A45</f>
        <v>1044</v>
      </c>
      <c r="B45" t="str">
        <f>Sheet1!B45</f>
        <v>2025-01-14</v>
      </c>
      <c r="C45" t="str">
        <f>TEXT(Sheet1!B45,"YYYY-MM")</f>
        <v>2025-01</v>
      </c>
      <c r="D45" t="str">
        <f>Sheet1!D45</f>
        <v>Mumbai</v>
      </c>
      <c r="E45" t="str">
        <f>Sheet1!F45</f>
        <v>Clothing</v>
      </c>
      <c r="F45" t="str">
        <f>Sheet1!H45</f>
        <v>Pooja</v>
      </c>
      <c r="G45">
        <f>Sheet1!K45</f>
        <v>83548</v>
      </c>
      <c r="H45">
        <f>Sheet1!N45</f>
        <v>20356.38</v>
      </c>
      <c r="I45">
        <f t="shared" si="0"/>
        <v>1</v>
      </c>
    </row>
    <row r="46" spans="1:9" x14ac:dyDescent="0.3">
      <c r="A46">
        <f>Sheet1!A46</f>
        <v>1045</v>
      </c>
      <c r="B46" t="str">
        <f>Sheet1!B46</f>
        <v>2025-01-14</v>
      </c>
      <c r="C46" t="str">
        <f>TEXT(Sheet1!B46,"YYYY-MM")</f>
        <v>2025-01</v>
      </c>
      <c r="D46" t="str">
        <f>Sheet1!D46</f>
        <v>Hyderabad</v>
      </c>
      <c r="E46" t="str">
        <f>Sheet1!F46</f>
        <v>Furniture</v>
      </c>
      <c r="F46" t="str">
        <f>Sheet1!H46</f>
        <v>Rahul</v>
      </c>
      <c r="G46">
        <f>Sheet1!K46</f>
        <v>7036.3</v>
      </c>
      <c r="H46">
        <f>Sheet1!N46</f>
        <v>762.79</v>
      </c>
      <c r="I46">
        <f t="shared" si="0"/>
        <v>1</v>
      </c>
    </row>
    <row r="47" spans="1:9" x14ac:dyDescent="0.3">
      <c r="A47">
        <f>Sheet1!A47</f>
        <v>1046</v>
      </c>
      <c r="B47" t="str">
        <f>Sheet1!B47</f>
        <v>2025-01-14</v>
      </c>
      <c r="C47" t="str">
        <f>TEXT(Sheet1!B47,"YYYY-MM")</f>
        <v>2025-01</v>
      </c>
      <c r="D47" t="str">
        <f>Sheet1!D47</f>
        <v>Pune</v>
      </c>
      <c r="E47" t="str">
        <f>Sheet1!F47</f>
        <v>Clothing</v>
      </c>
      <c r="F47" t="str">
        <f>Sheet1!H47</f>
        <v>Rahul</v>
      </c>
      <c r="G47">
        <f>Sheet1!K47</f>
        <v>119053.8</v>
      </c>
      <c r="H47">
        <f>Sheet1!N47</f>
        <v>24583.19</v>
      </c>
      <c r="I47">
        <f t="shared" si="0"/>
        <v>1</v>
      </c>
    </row>
    <row r="48" spans="1:9" x14ac:dyDescent="0.3">
      <c r="A48">
        <f>Sheet1!A48</f>
        <v>1047</v>
      </c>
      <c r="B48" t="str">
        <f>Sheet1!B48</f>
        <v>2025-01-14</v>
      </c>
      <c r="C48" t="str">
        <f>TEXT(Sheet1!B48,"YYYY-MM")</f>
        <v>2025-01</v>
      </c>
      <c r="D48" t="str">
        <f>Sheet1!D48</f>
        <v>Hyderabad</v>
      </c>
      <c r="E48" t="str">
        <f>Sheet1!F48</f>
        <v>Electronics</v>
      </c>
      <c r="F48" t="str">
        <f>Sheet1!H48</f>
        <v>Sneha</v>
      </c>
      <c r="G48">
        <f>Sheet1!K48</f>
        <v>130540.5</v>
      </c>
      <c r="H48">
        <f>Sheet1!N48</f>
        <v>36300.71</v>
      </c>
      <c r="I48">
        <f t="shared" si="0"/>
        <v>1</v>
      </c>
    </row>
    <row r="49" spans="1:9" x14ac:dyDescent="0.3">
      <c r="A49">
        <f>Sheet1!A49</f>
        <v>1048</v>
      </c>
      <c r="B49" t="str">
        <f>Sheet1!B49</f>
        <v>2025-01-14</v>
      </c>
      <c r="C49" t="str">
        <f>TEXT(Sheet1!B49,"YYYY-MM")</f>
        <v>2025-01</v>
      </c>
      <c r="D49" t="str">
        <f>Sheet1!D49</f>
        <v>Pune</v>
      </c>
      <c r="E49" t="str">
        <f>Sheet1!F49</f>
        <v>Furniture</v>
      </c>
      <c r="F49" t="str">
        <f>Sheet1!H49</f>
        <v>Ajay</v>
      </c>
      <c r="G49">
        <f>Sheet1!K49</f>
        <v>8199.1</v>
      </c>
      <c r="H49">
        <f>Sheet1!N49</f>
        <v>1570.19</v>
      </c>
      <c r="I49">
        <f t="shared" si="0"/>
        <v>1</v>
      </c>
    </row>
    <row r="50" spans="1:9" x14ac:dyDescent="0.3">
      <c r="A50">
        <f>Sheet1!A50</f>
        <v>1049</v>
      </c>
      <c r="B50" t="str">
        <f>Sheet1!B50</f>
        <v>2025-01-15</v>
      </c>
      <c r="C50" t="str">
        <f>TEXT(Sheet1!B50,"YYYY-MM")</f>
        <v>2025-01</v>
      </c>
      <c r="D50" t="str">
        <f>Sheet1!D50</f>
        <v>Delhi</v>
      </c>
      <c r="E50" t="str">
        <f>Sheet1!F50</f>
        <v>Electronics</v>
      </c>
      <c r="F50" t="str">
        <f>Sheet1!H50</f>
        <v>Pooja</v>
      </c>
      <c r="G50">
        <f>Sheet1!K50</f>
        <v>182911.5</v>
      </c>
      <c r="H50">
        <f>Sheet1!N50</f>
        <v>22828.84</v>
      </c>
      <c r="I50">
        <f t="shared" si="0"/>
        <v>1</v>
      </c>
    </row>
    <row r="51" spans="1:9" x14ac:dyDescent="0.3">
      <c r="A51">
        <f>Sheet1!A51</f>
        <v>1050</v>
      </c>
      <c r="B51" t="str">
        <f>Sheet1!B51</f>
        <v>2025-01-15</v>
      </c>
      <c r="C51" t="str">
        <f>TEXT(Sheet1!B51,"YYYY-MM")</f>
        <v>2025-01</v>
      </c>
      <c r="D51" t="str">
        <f>Sheet1!D51</f>
        <v>Mumbai</v>
      </c>
      <c r="E51" t="str">
        <f>Sheet1!F51</f>
        <v>Furniture</v>
      </c>
      <c r="F51" t="str">
        <f>Sheet1!H51</f>
        <v>Ajay</v>
      </c>
      <c r="G51">
        <f>Sheet1!K51</f>
        <v>138969</v>
      </c>
      <c r="H51">
        <f>Sheet1!N51</f>
        <v>32156.79</v>
      </c>
      <c r="I51">
        <f t="shared" si="0"/>
        <v>1</v>
      </c>
    </row>
    <row r="52" spans="1:9" x14ac:dyDescent="0.3">
      <c r="A52">
        <f>Sheet1!A52</f>
        <v>1051</v>
      </c>
      <c r="B52" t="str">
        <f>Sheet1!B52</f>
        <v>2025-01-15</v>
      </c>
      <c r="C52" t="str">
        <f>TEXT(Sheet1!B52,"YYYY-MM")</f>
        <v>2025-01</v>
      </c>
      <c r="D52" t="str">
        <f>Sheet1!D52</f>
        <v>Delhi</v>
      </c>
      <c r="E52" t="str">
        <f>Sheet1!F52</f>
        <v>Electronics</v>
      </c>
      <c r="F52" t="str">
        <f>Sheet1!H52</f>
        <v>Pooja</v>
      </c>
      <c r="G52">
        <f>Sheet1!K52</f>
        <v>123205.5</v>
      </c>
      <c r="H52">
        <f>Sheet1!N52</f>
        <v>34405.47</v>
      </c>
      <c r="I52">
        <f t="shared" si="0"/>
        <v>1</v>
      </c>
    </row>
    <row r="53" spans="1:9" x14ac:dyDescent="0.3">
      <c r="A53">
        <f>Sheet1!A53</f>
        <v>1052</v>
      </c>
      <c r="B53" t="str">
        <f>Sheet1!B53</f>
        <v>2025-01-15</v>
      </c>
      <c r="C53" t="str">
        <f>TEXT(Sheet1!B53,"YYYY-MM")</f>
        <v>2025-01</v>
      </c>
      <c r="D53" t="str">
        <f>Sheet1!D53</f>
        <v>Hyderabad</v>
      </c>
      <c r="E53" t="str">
        <f>Sheet1!F53</f>
        <v>Electronics</v>
      </c>
      <c r="F53" t="str">
        <f>Sheet1!H53</f>
        <v>Sneha</v>
      </c>
      <c r="G53">
        <f>Sheet1!K53</f>
        <v>66674</v>
      </c>
      <c r="H53">
        <f>Sheet1!N53</f>
        <v>7773.51</v>
      </c>
      <c r="I53">
        <f t="shared" si="0"/>
        <v>1</v>
      </c>
    </row>
    <row r="54" spans="1:9" x14ac:dyDescent="0.3">
      <c r="A54">
        <f>Sheet1!A54</f>
        <v>1053</v>
      </c>
      <c r="B54" t="str">
        <f>Sheet1!B54</f>
        <v>2025-01-16</v>
      </c>
      <c r="C54" t="str">
        <f>TEXT(Sheet1!B54,"YYYY-MM")</f>
        <v>2025-01</v>
      </c>
      <c r="D54" t="str">
        <f>Sheet1!D54</f>
        <v>Bangalore</v>
      </c>
      <c r="E54" t="str">
        <f>Sheet1!F54</f>
        <v>Electronics</v>
      </c>
      <c r="F54" t="str">
        <f>Sheet1!H54</f>
        <v>Ajay</v>
      </c>
      <c r="G54">
        <f>Sheet1!K54</f>
        <v>89486</v>
      </c>
      <c r="H54">
        <f>Sheet1!N54</f>
        <v>23646.05</v>
      </c>
      <c r="I54">
        <f t="shared" si="0"/>
        <v>1</v>
      </c>
    </row>
    <row r="55" spans="1:9" x14ac:dyDescent="0.3">
      <c r="A55">
        <f>Sheet1!A55</f>
        <v>1054</v>
      </c>
      <c r="B55" t="str">
        <f>Sheet1!B55</f>
        <v>2025-01-16</v>
      </c>
      <c r="C55" t="str">
        <f>TEXT(Sheet1!B55,"YYYY-MM")</f>
        <v>2025-01</v>
      </c>
      <c r="D55" t="str">
        <f>Sheet1!D55</f>
        <v>Mumbai</v>
      </c>
      <c r="E55" t="str">
        <f>Sheet1!F55</f>
        <v>Furniture</v>
      </c>
      <c r="F55" t="str">
        <f>Sheet1!H55</f>
        <v>Ajay</v>
      </c>
      <c r="G55">
        <f>Sheet1!K55</f>
        <v>34632.25</v>
      </c>
      <c r="H55">
        <f>Sheet1!N55</f>
        <v>5846.46</v>
      </c>
      <c r="I55">
        <f t="shared" si="0"/>
        <v>1</v>
      </c>
    </row>
    <row r="56" spans="1:9" x14ac:dyDescent="0.3">
      <c r="A56">
        <f>Sheet1!A56</f>
        <v>1055</v>
      </c>
      <c r="B56" t="str">
        <f>Sheet1!B56</f>
        <v>2025-01-16</v>
      </c>
      <c r="C56" t="str">
        <f>TEXT(Sheet1!B56,"YYYY-MM")</f>
        <v>2025-01</v>
      </c>
      <c r="D56" t="str">
        <f>Sheet1!D56</f>
        <v>Mumbai</v>
      </c>
      <c r="E56" t="str">
        <f>Sheet1!F56</f>
        <v>Electronics</v>
      </c>
      <c r="F56" t="str">
        <f>Sheet1!H56</f>
        <v>Ajay</v>
      </c>
      <c r="G56">
        <f>Sheet1!K56</f>
        <v>110580</v>
      </c>
      <c r="H56">
        <f>Sheet1!N56</f>
        <v>16349.37</v>
      </c>
      <c r="I56">
        <f t="shared" si="0"/>
        <v>1</v>
      </c>
    </row>
    <row r="57" spans="1:9" x14ac:dyDescent="0.3">
      <c r="A57">
        <f>Sheet1!A57</f>
        <v>1056</v>
      </c>
      <c r="B57" t="str">
        <f>Sheet1!B57</f>
        <v>2025-01-17</v>
      </c>
      <c r="C57" t="str">
        <f>TEXT(Sheet1!B57,"YYYY-MM")</f>
        <v>2025-01</v>
      </c>
      <c r="D57" t="str">
        <f>Sheet1!D57</f>
        <v>Bangalore</v>
      </c>
      <c r="E57" t="str">
        <f>Sheet1!F57</f>
        <v>Electronics</v>
      </c>
      <c r="F57" t="str">
        <f>Sheet1!H57</f>
        <v>Sneha</v>
      </c>
      <c r="G57">
        <f>Sheet1!K57</f>
        <v>56917.35</v>
      </c>
      <c r="H57">
        <f>Sheet1!N57</f>
        <v>11123.07</v>
      </c>
      <c r="I57">
        <f t="shared" si="0"/>
        <v>1</v>
      </c>
    </row>
    <row r="58" spans="1:9" x14ac:dyDescent="0.3">
      <c r="A58">
        <f>Sheet1!A58</f>
        <v>1057</v>
      </c>
      <c r="B58" t="str">
        <f>Sheet1!B58</f>
        <v>2025-01-17</v>
      </c>
      <c r="C58" t="str">
        <f>TEXT(Sheet1!B58,"YYYY-MM")</f>
        <v>2025-01</v>
      </c>
      <c r="D58" t="str">
        <f>Sheet1!D58</f>
        <v>Pune</v>
      </c>
      <c r="E58" t="str">
        <f>Sheet1!F58</f>
        <v>Clothing</v>
      </c>
      <c r="F58" t="str">
        <f>Sheet1!H58</f>
        <v>Ajay</v>
      </c>
      <c r="G58">
        <f>Sheet1!K58</f>
        <v>30321</v>
      </c>
      <c r="H58">
        <f>Sheet1!N58</f>
        <v>7264.76</v>
      </c>
      <c r="I58">
        <f t="shared" si="0"/>
        <v>1</v>
      </c>
    </row>
    <row r="59" spans="1:9" x14ac:dyDescent="0.3">
      <c r="A59">
        <f>Sheet1!A59</f>
        <v>1058</v>
      </c>
      <c r="B59" t="str">
        <f>Sheet1!B59</f>
        <v>2025-01-18</v>
      </c>
      <c r="C59" t="str">
        <f>TEXT(Sheet1!B59,"YYYY-MM")</f>
        <v>2025-01</v>
      </c>
      <c r="D59" t="str">
        <f>Sheet1!D59</f>
        <v>Delhi</v>
      </c>
      <c r="E59" t="str">
        <f>Sheet1!F59</f>
        <v>Electronics</v>
      </c>
      <c r="F59" t="str">
        <f>Sheet1!H59</f>
        <v>Rahul</v>
      </c>
      <c r="G59">
        <f>Sheet1!K59</f>
        <v>49092.6</v>
      </c>
      <c r="H59">
        <f>Sheet1!N59</f>
        <v>6604.66</v>
      </c>
      <c r="I59">
        <f t="shared" si="0"/>
        <v>1</v>
      </c>
    </row>
    <row r="60" spans="1:9" x14ac:dyDescent="0.3">
      <c r="A60">
        <f>Sheet1!A60</f>
        <v>1059</v>
      </c>
      <c r="B60" t="str">
        <f>Sheet1!B60</f>
        <v>2025-01-18</v>
      </c>
      <c r="C60" t="str">
        <f>TEXT(Sheet1!B60,"YYYY-MM")</f>
        <v>2025-01</v>
      </c>
      <c r="D60" t="str">
        <f>Sheet1!D60</f>
        <v>Bangalore</v>
      </c>
      <c r="E60" t="str">
        <f>Sheet1!F60</f>
        <v>Furniture</v>
      </c>
      <c r="F60" t="str">
        <f>Sheet1!H60</f>
        <v>Rahul</v>
      </c>
      <c r="G60">
        <f>Sheet1!K60</f>
        <v>12438</v>
      </c>
      <c r="H60">
        <f>Sheet1!N60</f>
        <v>1759.39</v>
      </c>
      <c r="I60">
        <f t="shared" si="0"/>
        <v>1</v>
      </c>
    </row>
    <row r="61" spans="1:9" x14ac:dyDescent="0.3">
      <c r="A61">
        <f>Sheet1!A61</f>
        <v>1060</v>
      </c>
      <c r="B61" t="str">
        <f>Sheet1!B61</f>
        <v>2025-01-18</v>
      </c>
      <c r="C61" t="str">
        <f>TEXT(Sheet1!B61,"YYYY-MM")</f>
        <v>2025-01</v>
      </c>
      <c r="D61" t="str">
        <f>Sheet1!D61</f>
        <v>Delhi</v>
      </c>
      <c r="E61" t="str">
        <f>Sheet1!F61</f>
        <v>Electronics</v>
      </c>
      <c r="F61" t="str">
        <f>Sheet1!H61</f>
        <v>Rahul</v>
      </c>
      <c r="G61">
        <f>Sheet1!K61</f>
        <v>35172</v>
      </c>
      <c r="H61">
        <f>Sheet1!N61</f>
        <v>4402.43</v>
      </c>
      <c r="I61">
        <f t="shared" si="0"/>
        <v>1</v>
      </c>
    </row>
    <row r="62" spans="1:9" x14ac:dyDescent="0.3">
      <c r="A62">
        <f>Sheet1!A62</f>
        <v>1061</v>
      </c>
      <c r="B62" t="str">
        <f>Sheet1!B62</f>
        <v>2025-01-18</v>
      </c>
      <c r="C62" t="str">
        <f>TEXT(Sheet1!B62,"YYYY-MM")</f>
        <v>2025-01</v>
      </c>
      <c r="D62" t="str">
        <f>Sheet1!D62</f>
        <v>Delhi</v>
      </c>
      <c r="E62" t="str">
        <f>Sheet1!F62</f>
        <v>Clothing</v>
      </c>
      <c r="F62" t="str">
        <f>Sheet1!H62</f>
        <v>Ajay</v>
      </c>
      <c r="G62">
        <f>Sheet1!K62</f>
        <v>189440</v>
      </c>
      <c r="H62">
        <f>Sheet1!N62</f>
        <v>34380.83</v>
      </c>
      <c r="I62">
        <f t="shared" si="0"/>
        <v>1</v>
      </c>
    </row>
    <row r="63" spans="1:9" x14ac:dyDescent="0.3">
      <c r="A63">
        <f>Sheet1!A63</f>
        <v>1062</v>
      </c>
      <c r="B63" t="str">
        <f>Sheet1!B63</f>
        <v>2025-01-19</v>
      </c>
      <c r="C63" t="str">
        <f>TEXT(Sheet1!B63,"YYYY-MM")</f>
        <v>2025-01</v>
      </c>
      <c r="D63" t="str">
        <f>Sheet1!D63</f>
        <v>Bangalore</v>
      </c>
      <c r="E63" t="str">
        <f>Sheet1!F63</f>
        <v>Clothing</v>
      </c>
      <c r="F63" t="str">
        <f>Sheet1!H63</f>
        <v>Ajay</v>
      </c>
      <c r="G63">
        <f>Sheet1!K63</f>
        <v>14010.6</v>
      </c>
      <c r="H63">
        <f>Sheet1!N63</f>
        <v>2180.59</v>
      </c>
      <c r="I63">
        <f t="shared" si="0"/>
        <v>1</v>
      </c>
    </row>
    <row r="64" spans="1:9" x14ac:dyDescent="0.3">
      <c r="A64">
        <f>Sheet1!A64</f>
        <v>1063</v>
      </c>
      <c r="B64" t="str">
        <f>Sheet1!B64</f>
        <v>2025-01-19</v>
      </c>
      <c r="C64" t="str">
        <f>TEXT(Sheet1!B64,"YYYY-MM")</f>
        <v>2025-01</v>
      </c>
      <c r="D64" t="str">
        <f>Sheet1!D64</f>
        <v>Bangalore</v>
      </c>
      <c r="E64" t="str">
        <f>Sheet1!F64</f>
        <v>Furniture</v>
      </c>
      <c r="F64" t="str">
        <f>Sheet1!H64</f>
        <v>Ajay</v>
      </c>
      <c r="G64">
        <f>Sheet1!K64</f>
        <v>73569.2</v>
      </c>
      <c r="H64">
        <f>Sheet1!N64</f>
        <v>17340.79</v>
      </c>
      <c r="I64">
        <f t="shared" si="0"/>
        <v>1</v>
      </c>
    </row>
    <row r="65" spans="1:9" x14ac:dyDescent="0.3">
      <c r="A65">
        <f>Sheet1!A65</f>
        <v>1064</v>
      </c>
      <c r="B65" t="str">
        <f>Sheet1!B65</f>
        <v>2025-01-20</v>
      </c>
      <c r="C65" t="str">
        <f>TEXT(Sheet1!B65,"YYYY-MM")</f>
        <v>2025-01</v>
      </c>
      <c r="D65" t="str">
        <f>Sheet1!D65</f>
        <v>Mumbai</v>
      </c>
      <c r="E65" t="str">
        <f>Sheet1!F65</f>
        <v>Furniture</v>
      </c>
      <c r="F65" t="str">
        <f>Sheet1!H65</f>
        <v>Ajay</v>
      </c>
      <c r="G65">
        <f>Sheet1!K65</f>
        <v>42384.4</v>
      </c>
      <c r="H65">
        <f>Sheet1!N65</f>
        <v>7665.68</v>
      </c>
      <c r="I65">
        <f t="shared" si="0"/>
        <v>1</v>
      </c>
    </row>
    <row r="66" spans="1:9" x14ac:dyDescent="0.3">
      <c r="A66">
        <f>Sheet1!A66</f>
        <v>1065</v>
      </c>
      <c r="B66" t="str">
        <f>Sheet1!B66</f>
        <v>2025-01-20</v>
      </c>
      <c r="C66" t="str">
        <f>TEXT(Sheet1!B66,"YYYY-MM")</f>
        <v>2025-01</v>
      </c>
      <c r="D66" t="str">
        <f>Sheet1!D66</f>
        <v>Pune</v>
      </c>
      <c r="E66" t="str">
        <f>Sheet1!F66</f>
        <v>Clothing</v>
      </c>
      <c r="F66" t="str">
        <f>Sheet1!H66</f>
        <v>Ajay</v>
      </c>
      <c r="G66">
        <f>Sheet1!K66</f>
        <v>62181.75</v>
      </c>
      <c r="H66">
        <f>Sheet1!N66</f>
        <v>11157.43</v>
      </c>
      <c r="I66">
        <f t="shared" ref="I66:I129" si="4">IF(AND(OR(FilterCity="All",D66=FilterCity),OR(FilterCategory="All",E66=FilterCategory),OR(FilterRep="All",F66=FilterRep),C66&gt;=FilterMonthFrom,C66&lt;=FilterMonthTo),1,0)</f>
        <v>1</v>
      </c>
    </row>
    <row r="67" spans="1:9" x14ac:dyDescent="0.3">
      <c r="A67">
        <f>Sheet1!A67</f>
        <v>1066</v>
      </c>
      <c r="B67" t="str">
        <f>Sheet1!B67</f>
        <v>2025-01-20</v>
      </c>
      <c r="C67" t="str">
        <f>TEXT(Sheet1!B67,"YYYY-MM")</f>
        <v>2025-01</v>
      </c>
      <c r="D67" t="str">
        <f>Sheet1!D67</f>
        <v>Delhi</v>
      </c>
      <c r="E67" t="str">
        <f>Sheet1!F67</f>
        <v>Electronics</v>
      </c>
      <c r="F67" t="str">
        <f>Sheet1!H67</f>
        <v>Rahul</v>
      </c>
      <c r="G67">
        <f>Sheet1!K67</f>
        <v>103608</v>
      </c>
      <c r="H67">
        <f>Sheet1!N67</f>
        <v>15753.29</v>
      </c>
      <c r="I67">
        <f t="shared" si="4"/>
        <v>1</v>
      </c>
    </row>
    <row r="68" spans="1:9" x14ac:dyDescent="0.3">
      <c r="A68">
        <f>Sheet1!A68</f>
        <v>1067</v>
      </c>
      <c r="B68" t="str">
        <f>Sheet1!B68</f>
        <v>2025-01-20</v>
      </c>
      <c r="C68" t="str">
        <f>TEXT(Sheet1!B68,"YYYY-MM")</f>
        <v>2025-01</v>
      </c>
      <c r="D68" t="str">
        <f>Sheet1!D68</f>
        <v>Mumbai</v>
      </c>
      <c r="E68" t="str">
        <f>Sheet1!F68</f>
        <v>Electronics</v>
      </c>
      <c r="F68" t="str">
        <f>Sheet1!H68</f>
        <v>Rahul</v>
      </c>
      <c r="G68">
        <f>Sheet1!K68</f>
        <v>44517.599999999999</v>
      </c>
      <c r="H68">
        <f>Sheet1!N68</f>
        <v>7498.97</v>
      </c>
      <c r="I68">
        <f t="shared" si="4"/>
        <v>1</v>
      </c>
    </row>
    <row r="69" spans="1:9" x14ac:dyDescent="0.3">
      <c r="A69">
        <f>Sheet1!A69</f>
        <v>1068</v>
      </c>
      <c r="B69" t="str">
        <f>Sheet1!B69</f>
        <v>2025-01-20</v>
      </c>
      <c r="C69" t="str">
        <f>TEXT(Sheet1!B69,"YYYY-MM")</f>
        <v>2025-01</v>
      </c>
      <c r="D69" t="str">
        <f>Sheet1!D69</f>
        <v>Hyderabad</v>
      </c>
      <c r="E69" t="str">
        <f>Sheet1!F69</f>
        <v>Electronics</v>
      </c>
      <c r="F69" t="str">
        <f>Sheet1!H69</f>
        <v>Pooja</v>
      </c>
      <c r="G69">
        <f>Sheet1!K69</f>
        <v>8002.8</v>
      </c>
      <c r="H69">
        <f>Sheet1!N69</f>
        <v>1382.02</v>
      </c>
      <c r="I69">
        <f t="shared" si="4"/>
        <v>1</v>
      </c>
    </row>
    <row r="70" spans="1:9" x14ac:dyDescent="0.3">
      <c r="A70">
        <f>Sheet1!A70</f>
        <v>1069</v>
      </c>
      <c r="B70" t="str">
        <f>Sheet1!B70</f>
        <v>2025-01-21</v>
      </c>
      <c r="C70" t="str">
        <f>TEXT(Sheet1!B70,"YYYY-MM")</f>
        <v>2025-01</v>
      </c>
      <c r="D70" t="str">
        <f>Sheet1!D70</f>
        <v>Hyderabad</v>
      </c>
      <c r="E70" t="str">
        <f>Sheet1!F70</f>
        <v>Clothing</v>
      </c>
      <c r="F70" t="str">
        <f>Sheet1!H70</f>
        <v>Rahul</v>
      </c>
      <c r="G70">
        <f>Sheet1!K70</f>
        <v>199699.5</v>
      </c>
      <c r="H70">
        <f>Sheet1!N70</f>
        <v>52990.81</v>
      </c>
      <c r="I70">
        <f t="shared" si="4"/>
        <v>1</v>
      </c>
    </row>
    <row r="71" spans="1:9" x14ac:dyDescent="0.3">
      <c r="A71">
        <f>Sheet1!A71</f>
        <v>1070</v>
      </c>
      <c r="B71" t="str">
        <f>Sheet1!B71</f>
        <v>2025-01-21</v>
      </c>
      <c r="C71" t="str">
        <f>TEXT(Sheet1!B71,"YYYY-MM")</f>
        <v>2025-01</v>
      </c>
      <c r="D71" t="str">
        <f>Sheet1!D71</f>
        <v>Delhi</v>
      </c>
      <c r="E71" t="str">
        <f>Sheet1!F71</f>
        <v>Clothing</v>
      </c>
      <c r="F71" t="str">
        <f>Sheet1!H71</f>
        <v>Ajay</v>
      </c>
      <c r="G71">
        <f>Sheet1!K71</f>
        <v>119665.8</v>
      </c>
      <c r="H71">
        <f>Sheet1!N71</f>
        <v>24675.29</v>
      </c>
      <c r="I71">
        <f t="shared" si="4"/>
        <v>1</v>
      </c>
    </row>
    <row r="72" spans="1:9" x14ac:dyDescent="0.3">
      <c r="A72">
        <f>Sheet1!A72</f>
        <v>1071</v>
      </c>
      <c r="B72" t="str">
        <f>Sheet1!B72</f>
        <v>2025-01-21</v>
      </c>
      <c r="C72" t="str">
        <f>TEXT(Sheet1!B72,"YYYY-MM")</f>
        <v>2025-01</v>
      </c>
      <c r="D72" t="str">
        <f>Sheet1!D72</f>
        <v>Mumbai</v>
      </c>
      <c r="E72" t="str">
        <f>Sheet1!F72</f>
        <v>Furniture</v>
      </c>
      <c r="F72" t="str">
        <f>Sheet1!H72</f>
        <v>Ajay</v>
      </c>
      <c r="G72">
        <f>Sheet1!K72</f>
        <v>88908.6</v>
      </c>
      <c r="H72">
        <f>Sheet1!N72</f>
        <v>25213.4</v>
      </c>
      <c r="I72">
        <f t="shared" si="4"/>
        <v>1</v>
      </c>
    </row>
    <row r="73" spans="1:9" x14ac:dyDescent="0.3">
      <c r="A73">
        <f>Sheet1!A73</f>
        <v>1072</v>
      </c>
      <c r="B73" t="str">
        <f>Sheet1!B73</f>
        <v>2025-01-21</v>
      </c>
      <c r="C73" t="str">
        <f>TEXT(Sheet1!B73,"YYYY-MM")</f>
        <v>2025-01</v>
      </c>
      <c r="D73" t="str">
        <f>Sheet1!D73</f>
        <v>Pune</v>
      </c>
      <c r="E73" t="str">
        <f>Sheet1!F73</f>
        <v>Clothing</v>
      </c>
      <c r="F73" t="str">
        <f>Sheet1!H73</f>
        <v>Pooja</v>
      </c>
      <c r="G73">
        <f>Sheet1!K73</f>
        <v>69427.899999999994</v>
      </c>
      <c r="H73">
        <f>Sheet1!N73</f>
        <v>17517.07</v>
      </c>
      <c r="I73">
        <f t="shared" si="4"/>
        <v>1</v>
      </c>
    </row>
    <row r="74" spans="1:9" x14ac:dyDescent="0.3">
      <c r="A74">
        <f>Sheet1!A74</f>
        <v>1073</v>
      </c>
      <c r="B74" t="str">
        <f>Sheet1!B74</f>
        <v>2025-01-21</v>
      </c>
      <c r="C74" t="str">
        <f>TEXT(Sheet1!B74,"YYYY-MM")</f>
        <v>2025-01</v>
      </c>
      <c r="D74" t="str">
        <f>Sheet1!D74</f>
        <v>Pune</v>
      </c>
      <c r="E74" t="str">
        <f>Sheet1!F74</f>
        <v>Clothing</v>
      </c>
      <c r="F74" t="str">
        <f>Sheet1!H74</f>
        <v>Ajay</v>
      </c>
      <c r="G74">
        <f>Sheet1!K74</f>
        <v>19890</v>
      </c>
      <c r="H74">
        <f>Sheet1!N74</f>
        <v>2236.46</v>
      </c>
      <c r="I74">
        <f t="shared" si="4"/>
        <v>1</v>
      </c>
    </row>
    <row r="75" spans="1:9" x14ac:dyDescent="0.3">
      <c r="A75">
        <f>Sheet1!A75</f>
        <v>1074</v>
      </c>
      <c r="B75" t="str">
        <f>Sheet1!B75</f>
        <v>2025-01-22</v>
      </c>
      <c r="C75" t="str">
        <f>TEXT(Sheet1!B75,"YYYY-MM")</f>
        <v>2025-01</v>
      </c>
      <c r="D75" t="str">
        <f>Sheet1!D75</f>
        <v>Pune</v>
      </c>
      <c r="E75" t="str">
        <f>Sheet1!F75</f>
        <v>Clothing</v>
      </c>
      <c r="F75" t="str">
        <f>Sheet1!H75</f>
        <v>Sneha</v>
      </c>
      <c r="G75">
        <f>Sheet1!K75</f>
        <v>96509</v>
      </c>
      <c r="H75">
        <f>Sheet1!N75</f>
        <v>19128.68</v>
      </c>
      <c r="I75">
        <f t="shared" si="4"/>
        <v>1</v>
      </c>
    </row>
    <row r="76" spans="1:9" x14ac:dyDescent="0.3">
      <c r="A76">
        <f>Sheet1!A76</f>
        <v>1075</v>
      </c>
      <c r="B76" t="str">
        <f>Sheet1!B76</f>
        <v>2025-01-22</v>
      </c>
      <c r="C76" t="str">
        <f>TEXT(Sheet1!B76,"YYYY-MM")</f>
        <v>2025-01</v>
      </c>
      <c r="D76" t="str">
        <f>Sheet1!D76</f>
        <v>Hyderabad</v>
      </c>
      <c r="E76" t="str">
        <f>Sheet1!F76</f>
        <v>Electronics</v>
      </c>
      <c r="F76" t="str">
        <f>Sheet1!H76</f>
        <v>Rahul</v>
      </c>
      <c r="G76">
        <f>Sheet1!K76</f>
        <v>22215</v>
      </c>
      <c r="H76">
        <f>Sheet1!N76</f>
        <v>2509.85</v>
      </c>
      <c r="I76">
        <f t="shared" si="4"/>
        <v>1</v>
      </c>
    </row>
    <row r="77" spans="1:9" x14ac:dyDescent="0.3">
      <c r="A77">
        <f>Sheet1!A77</f>
        <v>1076</v>
      </c>
      <c r="B77" t="str">
        <f>Sheet1!B77</f>
        <v>2025-01-23</v>
      </c>
      <c r="C77" t="str">
        <f>TEXT(Sheet1!B77,"YYYY-MM")</f>
        <v>2025-01</v>
      </c>
      <c r="D77" t="str">
        <f>Sheet1!D77</f>
        <v>Pune</v>
      </c>
      <c r="E77" t="str">
        <f>Sheet1!F77</f>
        <v>Clothing</v>
      </c>
      <c r="F77" t="str">
        <f>Sheet1!H77</f>
        <v>Ajay</v>
      </c>
      <c r="G77">
        <f>Sheet1!K77</f>
        <v>7494</v>
      </c>
      <c r="H77">
        <f>Sheet1!N77</f>
        <v>1798.74</v>
      </c>
      <c r="I77">
        <f t="shared" si="4"/>
        <v>1</v>
      </c>
    </row>
    <row r="78" spans="1:9" x14ac:dyDescent="0.3">
      <c r="A78">
        <f>Sheet1!A78</f>
        <v>1077</v>
      </c>
      <c r="B78" t="str">
        <f>Sheet1!B78</f>
        <v>2025-01-23</v>
      </c>
      <c r="C78" t="str">
        <f>TEXT(Sheet1!B78,"YYYY-MM")</f>
        <v>2025-01</v>
      </c>
      <c r="D78" t="str">
        <f>Sheet1!D78</f>
        <v>Mumbai</v>
      </c>
      <c r="E78" t="str">
        <f>Sheet1!F78</f>
        <v>Clothing</v>
      </c>
      <c r="F78" t="str">
        <f>Sheet1!H78</f>
        <v>Sneha</v>
      </c>
      <c r="G78">
        <f>Sheet1!K78</f>
        <v>1876.25</v>
      </c>
      <c r="H78">
        <f>Sheet1!N78</f>
        <v>193.26</v>
      </c>
      <c r="I78">
        <f t="shared" si="4"/>
        <v>1</v>
      </c>
    </row>
    <row r="79" spans="1:9" x14ac:dyDescent="0.3">
      <c r="A79">
        <f>Sheet1!A79</f>
        <v>1078</v>
      </c>
      <c r="B79" t="str">
        <f>Sheet1!B79</f>
        <v>2025-01-23</v>
      </c>
      <c r="C79" t="str">
        <f>TEXT(Sheet1!B79,"YYYY-MM")</f>
        <v>2025-01</v>
      </c>
      <c r="D79" t="str">
        <f>Sheet1!D79</f>
        <v>Mumbai</v>
      </c>
      <c r="E79" t="str">
        <f>Sheet1!F79</f>
        <v>Furniture</v>
      </c>
      <c r="F79" t="str">
        <f>Sheet1!H79</f>
        <v>Ajay</v>
      </c>
      <c r="G79">
        <f>Sheet1!K79</f>
        <v>76831.199999999997</v>
      </c>
      <c r="H79">
        <f>Sheet1!N79</f>
        <v>10299.049999999999</v>
      </c>
      <c r="I79">
        <f t="shared" si="4"/>
        <v>1</v>
      </c>
    </row>
    <row r="80" spans="1:9" x14ac:dyDescent="0.3">
      <c r="A80">
        <f>Sheet1!A80</f>
        <v>1079</v>
      </c>
      <c r="B80" t="str">
        <f>Sheet1!B80</f>
        <v>2025-01-23</v>
      </c>
      <c r="C80" t="str">
        <f>TEXT(Sheet1!B80,"YYYY-MM")</f>
        <v>2025-01</v>
      </c>
      <c r="D80" t="str">
        <f>Sheet1!D80</f>
        <v>Pune</v>
      </c>
      <c r="E80" t="str">
        <f>Sheet1!F80</f>
        <v>Electronics</v>
      </c>
      <c r="F80" t="str">
        <f>Sheet1!H80</f>
        <v>Sneha</v>
      </c>
      <c r="G80">
        <f>Sheet1!K80</f>
        <v>8868</v>
      </c>
      <c r="H80">
        <f>Sheet1!N80</f>
        <v>1400.86</v>
      </c>
      <c r="I80">
        <f t="shared" si="4"/>
        <v>1</v>
      </c>
    </row>
    <row r="81" spans="1:9" x14ac:dyDescent="0.3">
      <c r="A81">
        <f>Sheet1!A81</f>
        <v>1080</v>
      </c>
      <c r="B81" t="str">
        <f>Sheet1!B81</f>
        <v>2025-01-23</v>
      </c>
      <c r="C81" t="str">
        <f>TEXT(Sheet1!B81,"YYYY-MM")</f>
        <v>2025-01</v>
      </c>
      <c r="D81" t="str">
        <f>Sheet1!D81</f>
        <v>Mumbai</v>
      </c>
      <c r="E81" t="str">
        <f>Sheet1!F81</f>
        <v>Furniture</v>
      </c>
      <c r="F81" t="str">
        <f>Sheet1!H81</f>
        <v>Sneha</v>
      </c>
      <c r="G81">
        <f>Sheet1!K81</f>
        <v>105966</v>
      </c>
      <c r="H81">
        <f>Sheet1!N81</f>
        <v>11695.09</v>
      </c>
      <c r="I81">
        <f t="shared" si="4"/>
        <v>1</v>
      </c>
    </row>
    <row r="82" spans="1:9" x14ac:dyDescent="0.3">
      <c r="A82">
        <f>Sheet1!A82</f>
        <v>1081</v>
      </c>
      <c r="B82" t="str">
        <f>Sheet1!B82</f>
        <v>2025-01-24</v>
      </c>
      <c r="C82" t="str">
        <f>TEXT(Sheet1!B82,"YYYY-MM")</f>
        <v>2025-01</v>
      </c>
      <c r="D82" t="str">
        <f>Sheet1!D82</f>
        <v>Pune</v>
      </c>
      <c r="E82" t="str">
        <f>Sheet1!F82</f>
        <v>Furniture</v>
      </c>
      <c r="F82" t="str">
        <f>Sheet1!H82</f>
        <v>Ajay</v>
      </c>
      <c r="G82">
        <f>Sheet1!K82</f>
        <v>156465</v>
      </c>
      <c r="H82">
        <f>Sheet1!N82</f>
        <v>19054.63</v>
      </c>
      <c r="I82">
        <f t="shared" si="4"/>
        <v>1</v>
      </c>
    </row>
    <row r="83" spans="1:9" x14ac:dyDescent="0.3">
      <c r="A83">
        <f>Sheet1!A83</f>
        <v>1082</v>
      </c>
      <c r="B83" t="str">
        <f>Sheet1!B83</f>
        <v>2025-01-24</v>
      </c>
      <c r="C83" t="str">
        <f>TEXT(Sheet1!B83,"YYYY-MM")</f>
        <v>2025-01</v>
      </c>
      <c r="D83" t="str">
        <f>Sheet1!D83</f>
        <v>Pune</v>
      </c>
      <c r="E83" t="str">
        <f>Sheet1!F83</f>
        <v>Electronics</v>
      </c>
      <c r="F83" t="str">
        <f>Sheet1!H83</f>
        <v>Ajay</v>
      </c>
      <c r="G83">
        <f>Sheet1!K83</f>
        <v>95476.25</v>
      </c>
      <c r="H83">
        <f>Sheet1!N83</f>
        <v>14260.76</v>
      </c>
      <c r="I83">
        <f t="shared" si="4"/>
        <v>1</v>
      </c>
    </row>
    <row r="84" spans="1:9" x14ac:dyDescent="0.3">
      <c r="A84">
        <f>Sheet1!A84</f>
        <v>1083</v>
      </c>
      <c r="B84" t="str">
        <f>Sheet1!B84</f>
        <v>2025-01-25</v>
      </c>
      <c r="C84" t="str">
        <f>TEXT(Sheet1!B84,"YYYY-MM")</f>
        <v>2025-01</v>
      </c>
      <c r="D84" t="str">
        <f>Sheet1!D84</f>
        <v>Hyderabad</v>
      </c>
      <c r="E84" t="str">
        <f>Sheet1!F84</f>
        <v>Electronics</v>
      </c>
      <c r="F84" t="str">
        <f>Sheet1!H84</f>
        <v>Pooja</v>
      </c>
      <c r="G84">
        <f>Sheet1!K84</f>
        <v>214833</v>
      </c>
      <c r="H84">
        <f>Sheet1!N84</f>
        <v>25639.919999999998</v>
      </c>
      <c r="I84">
        <f t="shared" si="4"/>
        <v>1</v>
      </c>
    </row>
    <row r="85" spans="1:9" x14ac:dyDescent="0.3">
      <c r="A85">
        <f>Sheet1!A85</f>
        <v>1084</v>
      </c>
      <c r="B85" t="str">
        <f>Sheet1!B85</f>
        <v>2025-01-25</v>
      </c>
      <c r="C85" t="str">
        <f>TEXT(Sheet1!B85,"YYYY-MM")</f>
        <v>2025-01</v>
      </c>
      <c r="D85" t="str">
        <f>Sheet1!D85</f>
        <v>Pune</v>
      </c>
      <c r="E85" t="str">
        <f>Sheet1!F85</f>
        <v>Furniture</v>
      </c>
      <c r="F85" t="str">
        <f>Sheet1!H85</f>
        <v>Pooja</v>
      </c>
      <c r="G85">
        <f>Sheet1!K85</f>
        <v>79706.899999999994</v>
      </c>
      <c r="H85">
        <f>Sheet1!N85</f>
        <v>21630.66</v>
      </c>
      <c r="I85">
        <f t="shared" si="4"/>
        <v>1</v>
      </c>
    </row>
    <row r="86" spans="1:9" x14ac:dyDescent="0.3">
      <c r="A86">
        <f>Sheet1!A86</f>
        <v>1085</v>
      </c>
      <c r="B86" t="str">
        <f>Sheet1!B86</f>
        <v>2025-01-25</v>
      </c>
      <c r="C86" t="str">
        <f>TEXT(Sheet1!B86,"YYYY-MM")</f>
        <v>2025-01</v>
      </c>
      <c r="D86" t="str">
        <f>Sheet1!D86</f>
        <v>Delhi</v>
      </c>
      <c r="E86" t="str">
        <f>Sheet1!F86</f>
        <v>Furniture</v>
      </c>
      <c r="F86" t="str">
        <f>Sheet1!H86</f>
        <v>Sneha</v>
      </c>
      <c r="G86">
        <f>Sheet1!K86</f>
        <v>74457.2</v>
      </c>
      <c r="H86">
        <f>Sheet1!N86</f>
        <v>20493.79</v>
      </c>
      <c r="I86">
        <f t="shared" si="4"/>
        <v>1</v>
      </c>
    </row>
    <row r="87" spans="1:9" x14ac:dyDescent="0.3">
      <c r="A87">
        <f>Sheet1!A87</f>
        <v>1086</v>
      </c>
      <c r="B87" t="str">
        <f>Sheet1!B87</f>
        <v>2025-01-25</v>
      </c>
      <c r="C87" t="str">
        <f>TEXT(Sheet1!B87,"YYYY-MM")</f>
        <v>2025-01</v>
      </c>
      <c r="D87" t="str">
        <f>Sheet1!D87</f>
        <v>Bangalore</v>
      </c>
      <c r="E87" t="str">
        <f>Sheet1!F87</f>
        <v>Electronics</v>
      </c>
      <c r="F87" t="str">
        <f>Sheet1!H87</f>
        <v>Pooja</v>
      </c>
      <c r="G87">
        <f>Sheet1!K87</f>
        <v>84294.5</v>
      </c>
      <c r="H87">
        <f>Sheet1!N87</f>
        <v>20283.25</v>
      </c>
      <c r="I87">
        <f t="shared" si="4"/>
        <v>1</v>
      </c>
    </row>
    <row r="88" spans="1:9" x14ac:dyDescent="0.3">
      <c r="A88">
        <f>Sheet1!A88</f>
        <v>1087</v>
      </c>
      <c r="B88" t="str">
        <f>Sheet1!B88</f>
        <v>2025-01-25</v>
      </c>
      <c r="C88" t="str">
        <f>TEXT(Sheet1!B88,"YYYY-MM")</f>
        <v>2025-01</v>
      </c>
      <c r="D88" t="str">
        <f>Sheet1!D88</f>
        <v>Mumbai</v>
      </c>
      <c r="E88" t="str">
        <f>Sheet1!F88</f>
        <v>Electronics</v>
      </c>
      <c r="F88" t="str">
        <f>Sheet1!H88</f>
        <v>Rahul</v>
      </c>
      <c r="G88">
        <f>Sheet1!K88</f>
        <v>193693.75</v>
      </c>
      <c r="H88">
        <f>Sheet1!N88</f>
        <v>42653.54</v>
      </c>
      <c r="I88">
        <f t="shared" si="4"/>
        <v>1</v>
      </c>
    </row>
    <row r="89" spans="1:9" x14ac:dyDescent="0.3">
      <c r="A89">
        <f>Sheet1!A89</f>
        <v>1088</v>
      </c>
      <c r="B89" t="str">
        <f>Sheet1!B89</f>
        <v>2025-01-26</v>
      </c>
      <c r="C89" t="str">
        <f>TEXT(Sheet1!B89,"YYYY-MM")</f>
        <v>2025-01</v>
      </c>
      <c r="D89" t="str">
        <f>Sheet1!D89</f>
        <v>Hyderabad</v>
      </c>
      <c r="E89" t="str">
        <f>Sheet1!F89</f>
        <v>Electronics</v>
      </c>
      <c r="F89" t="str">
        <f>Sheet1!H89</f>
        <v>Rahul</v>
      </c>
      <c r="G89">
        <f>Sheet1!K89</f>
        <v>35550.400000000001</v>
      </c>
      <c r="H89">
        <f>Sheet1!N89</f>
        <v>8322.5300000000007</v>
      </c>
      <c r="I89">
        <f t="shared" si="4"/>
        <v>1</v>
      </c>
    </row>
    <row r="90" spans="1:9" x14ac:dyDescent="0.3">
      <c r="A90">
        <f>Sheet1!A90</f>
        <v>1089</v>
      </c>
      <c r="B90" t="str">
        <f>Sheet1!B90</f>
        <v>2025-01-26</v>
      </c>
      <c r="C90" t="str">
        <f>TEXT(Sheet1!B90,"YYYY-MM")</f>
        <v>2025-01</v>
      </c>
      <c r="D90" t="str">
        <f>Sheet1!D90</f>
        <v>Pune</v>
      </c>
      <c r="E90" t="str">
        <f>Sheet1!F90</f>
        <v>Electronics</v>
      </c>
      <c r="F90" t="str">
        <f>Sheet1!H90</f>
        <v>Rahul</v>
      </c>
      <c r="G90">
        <f>Sheet1!K90</f>
        <v>4291.6499999999996</v>
      </c>
      <c r="H90">
        <f>Sheet1!N90</f>
        <v>1066.1600000000001</v>
      </c>
      <c r="I90">
        <f t="shared" si="4"/>
        <v>1</v>
      </c>
    </row>
    <row r="91" spans="1:9" x14ac:dyDescent="0.3">
      <c r="A91">
        <f>Sheet1!A91</f>
        <v>1090</v>
      </c>
      <c r="B91" t="str">
        <f>Sheet1!B91</f>
        <v>2025-01-27</v>
      </c>
      <c r="C91" t="str">
        <f>TEXT(Sheet1!B91,"YYYY-MM")</f>
        <v>2025-01</v>
      </c>
      <c r="D91" t="str">
        <f>Sheet1!D91</f>
        <v>Bangalore</v>
      </c>
      <c r="E91" t="str">
        <f>Sheet1!F91</f>
        <v>Furniture</v>
      </c>
      <c r="F91" t="str">
        <f>Sheet1!H91</f>
        <v>Ajay</v>
      </c>
      <c r="G91">
        <f>Sheet1!K91</f>
        <v>177264</v>
      </c>
      <c r="H91">
        <f>Sheet1!N91</f>
        <v>20667.28</v>
      </c>
      <c r="I91">
        <f t="shared" si="4"/>
        <v>1</v>
      </c>
    </row>
    <row r="92" spans="1:9" x14ac:dyDescent="0.3">
      <c r="A92">
        <f>Sheet1!A92</f>
        <v>1091</v>
      </c>
      <c r="B92" t="str">
        <f>Sheet1!B92</f>
        <v>2025-01-27</v>
      </c>
      <c r="C92" t="str">
        <f>TEXT(Sheet1!B92,"YYYY-MM")</f>
        <v>2025-01</v>
      </c>
      <c r="D92" t="str">
        <f>Sheet1!D92</f>
        <v>Mumbai</v>
      </c>
      <c r="E92" t="str">
        <f>Sheet1!F92</f>
        <v>Clothing</v>
      </c>
      <c r="F92" t="str">
        <f>Sheet1!H92</f>
        <v>Pooja</v>
      </c>
      <c r="G92">
        <f>Sheet1!K92</f>
        <v>10090.799999999999</v>
      </c>
      <c r="H92">
        <f>Sheet1!N92</f>
        <v>2619.54</v>
      </c>
      <c r="I92">
        <f t="shared" si="4"/>
        <v>1</v>
      </c>
    </row>
    <row r="93" spans="1:9" x14ac:dyDescent="0.3">
      <c r="A93">
        <f>Sheet1!A93</f>
        <v>1092</v>
      </c>
      <c r="B93" t="str">
        <f>Sheet1!B93</f>
        <v>2025-01-28</v>
      </c>
      <c r="C93" t="str">
        <f>TEXT(Sheet1!B93,"YYYY-MM")</f>
        <v>2025-01</v>
      </c>
      <c r="D93" t="str">
        <f>Sheet1!D93</f>
        <v>Mumbai</v>
      </c>
      <c r="E93" t="str">
        <f>Sheet1!F93</f>
        <v>Electronics</v>
      </c>
      <c r="F93" t="str">
        <f>Sheet1!H93</f>
        <v>Pooja</v>
      </c>
      <c r="G93">
        <f>Sheet1!K93</f>
        <v>129186</v>
      </c>
      <c r="H93">
        <f>Sheet1!N93</f>
        <v>28401.15</v>
      </c>
      <c r="I93">
        <f t="shared" si="4"/>
        <v>1</v>
      </c>
    </row>
    <row r="94" spans="1:9" x14ac:dyDescent="0.3">
      <c r="A94">
        <f>Sheet1!A94</f>
        <v>1093</v>
      </c>
      <c r="B94" t="str">
        <f>Sheet1!B94</f>
        <v>2025-01-28</v>
      </c>
      <c r="C94" t="str">
        <f>TEXT(Sheet1!B94,"YYYY-MM")</f>
        <v>2025-01</v>
      </c>
      <c r="D94" t="str">
        <f>Sheet1!D94</f>
        <v>Hyderabad</v>
      </c>
      <c r="E94" t="str">
        <f>Sheet1!F94</f>
        <v>Furniture</v>
      </c>
      <c r="F94" t="str">
        <f>Sheet1!H94</f>
        <v>Sneha</v>
      </c>
      <c r="G94">
        <f>Sheet1!K94</f>
        <v>144516</v>
      </c>
      <c r="H94">
        <f>Sheet1!N94</f>
        <v>26816.05</v>
      </c>
      <c r="I94">
        <f t="shared" si="4"/>
        <v>1</v>
      </c>
    </row>
    <row r="95" spans="1:9" x14ac:dyDescent="0.3">
      <c r="A95">
        <f>Sheet1!A95</f>
        <v>1094</v>
      </c>
      <c r="B95" t="str">
        <f>Sheet1!B95</f>
        <v>2025-01-28</v>
      </c>
      <c r="C95" t="str">
        <f>TEXT(Sheet1!B95,"YYYY-MM")</f>
        <v>2025-01</v>
      </c>
      <c r="D95" t="str">
        <f>Sheet1!D95</f>
        <v>Pune</v>
      </c>
      <c r="E95" t="str">
        <f>Sheet1!F95</f>
        <v>Clothing</v>
      </c>
      <c r="F95" t="str">
        <f>Sheet1!H95</f>
        <v>Rahul</v>
      </c>
      <c r="G95">
        <f>Sheet1!K95</f>
        <v>235913.5</v>
      </c>
      <c r="H95">
        <f>Sheet1!N95</f>
        <v>38290.74</v>
      </c>
      <c r="I95">
        <f t="shared" si="4"/>
        <v>1</v>
      </c>
    </row>
    <row r="96" spans="1:9" x14ac:dyDescent="0.3">
      <c r="A96">
        <f>Sheet1!A96</f>
        <v>1095</v>
      </c>
      <c r="B96" t="str">
        <f>Sheet1!B96</f>
        <v>2025-01-28</v>
      </c>
      <c r="C96" t="str">
        <f>TEXT(Sheet1!B96,"YYYY-MM")</f>
        <v>2025-01</v>
      </c>
      <c r="D96" t="str">
        <f>Sheet1!D96</f>
        <v>Hyderabad</v>
      </c>
      <c r="E96" t="str">
        <f>Sheet1!F96</f>
        <v>Furniture</v>
      </c>
      <c r="F96" t="str">
        <f>Sheet1!H96</f>
        <v>Sneha</v>
      </c>
      <c r="G96">
        <f>Sheet1!K96</f>
        <v>98015.4</v>
      </c>
      <c r="H96">
        <f>Sheet1!N96</f>
        <v>26777.87</v>
      </c>
      <c r="I96">
        <f t="shared" si="4"/>
        <v>1</v>
      </c>
    </row>
    <row r="97" spans="1:9" x14ac:dyDescent="0.3">
      <c r="A97">
        <f>Sheet1!A97</f>
        <v>1096</v>
      </c>
      <c r="B97" t="str">
        <f>Sheet1!B97</f>
        <v>2025-01-29</v>
      </c>
      <c r="C97" t="str">
        <f>TEXT(Sheet1!B97,"YYYY-MM")</f>
        <v>2025-01</v>
      </c>
      <c r="D97" t="str">
        <f>Sheet1!D97</f>
        <v>Bangalore</v>
      </c>
      <c r="E97" t="str">
        <f>Sheet1!F97</f>
        <v>Furniture</v>
      </c>
      <c r="F97" t="str">
        <f>Sheet1!H97</f>
        <v>Ajay</v>
      </c>
      <c r="G97">
        <f>Sheet1!K97</f>
        <v>9178.2000000000007</v>
      </c>
      <c r="H97">
        <f>Sheet1!N97</f>
        <v>2116.79</v>
      </c>
      <c r="I97">
        <f t="shared" si="4"/>
        <v>1</v>
      </c>
    </row>
    <row r="98" spans="1:9" x14ac:dyDescent="0.3">
      <c r="A98">
        <f>Sheet1!A98</f>
        <v>1097</v>
      </c>
      <c r="B98" t="str">
        <f>Sheet1!B98</f>
        <v>2025-01-29</v>
      </c>
      <c r="C98" t="str">
        <f>TEXT(Sheet1!B98,"YYYY-MM")</f>
        <v>2025-01</v>
      </c>
      <c r="D98" t="str">
        <f>Sheet1!D98</f>
        <v>Mumbai</v>
      </c>
      <c r="E98" t="str">
        <f>Sheet1!F98</f>
        <v>Clothing</v>
      </c>
      <c r="F98" t="str">
        <f>Sheet1!H98</f>
        <v>Rahul</v>
      </c>
      <c r="G98">
        <f>Sheet1!K98</f>
        <v>12348</v>
      </c>
      <c r="H98">
        <f>Sheet1!N98</f>
        <v>1532.05</v>
      </c>
      <c r="I98">
        <f t="shared" si="4"/>
        <v>1</v>
      </c>
    </row>
    <row r="99" spans="1:9" x14ac:dyDescent="0.3">
      <c r="A99">
        <f>Sheet1!A99</f>
        <v>1098</v>
      </c>
      <c r="B99" t="str">
        <f>Sheet1!B99</f>
        <v>2025-01-29</v>
      </c>
      <c r="C99" t="str">
        <f>TEXT(Sheet1!B99,"YYYY-MM")</f>
        <v>2025-01</v>
      </c>
      <c r="D99" t="str">
        <f>Sheet1!D99</f>
        <v>Mumbai</v>
      </c>
      <c r="E99" t="str">
        <f>Sheet1!F99</f>
        <v>Furniture</v>
      </c>
      <c r="F99" t="str">
        <f>Sheet1!H99</f>
        <v>Pooja</v>
      </c>
      <c r="G99">
        <f>Sheet1!K99</f>
        <v>35150.050000000003</v>
      </c>
      <c r="H99">
        <f>Sheet1!N99</f>
        <v>8365.83</v>
      </c>
      <c r="I99">
        <f t="shared" si="4"/>
        <v>1</v>
      </c>
    </row>
    <row r="100" spans="1:9" x14ac:dyDescent="0.3">
      <c r="A100">
        <f>Sheet1!A100</f>
        <v>1099</v>
      </c>
      <c r="B100" t="str">
        <f>Sheet1!B100</f>
        <v>2025-01-29</v>
      </c>
      <c r="C100" t="str">
        <f>TEXT(Sheet1!B100,"YYYY-MM")</f>
        <v>2025-01</v>
      </c>
      <c r="D100" t="str">
        <f>Sheet1!D100</f>
        <v>Pune</v>
      </c>
      <c r="E100" t="str">
        <f>Sheet1!F100</f>
        <v>Electronics</v>
      </c>
      <c r="F100" t="str">
        <f>Sheet1!H100</f>
        <v>Sneha</v>
      </c>
      <c r="G100">
        <f>Sheet1!K100</f>
        <v>33117.949999999997</v>
      </c>
      <c r="H100">
        <f>Sheet1!N100</f>
        <v>3861.66</v>
      </c>
      <c r="I100">
        <f t="shared" si="4"/>
        <v>1</v>
      </c>
    </row>
    <row r="101" spans="1:9" x14ac:dyDescent="0.3">
      <c r="A101">
        <f>Sheet1!A101</f>
        <v>1100</v>
      </c>
      <c r="B101" t="str">
        <f>Sheet1!B101</f>
        <v>2025-01-29</v>
      </c>
      <c r="C101" t="str">
        <f>TEXT(Sheet1!B101,"YYYY-MM")</f>
        <v>2025-01</v>
      </c>
      <c r="D101" t="str">
        <f>Sheet1!D101</f>
        <v>Hyderabad</v>
      </c>
      <c r="E101" t="str">
        <f>Sheet1!F101</f>
        <v>Furniture</v>
      </c>
      <c r="F101" t="str">
        <f>Sheet1!H101</f>
        <v>Ajay</v>
      </c>
      <c r="G101">
        <f>Sheet1!K101</f>
        <v>91629.4</v>
      </c>
      <c r="H101">
        <f>Sheet1!N101</f>
        <v>11608.26</v>
      </c>
      <c r="I101">
        <f t="shared" si="4"/>
        <v>1</v>
      </c>
    </row>
    <row r="102" spans="1:9" x14ac:dyDescent="0.3">
      <c r="A102">
        <f>Sheet1!A102</f>
        <v>1101</v>
      </c>
      <c r="B102" t="str">
        <f>Sheet1!B102</f>
        <v>2025-01-30</v>
      </c>
      <c r="C102" t="str">
        <f>TEXT(Sheet1!B102,"YYYY-MM")</f>
        <v>2025-01</v>
      </c>
      <c r="D102" t="str">
        <f>Sheet1!D102</f>
        <v>Mumbai</v>
      </c>
      <c r="E102" t="str">
        <f>Sheet1!F102</f>
        <v>Electronics</v>
      </c>
      <c r="F102" t="str">
        <f>Sheet1!H102</f>
        <v>Pooja</v>
      </c>
      <c r="G102">
        <f>Sheet1!K102</f>
        <v>37422.1</v>
      </c>
      <c r="H102">
        <f>Sheet1!N102</f>
        <v>10465.48</v>
      </c>
      <c r="I102">
        <f t="shared" si="4"/>
        <v>1</v>
      </c>
    </row>
    <row r="103" spans="1:9" x14ac:dyDescent="0.3">
      <c r="A103">
        <f>Sheet1!A103</f>
        <v>1102</v>
      </c>
      <c r="B103" t="str">
        <f>Sheet1!B103</f>
        <v>2025-01-30</v>
      </c>
      <c r="C103" t="str">
        <f>TEXT(Sheet1!B103,"YYYY-MM")</f>
        <v>2025-01</v>
      </c>
      <c r="D103" t="str">
        <f>Sheet1!D103</f>
        <v>Hyderabad</v>
      </c>
      <c r="E103" t="str">
        <f>Sheet1!F103</f>
        <v>Clothing</v>
      </c>
      <c r="F103" t="str">
        <f>Sheet1!H103</f>
        <v>Rahul</v>
      </c>
      <c r="G103">
        <f>Sheet1!K103</f>
        <v>83332.3</v>
      </c>
      <c r="H103">
        <f>Sheet1!N103</f>
        <v>14340.04</v>
      </c>
      <c r="I103">
        <f t="shared" si="4"/>
        <v>1</v>
      </c>
    </row>
    <row r="104" spans="1:9" x14ac:dyDescent="0.3">
      <c r="A104">
        <f>Sheet1!A104</f>
        <v>1103</v>
      </c>
      <c r="B104" t="str">
        <f>Sheet1!B104</f>
        <v>2025-01-30</v>
      </c>
      <c r="C104" t="str">
        <f>TEXT(Sheet1!B104,"YYYY-MM")</f>
        <v>2025-01</v>
      </c>
      <c r="D104" t="str">
        <f>Sheet1!D104</f>
        <v>Mumbai</v>
      </c>
      <c r="E104" t="str">
        <f>Sheet1!F104</f>
        <v>Clothing</v>
      </c>
      <c r="F104" t="str">
        <f>Sheet1!H104</f>
        <v>Sneha</v>
      </c>
      <c r="G104">
        <f>Sheet1!K104</f>
        <v>68844</v>
      </c>
      <c r="H104">
        <f>Sheet1!N104</f>
        <v>9985.61</v>
      </c>
      <c r="I104">
        <f t="shared" si="4"/>
        <v>1</v>
      </c>
    </row>
    <row r="105" spans="1:9" x14ac:dyDescent="0.3">
      <c r="A105">
        <f>Sheet1!A105</f>
        <v>1104</v>
      </c>
      <c r="B105" t="str">
        <f>Sheet1!B105</f>
        <v>2025-01-31</v>
      </c>
      <c r="C105" t="str">
        <f>TEXT(Sheet1!B105,"YYYY-MM")</f>
        <v>2025-01</v>
      </c>
      <c r="D105" t="str">
        <f>Sheet1!D105</f>
        <v>Bangalore</v>
      </c>
      <c r="E105" t="str">
        <f>Sheet1!F105</f>
        <v>Electronics</v>
      </c>
      <c r="F105" t="str">
        <f>Sheet1!H105</f>
        <v>Ajay</v>
      </c>
      <c r="G105">
        <f>Sheet1!K105</f>
        <v>129495</v>
      </c>
      <c r="H105">
        <f>Sheet1!N105</f>
        <v>34440.49</v>
      </c>
      <c r="I105">
        <f t="shared" si="4"/>
        <v>1</v>
      </c>
    </row>
    <row r="106" spans="1:9" x14ac:dyDescent="0.3">
      <c r="A106">
        <f>Sheet1!A106</f>
        <v>1105</v>
      </c>
      <c r="B106" t="str">
        <f>Sheet1!B106</f>
        <v>2025-01-31</v>
      </c>
      <c r="C106" t="str">
        <f>TEXT(Sheet1!B106,"YYYY-MM")</f>
        <v>2025-01</v>
      </c>
      <c r="D106" t="str">
        <f>Sheet1!D106</f>
        <v>Delhi</v>
      </c>
      <c r="E106" t="str">
        <f>Sheet1!F106</f>
        <v>Furniture</v>
      </c>
      <c r="F106" t="str">
        <f>Sheet1!H106</f>
        <v>Pooja</v>
      </c>
      <c r="G106">
        <f>Sheet1!K106</f>
        <v>167203.79999999999</v>
      </c>
      <c r="H106">
        <f>Sheet1!N106</f>
        <v>45201.82</v>
      </c>
      <c r="I106">
        <f t="shared" si="4"/>
        <v>1</v>
      </c>
    </row>
    <row r="107" spans="1:9" x14ac:dyDescent="0.3">
      <c r="A107">
        <f>Sheet1!A107</f>
        <v>1106</v>
      </c>
      <c r="B107" t="str">
        <f>Sheet1!B107</f>
        <v>2025-01-31</v>
      </c>
      <c r="C107" t="str">
        <f>TEXT(Sheet1!B107,"YYYY-MM")</f>
        <v>2025-01</v>
      </c>
      <c r="D107" t="str">
        <f>Sheet1!D107</f>
        <v>Pune</v>
      </c>
      <c r="E107" t="str">
        <f>Sheet1!F107</f>
        <v>Electronics</v>
      </c>
      <c r="F107" t="str">
        <f>Sheet1!H107</f>
        <v>Sneha</v>
      </c>
      <c r="G107">
        <f>Sheet1!K107</f>
        <v>2226.15</v>
      </c>
      <c r="H107">
        <f>Sheet1!N107</f>
        <v>278.85000000000002</v>
      </c>
      <c r="I107">
        <f t="shared" si="4"/>
        <v>1</v>
      </c>
    </row>
    <row r="108" spans="1:9" x14ac:dyDescent="0.3">
      <c r="A108">
        <f>Sheet1!A108</f>
        <v>1107</v>
      </c>
      <c r="B108" t="str">
        <f>Sheet1!B108</f>
        <v>2025-01-31</v>
      </c>
      <c r="C108" t="str">
        <f>TEXT(Sheet1!B108,"YYYY-MM")</f>
        <v>2025-01</v>
      </c>
      <c r="D108" t="str">
        <f>Sheet1!D108</f>
        <v>Pune</v>
      </c>
      <c r="E108" t="str">
        <f>Sheet1!F108</f>
        <v>Clothing</v>
      </c>
      <c r="F108" t="str">
        <f>Sheet1!H108</f>
        <v>Ajay</v>
      </c>
      <c r="G108">
        <f>Sheet1!K108</f>
        <v>123010</v>
      </c>
      <c r="H108">
        <f>Sheet1!N108</f>
        <v>18890.25</v>
      </c>
      <c r="I108">
        <f t="shared" si="4"/>
        <v>1</v>
      </c>
    </row>
    <row r="109" spans="1:9" x14ac:dyDescent="0.3">
      <c r="A109">
        <f>Sheet1!A109</f>
        <v>1108</v>
      </c>
      <c r="B109" t="str">
        <f>Sheet1!B109</f>
        <v>2025-01-31</v>
      </c>
      <c r="C109" t="str">
        <f>TEXT(Sheet1!B109,"YYYY-MM")</f>
        <v>2025-01</v>
      </c>
      <c r="D109" t="str">
        <f>Sheet1!D109</f>
        <v>Pune</v>
      </c>
      <c r="E109" t="str">
        <f>Sheet1!F109</f>
        <v>Electronics</v>
      </c>
      <c r="F109" t="str">
        <f>Sheet1!H109</f>
        <v>Ajay</v>
      </c>
      <c r="G109">
        <f>Sheet1!K109</f>
        <v>17305.2</v>
      </c>
      <c r="H109">
        <f>Sheet1!N109</f>
        <v>4683.96</v>
      </c>
      <c r="I109">
        <f t="shared" si="4"/>
        <v>1</v>
      </c>
    </row>
    <row r="110" spans="1:9" x14ac:dyDescent="0.3">
      <c r="A110">
        <f>Sheet1!A110</f>
        <v>1109</v>
      </c>
      <c r="B110" t="str">
        <f>Sheet1!B110</f>
        <v>2025-02-01</v>
      </c>
      <c r="C110" t="str">
        <f>TEXT(Sheet1!B110,"YYYY-MM")</f>
        <v>2025-02</v>
      </c>
      <c r="D110" t="str">
        <f>Sheet1!D110</f>
        <v>Bangalore</v>
      </c>
      <c r="E110" t="str">
        <f>Sheet1!F110</f>
        <v>Furniture</v>
      </c>
      <c r="F110" t="str">
        <f>Sheet1!H110</f>
        <v>Rahul</v>
      </c>
      <c r="G110">
        <f>Sheet1!K110</f>
        <v>34217.599999999999</v>
      </c>
      <c r="H110">
        <f>Sheet1!N110</f>
        <v>6140.64</v>
      </c>
      <c r="I110">
        <f t="shared" si="4"/>
        <v>1</v>
      </c>
    </row>
    <row r="111" spans="1:9" x14ac:dyDescent="0.3">
      <c r="A111">
        <f>Sheet1!A111</f>
        <v>1110</v>
      </c>
      <c r="B111" t="str">
        <f>Sheet1!B111</f>
        <v>2025-02-01</v>
      </c>
      <c r="C111" t="str">
        <f>TEXT(Sheet1!B111,"YYYY-MM")</f>
        <v>2025-02</v>
      </c>
      <c r="D111" t="str">
        <f>Sheet1!D111</f>
        <v>Mumbai</v>
      </c>
      <c r="E111" t="str">
        <f>Sheet1!F111</f>
        <v>Furniture</v>
      </c>
      <c r="F111" t="str">
        <f>Sheet1!H111</f>
        <v>Sneha</v>
      </c>
      <c r="G111">
        <f>Sheet1!K111</f>
        <v>19817</v>
      </c>
      <c r="H111">
        <f>Sheet1!N111</f>
        <v>4228.43</v>
      </c>
      <c r="I111">
        <f t="shared" si="4"/>
        <v>1</v>
      </c>
    </row>
    <row r="112" spans="1:9" x14ac:dyDescent="0.3">
      <c r="A112">
        <f>Sheet1!A112</f>
        <v>1111</v>
      </c>
      <c r="B112" t="str">
        <f>Sheet1!B112</f>
        <v>2025-02-01</v>
      </c>
      <c r="C112" t="str">
        <f>TEXT(Sheet1!B112,"YYYY-MM")</f>
        <v>2025-02</v>
      </c>
      <c r="D112" t="str">
        <f>Sheet1!D112</f>
        <v>Delhi</v>
      </c>
      <c r="E112" t="str">
        <f>Sheet1!F112</f>
        <v>Clothing</v>
      </c>
      <c r="F112" t="str">
        <f>Sheet1!H112</f>
        <v>Pooja</v>
      </c>
      <c r="G112">
        <f>Sheet1!K112</f>
        <v>18160</v>
      </c>
      <c r="H112">
        <f>Sheet1!N112</f>
        <v>5080</v>
      </c>
      <c r="I112">
        <f t="shared" si="4"/>
        <v>1</v>
      </c>
    </row>
    <row r="113" spans="1:9" x14ac:dyDescent="0.3">
      <c r="A113">
        <f>Sheet1!A113</f>
        <v>1112</v>
      </c>
      <c r="B113" t="str">
        <f>Sheet1!B113</f>
        <v>2025-02-01</v>
      </c>
      <c r="C113" t="str">
        <f>TEXT(Sheet1!B113,"YYYY-MM")</f>
        <v>2025-02</v>
      </c>
      <c r="D113" t="str">
        <f>Sheet1!D113</f>
        <v>Mumbai</v>
      </c>
      <c r="E113" t="str">
        <f>Sheet1!F113</f>
        <v>Clothing</v>
      </c>
      <c r="F113" t="str">
        <f>Sheet1!H113</f>
        <v>Rahul</v>
      </c>
      <c r="G113">
        <f>Sheet1!K113</f>
        <v>33498.9</v>
      </c>
      <c r="H113">
        <f>Sheet1!N113</f>
        <v>5183.22</v>
      </c>
      <c r="I113">
        <f t="shared" si="4"/>
        <v>1</v>
      </c>
    </row>
    <row r="114" spans="1:9" x14ac:dyDescent="0.3">
      <c r="A114">
        <f>Sheet1!A114</f>
        <v>1113</v>
      </c>
      <c r="B114" t="str">
        <f>Sheet1!B114</f>
        <v>2025-02-02</v>
      </c>
      <c r="C114" t="str">
        <f>TEXT(Sheet1!B114,"YYYY-MM")</f>
        <v>2025-02</v>
      </c>
      <c r="D114" t="str">
        <f>Sheet1!D114</f>
        <v>Delhi</v>
      </c>
      <c r="E114" t="str">
        <f>Sheet1!F114</f>
        <v>Furniture</v>
      </c>
      <c r="F114" t="str">
        <f>Sheet1!H114</f>
        <v>Pooja</v>
      </c>
      <c r="G114">
        <f>Sheet1!K114</f>
        <v>148146.5</v>
      </c>
      <c r="H114">
        <f>Sheet1!N114</f>
        <v>41424.839999999997</v>
      </c>
      <c r="I114">
        <f t="shared" si="4"/>
        <v>1</v>
      </c>
    </row>
    <row r="115" spans="1:9" x14ac:dyDescent="0.3">
      <c r="A115">
        <f>Sheet1!A115</f>
        <v>1114</v>
      </c>
      <c r="B115" t="str">
        <f>Sheet1!B115</f>
        <v>2025-02-02</v>
      </c>
      <c r="C115" t="str">
        <f>TEXT(Sheet1!B115,"YYYY-MM")</f>
        <v>2025-02</v>
      </c>
      <c r="D115" t="str">
        <f>Sheet1!D115</f>
        <v>Delhi</v>
      </c>
      <c r="E115" t="str">
        <f>Sheet1!F115</f>
        <v>Furniture</v>
      </c>
      <c r="F115" t="str">
        <f>Sheet1!H115</f>
        <v>Ajay</v>
      </c>
      <c r="G115">
        <f>Sheet1!K115</f>
        <v>22534.35</v>
      </c>
      <c r="H115">
        <f>Sheet1!N115</f>
        <v>3410.69</v>
      </c>
      <c r="I115">
        <f t="shared" si="4"/>
        <v>1</v>
      </c>
    </row>
    <row r="116" spans="1:9" x14ac:dyDescent="0.3">
      <c r="A116">
        <f>Sheet1!A116</f>
        <v>1115</v>
      </c>
      <c r="B116" t="str">
        <f>Sheet1!B116</f>
        <v>2025-02-02</v>
      </c>
      <c r="C116" t="str">
        <f>TEXT(Sheet1!B116,"YYYY-MM")</f>
        <v>2025-02</v>
      </c>
      <c r="D116" t="str">
        <f>Sheet1!D116</f>
        <v>Delhi</v>
      </c>
      <c r="E116" t="str">
        <f>Sheet1!F116</f>
        <v>Furniture</v>
      </c>
      <c r="F116" t="str">
        <f>Sheet1!H116</f>
        <v>Ajay</v>
      </c>
      <c r="G116">
        <f>Sheet1!K116</f>
        <v>34926.5</v>
      </c>
      <c r="H116">
        <f>Sheet1!N116</f>
        <v>6368.53</v>
      </c>
      <c r="I116">
        <f t="shared" si="4"/>
        <v>1</v>
      </c>
    </row>
    <row r="117" spans="1:9" x14ac:dyDescent="0.3">
      <c r="A117">
        <f>Sheet1!A117</f>
        <v>1116</v>
      </c>
      <c r="B117" t="str">
        <f>Sheet1!B117</f>
        <v>2025-02-02</v>
      </c>
      <c r="C117" t="str">
        <f>TEXT(Sheet1!B117,"YYYY-MM")</f>
        <v>2025-02</v>
      </c>
      <c r="D117" t="str">
        <f>Sheet1!D117</f>
        <v>Bangalore</v>
      </c>
      <c r="E117" t="str">
        <f>Sheet1!F117</f>
        <v>Electronics</v>
      </c>
      <c r="F117" t="str">
        <f>Sheet1!H117</f>
        <v>Ajay</v>
      </c>
      <c r="G117">
        <f>Sheet1!K117</f>
        <v>11434.2</v>
      </c>
      <c r="H117">
        <f>Sheet1!N117</f>
        <v>2771.42</v>
      </c>
      <c r="I117">
        <f t="shared" si="4"/>
        <v>1</v>
      </c>
    </row>
    <row r="118" spans="1:9" x14ac:dyDescent="0.3">
      <c r="A118">
        <f>Sheet1!A118</f>
        <v>1117</v>
      </c>
      <c r="B118" t="str">
        <f>Sheet1!B118</f>
        <v>2025-02-03</v>
      </c>
      <c r="C118" t="str">
        <f>TEXT(Sheet1!B118,"YYYY-MM")</f>
        <v>2025-02</v>
      </c>
      <c r="D118" t="str">
        <f>Sheet1!D118</f>
        <v>Mumbai</v>
      </c>
      <c r="E118" t="str">
        <f>Sheet1!F118</f>
        <v>Clothing</v>
      </c>
      <c r="F118" t="str">
        <f>Sheet1!H118</f>
        <v>Pooja</v>
      </c>
      <c r="G118">
        <f>Sheet1!K118</f>
        <v>12784</v>
      </c>
      <c r="H118">
        <f>Sheet1!N118</f>
        <v>2048.12</v>
      </c>
      <c r="I118">
        <f t="shared" si="4"/>
        <v>1</v>
      </c>
    </row>
    <row r="119" spans="1:9" x14ac:dyDescent="0.3">
      <c r="A119">
        <f>Sheet1!A119</f>
        <v>1118</v>
      </c>
      <c r="B119" t="str">
        <f>Sheet1!B119</f>
        <v>2025-02-03</v>
      </c>
      <c r="C119" t="str">
        <f>TEXT(Sheet1!B119,"YYYY-MM")</f>
        <v>2025-02</v>
      </c>
      <c r="D119" t="str">
        <f>Sheet1!D119</f>
        <v>Mumbai</v>
      </c>
      <c r="E119" t="str">
        <f>Sheet1!F119</f>
        <v>Furniture</v>
      </c>
      <c r="F119" t="str">
        <f>Sheet1!H119</f>
        <v>Sneha</v>
      </c>
      <c r="G119">
        <f>Sheet1!K119</f>
        <v>23841</v>
      </c>
      <c r="H119">
        <f>Sheet1!N119</f>
        <v>4063.84</v>
      </c>
      <c r="I119">
        <f t="shared" si="4"/>
        <v>1</v>
      </c>
    </row>
    <row r="120" spans="1:9" x14ac:dyDescent="0.3">
      <c r="A120">
        <f>Sheet1!A120</f>
        <v>1119</v>
      </c>
      <c r="B120" t="str">
        <f>Sheet1!B120</f>
        <v>2025-02-03</v>
      </c>
      <c r="C120" t="str">
        <f>TEXT(Sheet1!B120,"YYYY-MM")</f>
        <v>2025-02</v>
      </c>
      <c r="D120" t="str">
        <f>Sheet1!D120</f>
        <v>Hyderabad</v>
      </c>
      <c r="E120" t="str">
        <f>Sheet1!F120</f>
        <v>Clothing</v>
      </c>
      <c r="F120" t="str">
        <f>Sheet1!H120</f>
        <v>Sneha</v>
      </c>
      <c r="G120">
        <f>Sheet1!K120</f>
        <v>34123.050000000003</v>
      </c>
      <c r="H120">
        <f>Sheet1!N120</f>
        <v>5277.43</v>
      </c>
      <c r="I120">
        <f t="shared" si="4"/>
        <v>1</v>
      </c>
    </row>
    <row r="121" spans="1:9" x14ac:dyDescent="0.3">
      <c r="A121">
        <f>Sheet1!A121</f>
        <v>1120</v>
      </c>
      <c r="B121" t="str">
        <f>Sheet1!B121</f>
        <v>2025-02-03</v>
      </c>
      <c r="C121" t="str">
        <f>TEXT(Sheet1!B121,"YYYY-MM")</f>
        <v>2025-02</v>
      </c>
      <c r="D121" t="str">
        <f>Sheet1!D121</f>
        <v>Bangalore</v>
      </c>
      <c r="E121" t="str">
        <f>Sheet1!F121</f>
        <v>Clothing</v>
      </c>
      <c r="F121" t="str">
        <f>Sheet1!H121</f>
        <v>Ajay</v>
      </c>
      <c r="G121">
        <f>Sheet1!K121</f>
        <v>69636.899999999994</v>
      </c>
      <c r="H121">
        <f>Sheet1!N121</f>
        <v>15941.5</v>
      </c>
      <c r="I121">
        <f t="shared" si="4"/>
        <v>1</v>
      </c>
    </row>
    <row r="122" spans="1:9" x14ac:dyDescent="0.3">
      <c r="A122">
        <f>Sheet1!A122</f>
        <v>1121</v>
      </c>
      <c r="B122" t="str">
        <f>Sheet1!B122</f>
        <v>2025-02-03</v>
      </c>
      <c r="C122" t="str">
        <f>TEXT(Sheet1!B122,"YYYY-MM")</f>
        <v>2025-02</v>
      </c>
      <c r="D122" t="str">
        <f>Sheet1!D122</f>
        <v>Pune</v>
      </c>
      <c r="E122" t="str">
        <f>Sheet1!F122</f>
        <v>Electronics</v>
      </c>
      <c r="F122" t="str">
        <f>Sheet1!H122</f>
        <v>Rahul</v>
      </c>
      <c r="G122">
        <f>Sheet1!K122</f>
        <v>3210.05</v>
      </c>
      <c r="H122">
        <f>Sheet1!N122</f>
        <v>325.55</v>
      </c>
      <c r="I122">
        <f t="shared" si="4"/>
        <v>1</v>
      </c>
    </row>
    <row r="123" spans="1:9" x14ac:dyDescent="0.3">
      <c r="A123">
        <f>Sheet1!A123</f>
        <v>1122</v>
      </c>
      <c r="B123" t="str">
        <f>Sheet1!B123</f>
        <v>2025-02-04</v>
      </c>
      <c r="C123" t="str">
        <f>TEXT(Sheet1!B123,"YYYY-MM")</f>
        <v>2025-02</v>
      </c>
      <c r="D123" t="str">
        <f>Sheet1!D123</f>
        <v>Bangalore</v>
      </c>
      <c r="E123" t="str">
        <f>Sheet1!F123</f>
        <v>Electronics</v>
      </c>
      <c r="F123" t="str">
        <f>Sheet1!H123</f>
        <v>Ajay</v>
      </c>
      <c r="G123">
        <f>Sheet1!K123</f>
        <v>78296.899999999994</v>
      </c>
      <c r="H123">
        <f>Sheet1!N123</f>
        <v>14380.27</v>
      </c>
      <c r="I123">
        <f t="shared" si="4"/>
        <v>1</v>
      </c>
    </row>
    <row r="124" spans="1:9" x14ac:dyDescent="0.3">
      <c r="A124">
        <f>Sheet1!A124</f>
        <v>1123</v>
      </c>
      <c r="B124" t="str">
        <f>Sheet1!B124</f>
        <v>2025-02-04</v>
      </c>
      <c r="C124" t="str">
        <f>TEXT(Sheet1!B124,"YYYY-MM")</f>
        <v>2025-02</v>
      </c>
      <c r="D124" t="str">
        <f>Sheet1!D124</f>
        <v>Mumbai</v>
      </c>
      <c r="E124" t="str">
        <f>Sheet1!F124</f>
        <v>Furniture</v>
      </c>
      <c r="F124" t="str">
        <f>Sheet1!H124</f>
        <v>Ajay</v>
      </c>
      <c r="G124">
        <f>Sheet1!K124</f>
        <v>28770.799999999999</v>
      </c>
      <c r="H124">
        <f>Sheet1!N124</f>
        <v>7921.53</v>
      </c>
      <c r="I124">
        <f t="shared" si="4"/>
        <v>1</v>
      </c>
    </row>
    <row r="125" spans="1:9" x14ac:dyDescent="0.3">
      <c r="A125">
        <f>Sheet1!A125</f>
        <v>1124</v>
      </c>
      <c r="B125" t="str">
        <f>Sheet1!B125</f>
        <v>2025-02-04</v>
      </c>
      <c r="C125" t="str">
        <f>TEXT(Sheet1!B125,"YYYY-MM")</f>
        <v>2025-02</v>
      </c>
      <c r="D125" t="str">
        <f>Sheet1!D125</f>
        <v>Mumbai</v>
      </c>
      <c r="E125" t="str">
        <f>Sheet1!F125</f>
        <v>Furniture</v>
      </c>
      <c r="F125" t="str">
        <f>Sheet1!H125</f>
        <v>Ajay</v>
      </c>
      <c r="G125">
        <f>Sheet1!K125</f>
        <v>32508</v>
      </c>
      <c r="H125">
        <f>Sheet1!N125</f>
        <v>5387.48</v>
      </c>
      <c r="I125">
        <f t="shared" si="4"/>
        <v>1</v>
      </c>
    </row>
    <row r="126" spans="1:9" x14ac:dyDescent="0.3">
      <c r="A126">
        <f>Sheet1!A126</f>
        <v>1125</v>
      </c>
      <c r="B126" t="str">
        <f>Sheet1!B126</f>
        <v>2025-02-04</v>
      </c>
      <c r="C126" t="str">
        <f>TEXT(Sheet1!B126,"YYYY-MM")</f>
        <v>2025-02</v>
      </c>
      <c r="D126" t="str">
        <f>Sheet1!D126</f>
        <v>Hyderabad</v>
      </c>
      <c r="E126" t="str">
        <f>Sheet1!F126</f>
        <v>Electronics</v>
      </c>
      <c r="F126" t="str">
        <f>Sheet1!H126</f>
        <v>Pooja</v>
      </c>
      <c r="G126">
        <f>Sheet1!K126</f>
        <v>107217</v>
      </c>
      <c r="H126">
        <f>Sheet1!N126</f>
        <v>13764.22</v>
      </c>
      <c r="I126">
        <f t="shared" si="4"/>
        <v>1</v>
      </c>
    </row>
    <row r="127" spans="1:9" x14ac:dyDescent="0.3">
      <c r="A127">
        <f>Sheet1!A127</f>
        <v>1126</v>
      </c>
      <c r="B127" t="str">
        <f>Sheet1!B127</f>
        <v>2025-02-04</v>
      </c>
      <c r="C127" t="str">
        <f>TEXT(Sheet1!B127,"YYYY-MM")</f>
        <v>2025-02</v>
      </c>
      <c r="D127" t="str">
        <f>Sheet1!D127</f>
        <v>Delhi</v>
      </c>
      <c r="E127" t="str">
        <f>Sheet1!F127</f>
        <v>Clothing</v>
      </c>
      <c r="F127" t="str">
        <f>Sheet1!H127</f>
        <v>Rahul</v>
      </c>
      <c r="G127">
        <f>Sheet1!K127</f>
        <v>27752</v>
      </c>
      <c r="H127">
        <f>Sheet1!N127</f>
        <v>6332.09</v>
      </c>
      <c r="I127">
        <f t="shared" si="4"/>
        <v>1</v>
      </c>
    </row>
    <row r="128" spans="1:9" x14ac:dyDescent="0.3">
      <c r="A128">
        <f>Sheet1!A128</f>
        <v>1127</v>
      </c>
      <c r="B128" t="str">
        <f>Sheet1!B128</f>
        <v>2025-02-05</v>
      </c>
      <c r="C128" t="str">
        <f>TEXT(Sheet1!B128,"YYYY-MM")</f>
        <v>2025-02</v>
      </c>
      <c r="D128" t="str">
        <f>Sheet1!D128</f>
        <v>Delhi</v>
      </c>
      <c r="E128" t="str">
        <f>Sheet1!F128</f>
        <v>Clothing</v>
      </c>
      <c r="F128" t="str">
        <f>Sheet1!H128</f>
        <v>Pooja</v>
      </c>
      <c r="G128">
        <f>Sheet1!K128</f>
        <v>54324</v>
      </c>
      <c r="H128">
        <f>Sheet1!N128</f>
        <v>15353.64</v>
      </c>
      <c r="I128">
        <f t="shared" si="4"/>
        <v>1</v>
      </c>
    </row>
    <row r="129" spans="1:9" x14ac:dyDescent="0.3">
      <c r="A129">
        <f>Sheet1!A129</f>
        <v>1128</v>
      </c>
      <c r="B129" t="str">
        <f>Sheet1!B129</f>
        <v>2025-02-05</v>
      </c>
      <c r="C129" t="str">
        <f>TEXT(Sheet1!B129,"YYYY-MM")</f>
        <v>2025-02</v>
      </c>
      <c r="D129" t="str">
        <f>Sheet1!D129</f>
        <v>Mumbai</v>
      </c>
      <c r="E129" t="str">
        <f>Sheet1!F129</f>
        <v>Clothing</v>
      </c>
      <c r="F129" t="str">
        <f>Sheet1!H129</f>
        <v>Rahul</v>
      </c>
      <c r="G129">
        <f>Sheet1!K129</f>
        <v>68634</v>
      </c>
      <c r="H129">
        <f>Sheet1!N129</f>
        <v>10167.1</v>
      </c>
      <c r="I129">
        <f t="shared" si="4"/>
        <v>1</v>
      </c>
    </row>
    <row r="130" spans="1:9" x14ac:dyDescent="0.3">
      <c r="A130">
        <f>Sheet1!A130</f>
        <v>1129</v>
      </c>
      <c r="B130" t="str">
        <f>Sheet1!B130</f>
        <v>2025-02-06</v>
      </c>
      <c r="C130" t="str">
        <f>TEXT(Sheet1!B130,"YYYY-MM")</f>
        <v>2025-02</v>
      </c>
      <c r="D130" t="str">
        <f>Sheet1!D130</f>
        <v>Delhi</v>
      </c>
      <c r="E130" t="str">
        <f>Sheet1!F130</f>
        <v>Electronics</v>
      </c>
      <c r="F130" t="str">
        <f>Sheet1!H130</f>
        <v>Pooja</v>
      </c>
      <c r="G130">
        <f>Sheet1!K130</f>
        <v>37063.300000000003</v>
      </c>
      <c r="H130">
        <f>Sheet1!N130</f>
        <v>6471.59</v>
      </c>
      <c r="I130">
        <f t="shared" ref="I130:I193" si="5">IF(AND(OR(FilterCity="All",D130=FilterCity),OR(FilterCategory="All",E130=FilterCategory),OR(FilterRep="All",F130=FilterRep),C130&gt;=FilterMonthFrom,C130&lt;=FilterMonthTo),1,0)</f>
        <v>1</v>
      </c>
    </row>
    <row r="131" spans="1:9" x14ac:dyDescent="0.3">
      <c r="A131">
        <f>Sheet1!A131</f>
        <v>1130</v>
      </c>
      <c r="B131" t="str">
        <f>Sheet1!B131</f>
        <v>2025-02-06</v>
      </c>
      <c r="C131" t="str">
        <f>TEXT(Sheet1!B131,"YYYY-MM")</f>
        <v>2025-02</v>
      </c>
      <c r="D131" t="str">
        <f>Sheet1!D131</f>
        <v>Pune</v>
      </c>
      <c r="E131" t="str">
        <f>Sheet1!F131</f>
        <v>Electronics</v>
      </c>
      <c r="F131" t="str">
        <f>Sheet1!H131</f>
        <v>Sneha</v>
      </c>
      <c r="G131">
        <f>Sheet1!K131</f>
        <v>91325.7</v>
      </c>
      <c r="H131">
        <f>Sheet1!N131</f>
        <v>24971.52</v>
      </c>
      <c r="I131">
        <f t="shared" si="5"/>
        <v>1</v>
      </c>
    </row>
    <row r="132" spans="1:9" x14ac:dyDescent="0.3">
      <c r="A132">
        <f>Sheet1!A132</f>
        <v>1131</v>
      </c>
      <c r="B132" t="str">
        <f>Sheet1!B132</f>
        <v>2025-02-06</v>
      </c>
      <c r="C132" t="str">
        <f>TEXT(Sheet1!B132,"YYYY-MM")</f>
        <v>2025-02</v>
      </c>
      <c r="D132" t="str">
        <f>Sheet1!D132</f>
        <v>Pune</v>
      </c>
      <c r="E132" t="str">
        <f>Sheet1!F132</f>
        <v>Furniture</v>
      </c>
      <c r="F132" t="str">
        <f>Sheet1!H132</f>
        <v>Sneha</v>
      </c>
      <c r="G132">
        <f>Sheet1!K132</f>
        <v>12285.05</v>
      </c>
      <c r="H132">
        <f>Sheet1!N132</f>
        <v>2129.42</v>
      </c>
      <c r="I132">
        <f t="shared" si="5"/>
        <v>1</v>
      </c>
    </row>
    <row r="133" spans="1:9" x14ac:dyDescent="0.3">
      <c r="A133">
        <f>Sheet1!A133</f>
        <v>1132</v>
      </c>
      <c r="B133" t="str">
        <f>Sheet1!B133</f>
        <v>2025-02-06</v>
      </c>
      <c r="C133" t="str">
        <f>TEXT(Sheet1!B133,"YYYY-MM")</f>
        <v>2025-02</v>
      </c>
      <c r="D133" t="str">
        <f>Sheet1!D133</f>
        <v>Hyderabad</v>
      </c>
      <c r="E133" t="str">
        <f>Sheet1!F133</f>
        <v>Furniture</v>
      </c>
      <c r="F133" t="str">
        <f>Sheet1!H133</f>
        <v>Ajay</v>
      </c>
      <c r="G133">
        <f>Sheet1!K133</f>
        <v>55137.8</v>
      </c>
      <c r="H133">
        <f>Sheet1!N133</f>
        <v>14835.25</v>
      </c>
      <c r="I133">
        <f t="shared" si="5"/>
        <v>1</v>
      </c>
    </row>
    <row r="134" spans="1:9" x14ac:dyDescent="0.3">
      <c r="A134">
        <f>Sheet1!A134</f>
        <v>1133</v>
      </c>
      <c r="B134" t="str">
        <f>Sheet1!B134</f>
        <v>2025-02-07</v>
      </c>
      <c r="C134" t="str">
        <f>TEXT(Sheet1!B134,"YYYY-MM")</f>
        <v>2025-02</v>
      </c>
      <c r="D134" t="str">
        <f>Sheet1!D134</f>
        <v>Mumbai</v>
      </c>
      <c r="E134" t="str">
        <f>Sheet1!F134</f>
        <v>Furniture</v>
      </c>
      <c r="F134" t="str">
        <f>Sheet1!H134</f>
        <v>Sneha</v>
      </c>
      <c r="G134">
        <f>Sheet1!K134</f>
        <v>25421.4</v>
      </c>
      <c r="H134">
        <f>Sheet1!N134</f>
        <v>7479.03</v>
      </c>
      <c r="I134">
        <f t="shared" si="5"/>
        <v>1</v>
      </c>
    </row>
    <row r="135" spans="1:9" x14ac:dyDescent="0.3">
      <c r="A135">
        <f>Sheet1!A135</f>
        <v>1134</v>
      </c>
      <c r="B135" t="str">
        <f>Sheet1!B135</f>
        <v>2025-02-07</v>
      </c>
      <c r="C135" t="str">
        <f>TEXT(Sheet1!B135,"YYYY-MM")</f>
        <v>2025-02</v>
      </c>
      <c r="D135" t="str">
        <f>Sheet1!D135</f>
        <v>Bangalore</v>
      </c>
      <c r="E135" t="str">
        <f>Sheet1!F135</f>
        <v>Furniture</v>
      </c>
      <c r="F135" t="str">
        <f>Sheet1!H135</f>
        <v>Rahul</v>
      </c>
      <c r="G135">
        <f>Sheet1!K135</f>
        <v>164073.79999999999</v>
      </c>
      <c r="H135">
        <f>Sheet1!N135</f>
        <v>21827.53</v>
      </c>
      <c r="I135">
        <f t="shared" si="5"/>
        <v>1</v>
      </c>
    </row>
    <row r="136" spans="1:9" x14ac:dyDescent="0.3">
      <c r="A136">
        <f>Sheet1!A136</f>
        <v>1135</v>
      </c>
      <c r="B136" t="str">
        <f>Sheet1!B136</f>
        <v>2025-02-07</v>
      </c>
      <c r="C136" t="str">
        <f>TEXT(Sheet1!B136,"YYYY-MM")</f>
        <v>2025-02</v>
      </c>
      <c r="D136" t="str">
        <f>Sheet1!D136</f>
        <v>Hyderabad</v>
      </c>
      <c r="E136" t="str">
        <f>Sheet1!F136</f>
        <v>Furniture</v>
      </c>
      <c r="F136" t="str">
        <f>Sheet1!H136</f>
        <v>Pooja</v>
      </c>
      <c r="G136">
        <f>Sheet1!K136</f>
        <v>37409.4</v>
      </c>
      <c r="H136">
        <f>Sheet1!N136</f>
        <v>7422.77</v>
      </c>
      <c r="I136">
        <f t="shared" si="5"/>
        <v>1</v>
      </c>
    </row>
    <row r="137" spans="1:9" x14ac:dyDescent="0.3">
      <c r="A137">
        <f>Sheet1!A137</f>
        <v>1136</v>
      </c>
      <c r="B137" t="str">
        <f>Sheet1!B137</f>
        <v>2025-02-07</v>
      </c>
      <c r="C137" t="str">
        <f>TEXT(Sheet1!B137,"YYYY-MM")</f>
        <v>2025-02</v>
      </c>
      <c r="D137" t="str">
        <f>Sheet1!D137</f>
        <v>Delhi</v>
      </c>
      <c r="E137" t="str">
        <f>Sheet1!F137</f>
        <v>Electronics</v>
      </c>
      <c r="F137" t="str">
        <f>Sheet1!H137</f>
        <v>Ajay</v>
      </c>
      <c r="G137">
        <f>Sheet1!K137</f>
        <v>111888</v>
      </c>
      <c r="H137">
        <f>Sheet1!N137</f>
        <v>16184.9</v>
      </c>
      <c r="I137">
        <f t="shared" si="5"/>
        <v>1</v>
      </c>
    </row>
    <row r="138" spans="1:9" x14ac:dyDescent="0.3">
      <c r="A138">
        <f>Sheet1!A138</f>
        <v>1137</v>
      </c>
      <c r="B138" t="str">
        <f>Sheet1!B138</f>
        <v>2025-02-08</v>
      </c>
      <c r="C138" t="str">
        <f>TEXT(Sheet1!B138,"YYYY-MM")</f>
        <v>2025-02</v>
      </c>
      <c r="D138" t="str">
        <f>Sheet1!D138</f>
        <v>Mumbai</v>
      </c>
      <c r="E138" t="str">
        <f>Sheet1!F138</f>
        <v>Clothing</v>
      </c>
      <c r="F138" t="str">
        <f>Sheet1!H138</f>
        <v>Pooja</v>
      </c>
      <c r="G138">
        <f>Sheet1!K138</f>
        <v>41040.550000000003</v>
      </c>
      <c r="H138">
        <f>Sheet1!N138</f>
        <v>9900.48</v>
      </c>
      <c r="I138">
        <f t="shared" si="5"/>
        <v>1</v>
      </c>
    </row>
    <row r="139" spans="1:9" x14ac:dyDescent="0.3">
      <c r="A139">
        <f>Sheet1!A139</f>
        <v>1138</v>
      </c>
      <c r="B139" t="str">
        <f>Sheet1!B139</f>
        <v>2025-02-08</v>
      </c>
      <c r="C139" t="str">
        <f>TEXT(Sheet1!B139,"YYYY-MM")</f>
        <v>2025-02</v>
      </c>
      <c r="D139" t="str">
        <f>Sheet1!D139</f>
        <v>Delhi</v>
      </c>
      <c r="E139" t="str">
        <f>Sheet1!F139</f>
        <v>Electronics</v>
      </c>
      <c r="F139" t="str">
        <f>Sheet1!H139</f>
        <v>Pooja</v>
      </c>
      <c r="G139">
        <f>Sheet1!K139</f>
        <v>24880.5</v>
      </c>
      <c r="H139">
        <f>Sheet1!N139</f>
        <v>4932.97</v>
      </c>
      <c r="I139">
        <f t="shared" si="5"/>
        <v>1</v>
      </c>
    </row>
    <row r="140" spans="1:9" x14ac:dyDescent="0.3">
      <c r="A140">
        <f>Sheet1!A140</f>
        <v>1139</v>
      </c>
      <c r="B140" t="str">
        <f>Sheet1!B140</f>
        <v>2025-02-09</v>
      </c>
      <c r="C140" t="str">
        <f>TEXT(Sheet1!B140,"YYYY-MM")</f>
        <v>2025-02</v>
      </c>
      <c r="D140" t="str">
        <f>Sheet1!D140</f>
        <v>Mumbai</v>
      </c>
      <c r="E140" t="str">
        <f>Sheet1!F140</f>
        <v>Electronics</v>
      </c>
      <c r="F140" t="str">
        <f>Sheet1!H140</f>
        <v>Rahul</v>
      </c>
      <c r="G140">
        <f>Sheet1!K140</f>
        <v>27815.05</v>
      </c>
      <c r="H140">
        <f>Sheet1!N140</f>
        <v>3982.97</v>
      </c>
      <c r="I140">
        <f t="shared" si="5"/>
        <v>1</v>
      </c>
    </row>
    <row r="141" spans="1:9" x14ac:dyDescent="0.3">
      <c r="A141">
        <f>Sheet1!A141</f>
        <v>1140</v>
      </c>
      <c r="B141" t="str">
        <f>Sheet1!B141</f>
        <v>2025-02-09</v>
      </c>
      <c r="C141" t="str">
        <f>TEXT(Sheet1!B141,"YYYY-MM")</f>
        <v>2025-02</v>
      </c>
      <c r="D141" t="str">
        <f>Sheet1!D141</f>
        <v>Hyderabad</v>
      </c>
      <c r="E141" t="str">
        <f>Sheet1!F141</f>
        <v>Furniture</v>
      </c>
      <c r="F141" t="str">
        <f>Sheet1!H141</f>
        <v>Rahul</v>
      </c>
      <c r="G141">
        <f>Sheet1!K141</f>
        <v>14100</v>
      </c>
      <c r="H141">
        <f>Sheet1!N141</f>
        <v>4082.48</v>
      </c>
      <c r="I141">
        <f t="shared" si="5"/>
        <v>1</v>
      </c>
    </row>
    <row r="142" spans="1:9" x14ac:dyDescent="0.3">
      <c r="A142">
        <f>Sheet1!A142</f>
        <v>1141</v>
      </c>
      <c r="B142" t="str">
        <f>Sheet1!B142</f>
        <v>2025-02-09</v>
      </c>
      <c r="C142" t="str">
        <f>TEXT(Sheet1!B142,"YYYY-MM")</f>
        <v>2025-02</v>
      </c>
      <c r="D142" t="str">
        <f>Sheet1!D142</f>
        <v>Pune</v>
      </c>
      <c r="E142" t="str">
        <f>Sheet1!F142</f>
        <v>Electronics</v>
      </c>
      <c r="F142" t="str">
        <f>Sheet1!H142</f>
        <v>Sneha</v>
      </c>
      <c r="G142">
        <f>Sheet1!K142</f>
        <v>34439.4</v>
      </c>
      <c r="H142">
        <f>Sheet1!N142</f>
        <v>5545.36</v>
      </c>
      <c r="I142">
        <f t="shared" si="5"/>
        <v>1</v>
      </c>
    </row>
    <row r="143" spans="1:9" x14ac:dyDescent="0.3">
      <c r="A143">
        <f>Sheet1!A143</f>
        <v>1142</v>
      </c>
      <c r="B143" t="str">
        <f>Sheet1!B143</f>
        <v>2025-02-09</v>
      </c>
      <c r="C143" t="str">
        <f>TEXT(Sheet1!B143,"YYYY-MM")</f>
        <v>2025-02</v>
      </c>
      <c r="D143" t="str">
        <f>Sheet1!D143</f>
        <v>Delhi</v>
      </c>
      <c r="E143" t="str">
        <f>Sheet1!F143</f>
        <v>Electronics</v>
      </c>
      <c r="F143" t="str">
        <f>Sheet1!H143</f>
        <v>Pooja</v>
      </c>
      <c r="G143">
        <f>Sheet1!K143</f>
        <v>119808</v>
      </c>
      <c r="H143">
        <f>Sheet1!N143</f>
        <v>32910.49</v>
      </c>
      <c r="I143">
        <f t="shared" si="5"/>
        <v>1</v>
      </c>
    </row>
    <row r="144" spans="1:9" x14ac:dyDescent="0.3">
      <c r="A144">
        <f>Sheet1!A144</f>
        <v>1143</v>
      </c>
      <c r="B144" t="str">
        <f>Sheet1!B144</f>
        <v>2025-02-09</v>
      </c>
      <c r="C144" t="str">
        <f>TEXT(Sheet1!B144,"YYYY-MM")</f>
        <v>2025-02</v>
      </c>
      <c r="D144" t="str">
        <f>Sheet1!D144</f>
        <v>Pune</v>
      </c>
      <c r="E144" t="str">
        <f>Sheet1!F144</f>
        <v>Electronics</v>
      </c>
      <c r="F144" t="str">
        <f>Sheet1!H144</f>
        <v>Pooja</v>
      </c>
      <c r="G144">
        <f>Sheet1!K144</f>
        <v>17916.3</v>
      </c>
      <c r="H144">
        <f>Sheet1!N144</f>
        <v>4838.12</v>
      </c>
      <c r="I144">
        <f t="shared" si="5"/>
        <v>1</v>
      </c>
    </row>
    <row r="145" spans="1:9" x14ac:dyDescent="0.3">
      <c r="A145">
        <f>Sheet1!A145</f>
        <v>1144</v>
      </c>
      <c r="B145" t="str">
        <f>Sheet1!B145</f>
        <v>2025-02-10</v>
      </c>
      <c r="C145" t="str">
        <f>TEXT(Sheet1!B145,"YYYY-MM")</f>
        <v>2025-02</v>
      </c>
      <c r="D145" t="str">
        <f>Sheet1!D145</f>
        <v>Bangalore</v>
      </c>
      <c r="E145" t="str">
        <f>Sheet1!F145</f>
        <v>Electronics</v>
      </c>
      <c r="F145" t="str">
        <f>Sheet1!H145</f>
        <v>Rahul</v>
      </c>
      <c r="G145">
        <f>Sheet1!K145</f>
        <v>116984</v>
      </c>
      <c r="H145">
        <f>Sheet1!N145</f>
        <v>24786.42</v>
      </c>
      <c r="I145">
        <f t="shared" si="5"/>
        <v>1</v>
      </c>
    </row>
    <row r="146" spans="1:9" x14ac:dyDescent="0.3">
      <c r="A146">
        <f>Sheet1!A146</f>
        <v>1145</v>
      </c>
      <c r="B146" t="str">
        <f>Sheet1!B146</f>
        <v>2025-02-10</v>
      </c>
      <c r="C146" t="str">
        <f>TEXT(Sheet1!B146,"YYYY-MM")</f>
        <v>2025-02</v>
      </c>
      <c r="D146" t="str">
        <f>Sheet1!D146</f>
        <v>Delhi</v>
      </c>
      <c r="E146" t="str">
        <f>Sheet1!F146</f>
        <v>Furniture</v>
      </c>
      <c r="F146" t="str">
        <f>Sheet1!H146</f>
        <v>Ajay</v>
      </c>
      <c r="G146">
        <f>Sheet1!K146</f>
        <v>12315.6</v>
      </c>
      <c r="H146">
        <f>Sheet1!N146</f>
        <v>1800.24</v>
      </c>
      <c r="I146">
        <f t="shared" si="5"/>
        <v>1</v>
      </c>
    </row>
    <row r="147" spans="1:9" x14ac:dyDescent="0.3">
      <c r="A147">
        <f>Sheet1!A147</f>
        <v>1146</v>
      </c>
      <c r="B147" t="str">
        <f>Sheet1!B147</f>
        <v>2025-02-10</v>
      </c>
      <c r="C147" t="str">
        <f>TEXT(Sheet1!B147,"YYYY-MM")</f>
        <v>2025-02</v>
      </c>
      <c r="D147" t="str">
        <f>Sheet1!D147</f>
        <v>Pune</v>
      </c>
      <c r="E147" t="str">
        <f>Sheet1!F147</f>
        <v>Furniture</v>
      </c>
      <c r="F147" t="str">
        <f>Sheet1!H147</f>
        <v>Ajay</v>
      </c>
      <c r="G147">
        <f>Sheet1!K147</f>
        <v>8606</v>
      </c>
      <c r="H147">
        <f>Sheet1!N147</f>
        <v>1040.0999999999999</v>
      </c>
      <c r="I147">
        <f t="shared" si="5"/>
        <v>1</v>
      </c>
    </row>
    <row r="148" spans="1:9" x14ac:dyDescent="0.3">
      <c r="A148">
        <f>Sheet1!A148</f>
        <v>1147</v>
      </c>
      <c r="B148" t="str">
        <f>Sheet1!B148</f>
        <v>2025-02-10</v>
      </c>
      <c r="C148" t="str">
        <f>TEXT(Sheet1!B148,"YYYY-MM")</f>
        <v>2025-02</v>
      </c>
      <c r="D148" t="str">
        <f>Sheet1!D148</f>
        <v>Bangalore</v>
      </c>
      <c r="E148" t="str">
        <f>Sheet1!F148</f>
        <v>Electronics</v>
      </c>
      <c r="F148" t="str">
        <f>Sheet1!H148</f>
        <v>Ajay</v>
      </c>
      <c r="G148">
        <f>Sheet1!K148</f>
        <v>91377</v>
      </c>
      <c r="H148">
        <f>Sheet1!N148</f>
        <v>14470.29</v>
      </c>
      <c r="I148">
        <f t="shared" si="5"/>
        <v>1</v>
      </c>
    </row>
    <row r="149" spans="1:9" x14ac:dyDescent="0.3">
      <c r="A149">
        <f>Sheet1!A149</f>
        <v>1148</v>
      </c>
      <c r="B149" t="str">
        <f>Sheet1!B149</f>
        <v>2025-02-10</v>
      </c>
      <c r="C149" t="str">
        <f>TEXT(Sheet1!B149,"YYYY-MM")</f>
        <v>2025-02</v>
      </c>
      <c r="D149" t="str">
        <f>Sheet1!D149</f>
        <v>Hyderabad</v>
      </c>
      <c r="E149" t="str">
        <f>Sheet1!F149</f>
        <v>Clothing</v>
      </c>
      <c r="F149" t="str">
        <f>Sheet1!H149</f>
        <v>Sneha</v>
      </c>
      <c r="G149">
        <f>Sheet1!K149</f>
        <v>166382.39999999999</v>
      </c>
      <c r="H149">
        <f>Sheet1!N149</f>
        <v>27284.080000000002</v>
      </c>
      <c r="I149">
        <f t="shared" si="5"/>
        <v>1</v>
      </c>
    </row>
    <row r="150" spans="1:9" x14ac:dyDescent="0.3">
      <c r="A150">
        <f>Sheet1!A150</f>
        <v>1149</v>
      </c>
      <c r="B150" t="str">
        <f>Sheet1!B150</f>
        <v>2025-02-11</v>
      </c>
      <c r="C150" t="str">
        <f>TEXT(Sheet1!B150,"YYYY-MM")</f>
        <v>2025-02</v>
      </c>
      <c r="D150" t="str">
        <f>Sheet1!D150</f>
        <v>Bangalore</v>
      </c>
      <c r="E150" t="str">
        <f>Sheet1!F150</f>
        <v>Electronics</v>
      </c>
      <c r="F150" t="str">
        <f>Sheet1!H150</f>
        <v>Ajay</v>
      </c>
      <c r="G150">
        <f>Sheet1!K150</f>
        <v>130260</v>
      </c>
      <c r="H150">
        <f>Sheet1!N150</f>
        <v>24112.81</v>
      </c>
      <c r="I150">
        <f t="shared" si="5"/>
        <v>1</v>
      </c>
    </row>
    <row r="151" spans="1:9" x14ac:dyDescent="0.3">
      <c r="A151">
        <f>Sheet1!A151</f>
        <v>1150</v>
      </c>
      <c r="B151" t="str">
        <f>Sheet1!B151</f>
        <v>2025-02-11</v>
      </c>
      <c r="C151" t="str">
        <f>TEXT(Sheet1!B151,"YYYY-MM")</f>
        <v>2025-02</v>
      </c>
      <c r="D151" t="str">
        <f>Sheet1!D151</f>
        <v>Bangalore</v>
      </c>
      <c r="E151" t="str">
        <f>Sheet1!F151</f>
        <v>Electronics</v>
      </c>
      <c r="F151" t="str">
        <f>Sheet1!H151</f>
        <v>Sneha</v>
      </c>
      <c r="G151">
        <f>Sheet1!K151</f>
        <v>168925.5</v>
      </c>
      <c r="H151">
        <f>Sheet1!N151</f>
        <v>34621.35</v>
      </c>
      <c r="I151">
        <f t="shared" si="5"/>
        <v>1</v>
      </c>
    </row>
    <row r="152" spans="1:9" x14ac:dyDescent="0.3">
      <c r="A152">
        <f>Sheet1!A152</f>
        <v>1151</v>
      </c>
      <c r="B152" t="str">
        <f>Sheet1!B152</f>
        <v>2025-02-11</v>
      </c>
      <c r="C152" t="str">
        <f>TEXT(Sheet1!B152,"YYYY-MM")</f>
        <v>2025-02</v>
      </c>
      <c r="D152" t="str">
        <f>Sheet1!D152</f>
        <v>Hyderabad</v>
      </c>
      <c r="E152" t="str">
        <f>Sheet1!F152</f>
        <v>Electronics</v>
      </c>
      <c r="F152" t="str">
        <f>Sheet1!H152</f>
        <v>Rahul</v>
      </c>
      <c r="G152">
        <f>Sheet1!K152</f>
        <v>23902.95</v>
      </c>
      <c r="H152">
        <f>Sheet1!N152</f>
        <v>5938.24</v>
      </c>
      <c r="I152">
        <f t="shared" si="5"/>
        <v>1</v>
      </c>
    </row>
    <row r="153" spans="1:9" x14ac:dyDescent="0.3">
      <c r="A153">
        <f>Sheet1!A153</f>
        <v>1152</v>
      </c>
      <c r="B153" t="str">
        <f>Sheet1!B153</f>
        <v>2025-02-11</v>
      </c>
      <c r="C153" t="str">
        <f>TEXT(Sheet1!B153,"YYYY-MM")</f>
        <v>2025-02</v>
      </c>
      <c r="D153" t="str">
        <f>Sheet1!D153</f>
        <v>Bangalore</v>
      </c>
      <c r="E153" t="str">
        <f>Sheet1!F153</f>
        <v>Furniture</v>
      </c>
      <c r="F153" t="str">
        <f>Sheet1!H153</f>
        <v>Sneha</v>
      </c>
      <c r="G153">
        <f>Sheet1!K153</f>
        <v>57665</v>
      </c>
      <c r="H153">
        <f>Sheet1!N153</f>
        <v>13565.87</v>
      </c>
      <c r="I153">
        <f t="shared" si="5"/>
        <v>1</v>
      </c>
    </row>
    <row r="154" spans="1:9" x14ac:dyDescent="0.3">
      <c r="A154">
        <f>Sheet1!A154</f>
        <v>1153</v>
      </c>
      <c r="B154" t="str">
        <f>Sheet1!B154</f>
        <v>2025-02-12</v>
      </c>
      <c r="C154" t="str">
        <f>TEXT(Sheet1!B154,"YYYY-MM")</f>
        <v>2025-02</v>
      </c>
      <c r="D154" t="str">
        <f>Sheet1!D154</f>
        <v>Mumbai</v>
      </c>
      <c r="E154" t="str">
        <f>Sheet1!F154</f>
        <v>Electronics</v>
      </c>
      <c r="F154" t="str">
        <f>Sheet1!H154</f>
        <v>Ajay</v>
      </c>
      <c r="G154">
        <f>Sheet1!K154</f>
        <v>41265.15</v>
      </c>
      <c r="H154">
        <f>Sheet1!N154</f>
        <v>9859.8799999999992</v>
      </c>
      <c r="I154">
        <f t="shared" si="5"/>
        <v>1</v>
      </c>
    </row>
    <row r="155" spans="1:9" x14ac:dyDescent="0.3">
      <c r="A155">
        <f>Sheet1!A155</f>
        <v>1154</v>
      </c>
      <c r="B155" t="str">
        <f>Sheet1!B155</f>
        <v>2025-02-12</v>
      </c>
      <c r="C155" t="str">
        <f>TEXT(Sheet1!B155,"YYYY-MM")</f>
        <v>2025-02</v>
      </c>
      <c r="D155" t="str">
        <f>Sheet1!D155</f>
        <v>Pune</v>
      </c>
      <c r="E155" t="str">
        <f>Sheet1!F155</f>
        <v>Electronics</v>
      </c>
      <c r="F155" t="str">
        <f>Sheet1!H155</f>
        <v>Rahul</v>
      </c>
      <c r="G155">
        <f>Sheet1!K155</f>
        <v>3585.3</v>
      </c>
      <c r="H155">
        <f>Sheet1!N155</f>
        <v>496.96</v>
      </c>
      <c r="I155">
        <f t="shared" si="5"/>
        <v>1</v>
      </c>
    </row>
    <row r="156" spans="1:9" x14ac:dyDescent="0.3">
      <c r="A156">
        <f>Sheet1!A156</f>
        <v>1155</v>
      </c>
      <c r="B156" t="str">
        <f>Sheet1!B156</f>
        <v>2025-02-12</v>
      </c>
      <c r="C156" t="str">
        <f>TEXT(Sheet1!B156,"YYYY-MM")</f>
        <v>2025-02</v>
      </c>
      <c r="D156" t="str">
        <f>Sheet1!D156</f>
        <v>Bangalore</v>
      </c>
      <c r="E156" t="str">
        <f>Sheet1!F156</f>
        <v>Electronics</v>
      </c>
      <c r="F156" t="str">
        <f>Sheet1!H156</f>
        <v>Ajay</v>
      </c>
      <c r="G156">
        <f>Sheet1!K156</f>
        <v>14232.6</v>
      </c>
      <c r="H156">
        <f>Sheet1!N156</f>
        <v>3276.61</v>
      </c>
      <c r="I156">
        <f t="shared" si="5"/>
        <v>1</v>
      </c>
    </row>
    <row r="157" spans="1:9" x14ac:dyDescent="0.3">
      <c r="A157">
        <f>Sheet1!A157</f>
        <v>1156</v>
      </c>
      <c r="B157" t="str">
        <f>Sheet1!B157</f>
        <v>2025-02-13</v>
      </c>
      <c r="C157" t="str">
        <f>TEXT(Sheet1!B157,"YYYY-MM")</f>
        <v>2025-02</v>
      </c>
      <c r="D157" t="str">
        <f>Sheet1!D157</f>
        <v>Delhi</v>
      </c>
      <c r="E157" t="str">
        <f>Sheet1!F157</f>
        <v>Electronics</v>
      </c>
      <c r="F157" t="str">
        <f>Sheet1!H157</f>
        <v>Rahul</v>
      </c>
      <c r="G157">
        <f>Sheet1!K157</f>
        <v>89855</v>
      </c>
      <c r="H157">
        <f>Sheet1!N157</f>
        <v>17379.34</v>
      </c>
      <c r="I157">
        <f t="shared" si="5"/>
        <v>1</v>
      </c>
    </row>
    <row r="158" spans="1:9" x14ac:dyDescent="0.3">
      <c r="A158">
        <f>Sheet1!A158</f>
        <v>1157</v>
      </c>
      <c r="B158" t="str">
        <f>Sheet1!B158</f>
        <v>2025-02-13</v>
      </c>
      <c r="C158" t="str">
        <f>TEXT(Sheet1!B158,"YYYY-MM")</f>
        <v>2025-02</v>
      </c>
      <c r="D158" t="str">
        <f>Sheet1!D158</f>
        <v>Delhi</v>
      </c>
      <c r="E158" t="str">
        <f>Sheet1!F158</f>
        <v>Clothing</v>
      </c>
      <c r="F158" t="str">
        <f>Sheet1!H158</f>
        <v>Pooja</v>
      </c>
      <c r="G158">
        <f>Sheet1!K158</f>
        <v>158996.75</v>
      </c>
      <c r="H158">
        <f>Sheet1!N158</f>
        <v>37533.25</v>
      </c>
      <c r="I158">
        <f t="shared" si="5"/>
        <v>1</v>
      </c>
    </row>
    <row r="159" spans="1:9" x14ac:dyDescent="0.3">
      <c r="A159">
        <f>Sheet1!A159</f>
        <v>1158</v>
      </c>
      <c r="B159" t="str">
        <f>Sheet1!B159</f>
        <v>2025-02-13</v>
      </c>
      <c r="C159" t="str">
        <f>TEXT(Sheet1!B159,"YYYY-MM")</f>
        <v>2025-02</v>
      </c>
      <c r="D159" t="str">
        <f>Sheet1!D159</f>
        <v>Delhi</v>
      </c>
      <c r="E159" t="str">
        <f>Sheet1!F159</f>
        <v>Clothing</v>
      </c>
      <c r="F159" t="str">
        <f>Sheet1!H159</f>
        <v>Rahul</v>
      </c>
      <c r="G159">
        <f>Sheet1!K159</f>
        <v>73227.600000000006</v>
      </c>
      <c r="H159">
        <f>Sheet1!N159</f>
        <v>12672.11</v>
      </c>
      <c r="I159">
        <f t="shared" si="5"/>
        <v>1</v>
      </c>
    </row>
    <row r="160" spans="1:9" x14ac:dyDescent="0.3">
      <c r="A160">
        <f>Sheet1!A160</f>
        <v>1159</v>
      </c>
      <c r="B160" t="str">
        <f>Sheet1!B160</f>
        <v>2025-02-13</v>
      </c>
      <c r="C160" t="str">
        <f>TEXT(Sheet1!B160,"YYYY-MM")</f>
        <v>2025-02</v>
      </c>
      <c r="D160" t="str">
        <f>Sheet1!D160</f>
        <v>Delhi</v>
      </c>
      <c r="E160" t="str">
        <f>Sheet1!F160</f>
        <v>Electronics</v>
      </c>
      <c r="F160" t="str">
        <f>Sheet1!H160</f>
        <v>Sneha</v>
      </c>
      <c r="G160">
        <f>Sheet1!K160</f>
        <v>136544</v>
      </c>
      <c r="H160">
        <f>Sheet1!N160</f>
        <v>23431.95</v>
      </c>
      <c r="I160">
        <f t="shared" si="5"/>
        <v>1</v>
      </c>
    </row>
    <row r="161" spans="1:9" x14ac:dyDescent="0.3">
      <c r="A161">
        <f>Sheet1!A161</f>
        <v>1160</v>
      </c>
      <c r="B161" t="str">
        <f>Sheet1!B161</f>
        <v>2025-02-14</v>
      </c>
      <c r="C161" t="str">
        <f>TEXT(Sheet1!B161,"YYYY-MM")</f>
        <v>2025-02</v>
      </c>
      <c r="D161" t="str">
        <f>Sheet1!D161</f>
        <v>Bangalore</v>
      </c>
      <c r="E161" t="str">
        <f>Sheet1!F161</f>
        <v>Furniture</v>
      </c>
      <c r="F161" t="str">
        <f>Sheet1!H161</f>
        <v>Ajay</v>
      </c>
      <c r="G161">
        <f>Sheet1!K161</f>
        <v>199237.5</v>
      </c>
      <c r="H161">
        <f>Sheet1!N161</f>
        <v>52381.04</v>
      </c>
      <c r="I161">
        <f t="shared" si="5"/>
        <v>1</v>
      </c>
    </row>
    <row r="162" spans="1:9" x14ac:dyDescent="0.3">
      <c r="A162">
        <f>Sheet1!A162</f>
        <v>1161</v>
      </c>
      <c r="B162" t="str">
        <f>Sheet1!B162</f>
        <v>2025-02-14</v>
      </c>
      <c r="C162" t="str">
        <f>TEXT(Sheet1!B162,"YYYY-MM")</f>
        <v>2025-02</v>
      </c>
      <c r="D162" t="str">
        <f>Sheet1!D162</f>
        <v>Hyderabad</v>
      </c>
      <c r="E162" t="str">
        <f>Sheet1!F162</f>
        <v>Clothing</v>
      </c>
      <c r="F162" t="str">
        <f>Sheet1!H162</f>
        <v>Ajay</v>
      </c>
      <c r="G162">
        <f>Sheet1!K162</f>
        <v>76220.399999999994</v>
      </c>
      <c r="H162">
        <f>Sheet1!N162</f>
        <v>21117.78</v>
      </c>
      <c r="I162">
        <f t="shared" si="5"/>
        <v>1</v>
      </c>
    </row>
    <row r="163" spans="1:9" x14ac:dyDescent="0.3">
      <c r="A163">
        <f>Sheet1!A163</f>
        <v>1162</v>
      </c>
      <c r="B163" t="str">
        <f>Sheet1!B163</f>
        <v>2025-02-15</v>
      </c>
      <c r="C163" t="str">
        <f>TEXT(Sheet1!B163,"YYYY-MM")</f>
        <v>2025-02</v>
      </c>
      <c r="D163" t="str">
        <f>Sheet1!D163</f>
        <v>Pune</v>
      </c>
      <c r="E163" t="str">
        <f>Sheet1!F163</f>
        <v>Electronics</v>
      </c>
      <c r="F163" t="str">
        <f>Sheet1!H163</f>
        <v>Pooja</v>
      </c>
      <c r="G163">
        <f>Sheet1!K163</f>
        <v>30786.3</v>
      </c>
      <c r="H163">
        <f>Sheet1!N163</f>
        <v>8882</v>
      </c>
      <c r="I163">
        <f t="shared" si="5"/>
        <v>1</v>
      </c>
    </row>
    <row r="164" spans="1:9" x14ac:dyDescent="0.3">
      <c r="A164">
        <f>Sheet1!A164</f>
        <v>1163</v>
      </c>
      <c r="B164" t="str">
        <f>Sheet1!B164</f>
        <v>2025-02-15</v>
      </c>
      <c r="C164" t="str">
        <f>TEXT(Sheet1!B164,"YYYY-MM")</f>
        <v>2025-02</v>
      </c>
      <c r="D164" t="str">
        <f>Sheet1!D164</f>
        <v>Pune</v>
      </c>
      <c r="E164" t="str">
        <f>Sheet1!F164</f>
        <v>Electronics</v>
      </c>
      <c r="F164" t="str">
        <f>Sheet1!H164</f>
        <v>Sneha</v>
      </c>
      <c r="G164">
        <f>Sheet1!K164</f>
        <v>7703.55</v>
      </c>
      <c r="H164">
        <f>Sheet1!N164</f>
        <v>2282.88</v>
      </c>
      <c r="I164">
        <f t="shared" si="5"/>
        <v>1</v>
      </c>
    </row>
    <row r="165" spans="1:9" x14ac:dyDescent="0.3">
      <c r="A165">
        <f>Sheet1!A165</f>
        <v>1164</v>
      </c>
      <c r="B165" t="str">
        <f>Sheet1!B165</f>
        <v>2025-02-16</v>
      </c>
      <c r="C165" t="str">
        <f>TEXT(Sheet1!B165,"YYYY-MM")</f>
        <v>2025-02</v>
      </c>
      <c r="D165" t="str">
        <f>Sheet1!D165</f>
        <v>Mumbai</v>
      </c>
      <c r="E165" t="str">
        <f>Sheet1!F165</f>
        <v>Clothing</v>
      </c>
      <c r="F165" t="str">
        <f>Sheet1!H165</f>
        <v>Rahul</v>
      </c>
      <c r="G165">
        <f>Sheet1!K165</f>
        <v>61143.9</v>
      </c>
      <c r="H165">
        <f>Sheet1!N165</f>
        <v>15926.5</v>
      </c>
      <c r="I165">
        <f t="shared" si="5"/>
        <v>1</v>
      </c>
    </row>
    <row r="166" spans="1:9" x14ac:dyDescent="0.3">
      <c r="A166">
        <f>Sheet1!A166</f>
        <v>1165</v>
      </c>
      <c r="B166" t="str">
        <f>Sheet1!B166</f>
        <v>2025-02-16</v>
      </c>
      <c r="C166" t="str">
        <f>TEXT(Sheet1!B166,"YYYY-MM")</f>
        <v>2025-02</v>
      </c>
      <c r="D166" t="str">
        <f>Sheet1!D166</f>
        <v>Bangalore</v>
      </c>
      <c r="E166" t="str">
        <f>Sheet1!F166</f>
        <v>Electronics</v>
      </c>
      <c r="F166" t="str">
        <f>Sheet1!H166</f>
        <v>Pooja</v>
      </c>
      <c r="G166">
        <f>Sheet1!K166</f>
        <v>50469.599999999999</v>
      </c>
      <c r="H166">
        <f>Sheet1!N166</f>
        <v>6305.45</v>
      </c>
      <c r="I166">
        <f t="shared" si="5"/>
        <v>1</v>
      </c>
    </row>
    <row r="167" spans="1:9" x14ac:dyDescent="0.3">
      <c r="A167">
        <f>Sheet1!A167</f>
        <v>1166</v>
      </c>
      <c r="B167" t="str">
        <f>Sheet1!B167</f>
        <v>2025-02-16</v>
      </c>
      <c r="C167" t="str">
        <f>TEXT(Sheet1!B167,"YYYY-MM")</f>
        <v>2025-02</v>
      </c>
      <c r="D167" t="str">
        <f>Sheet1!D167</f>
        <v>Delhi</v>
      </c>
      <c r="E167" t="str">
        <f>Sheet1!F167</f>
        <v>Clothing</v>
      </c>
      <c r="F167" t="str">
        <f>Sheet1!H167</f>
        <v>Rahul</v>
      </c>
      <c r="G167">
        <f>Sheet1!K167</f>
        <v>122945.7</v>
      </c>
      <c r="H167">
        <f>Sheet1!N167</f>
        <v>27153.72</v>
      </c>
      <c r="I167">
        <f t="shared" si="5"/>
        <v>1</v>
      </c>
    </row>
    <row r="168" spans="1:9" x14ac:dyDescent="0.3">
      <c r="A168">
        <f>Sheet1!A168</f>
        <v>1167</v>
      </c>
      <c r="B168" t="str">
        <f>Sheet1!B168</f>
        <v>2025-02-16</v>
      </c>
      <c r="C168" t="str">
        <f>TEXT(Sheet1!B168,"YYYY-MM")</f>
        <v>2025-02</v>
      </c>
      <c r="D168" t="str">
        <f>Sheet1!D168</f>
        <v>Mumbai</v>
      </c>
      <c r="E168" t="str">
        <f>Sheet1!F168</f>
        <v>Furniture</v>
      </c>
      <c r="F168" t="str">
        <f>Sheet1!H168</f>
        <v>Pooja</v>
      </c>
      <c r="G168">
        <f>Sheet1!K168</f>
        <v>16758</v>
      </c>
      <c r="H168">
        <f>Sheet1!N168</f>
        <v>4751.79</v>
      </c>
      <c r="I168">
        <f t="shared" si="5"/>
        <v>1</v>
      </c>
    </row>
    <row r="169" spans="1:9" x14ac:dyDescent="0.3">
      <c r="A169">
        <f>Sheet1!A169</f>
        <v>1168</v>
      </c>
      <c r="B169" t="str">
        <f>Sheet1!B169</f>
        <v>2025-02-16</v>
      </c>
      <c r="C169" t="str">
        <f>TEXT(Sheet1!B169,"YYYY-MM")</f>
        <v>2025-02</v>
      </c>
      <c r="D169" t="str">
        <f>Sheet1!D169</f>
        <v>Hyderabad</v>
      </c>
      <c r="E169" t="str">
        <f>Sheet1!F169</f>
        <v>Clothing</v>
      </c>
      <c r="F169" t="str">
        <f>Sheet1!H169</f>
        <v>Rahul</v>
      </c>
      <c r="G169">
        <f>Sheet1!K169</f>
        <v>1039</v>
      </c>
      <c r="H169">
        <f>Sheet1!N169</f>
        <v>226.43</v>
      </c>
      <c r="I169">
        <f t="shared" si="5"/>
        <v>1</v>
      </c>
    </row>
    <row r="170" spans="1:9" x14ac:dyDescent="0.3">
      <c r="A170">
        <f>Sheet1!A170</f>
        <v>1169</v>
      </c>
      <c r="B170" t="str">
        <f>Sheet1!B170</f>
        <v>2025-02-17</v>
      </c>
      <c r="C170" t="str">
        <f>TEXT(Sheet1!B170,"YYYY-MM")</f>
        <v>2025-02</v>
      </c>
      <c r="D170" t="str">
        <f>Sheet1!D170</f>
        <v>Delhi</v>
      </c>
      <c r="E170" t="str">
        <f>Sheet1!F170</f>
        <v>Electronics</v>
      </c>
      <c r="F170" t="str">
        <f>Sheet1!H170</f>
        <v>Pooja</v>
      </c>
      <c r="G170">
        <f>Sheet1!K170</f>
        <v>41344</v>
      </c>
      <c r="H170">
        <f>Sheet1!N170</f>
        <v>9441.65</v>
      </c>
      <c r="I170">
        <f t="shared" si="5"/>
        <v>1</v>
      </c>
    </row>
    <row r="171" spans="1:9" x14ac:dyDescent="0.3">
      <c r="A171">
        <f>Sheet1!A171</f>
        <v>1170</v>
      </c>
      <c r="B171" t="str">
        <f>Sheet1!B171</f>
        <v>2025-02-17</v>
      </c>
      <c r="C171" t="str">
        <f>TEXT(Sheet1!B171,"YYYY-MM")</f>
        <v>2025-02</v>
      </c>
      <c r="D171" t="str">
        <f>Sheet1!D171</f>
        <v>Pune</v>
      </c>
      <c r="E171" t="str">
        <f>Sheet1!F171</f>
        <v>Clothing</v>
      </c>
      <c r="F171" t="str">
        <f>Sheet1!H171</f>
        <v>Ajay</v>
      </c>
      <c r="G171">
        <f>Sheet1!K171</f>
        <v>220414.5</v>
      </c>
      <c r="H171">
        <f>Sheet1!N171</f>
        <v>65213.25</v>
      </c>
      <c r="I171">
        <f t="shared" si="5"/>
        <v>1</v>
      </c>
    </row>
    <row r="172" spans="1:9" x14ac:dyDescent="0.3">
      <c r="A172">
        <f>Sheet1!A172</f>
        <v>1171</v>
      </c>
      <c r="B172" t="str">
        <f>Sheet1!B172</f>
        <v>2025-02-17</v>
      </c>
      <c r="C172" t="str">
        <f>TEXT(Sheet1!B172,"YYYY-MM")</f>
        <v>2025-02</v>
      </c>
      <c r="D172" t="str">
        <f>Sheet1!D172</f>
        <v>Delhi</v>
      </c>
      <c r="E172" t="str">
        <f>Sheet1!F172</f>
        <v>Clothing</v>
      </c>
      <c r="F172" t="str">
        <f>Sheet1!H172</f>
        <v>Rahul</v>
      </c>
      <c r="G172">
        <f>Sheet1!K172</f>
        <v>168211.75</v>
      </c>
      <c r="H172">
        <f>Sheet1!N172</f>
        <v>41340.9</v>
      </c>
      <c r="I172">
        <f t="shared" si="5"/>
        <v>1</v>
      </c>
    </row>
    <row r="173" spans="1:9" x14ac:dyDescent="0.3">
      <c r="A173">
        <f>Sheet1!A173</f>
        <v>1172</v>
      </c>
      <c r="B173" t="str">
        <f>Sheet1!B173</f>
        <v>2025-02-17</v>
      </c>
      <c r="C173" t="str">
        <f>TEXT(Sheet1!B173,"YYYY-MM")</f>
        <v>2025-02</v>
      </c>
      <c r="D173" t="str">
        <f>Sheet1!D173</f>
        <v>Bangalore</v>
      </c>
      <c r="E173" t="str">
        <f>Sheet1!F173</f>
        <v>Electronics</v>
      </c>
      <c r="F173" t="str">
        <f>Sheet1!H173</f>
        <v>Sneha</v>
      </c>
      <c r="G173">
        <f>Sheet1!K173</f>
        <v>3264</v>
      </c>
      <c r="H173">
        <f>Sheet1!N173</f>
        <v>830.38</v>
      </c>
      <c r="I173">
        <f t="shared" si="5"/>
        <v>1</v>
      </c>
    </row>
    <row r="174" spans="1:9" x14ac:dyDescent="0.3">
      <c r="A174">
        <f>Sheet1!A174</f>
        <v>1173</v>
      </c>
      <c r="B174" t="str">
        <f>Sheet1!B174</f>
        <v>2025-02-17</v>
      </c>
      <c r="C174" t="str">
        <f>TEXT(Sheet1!B174,"YYYY-MM")</f>
        <v>2025-02</v>
      </c>
      <c r="D174" t="str">
        <f>Sheet1!D174</f>
        <v>Delhi</v>
      </c>
      <c r="E174" t="str">
        <f>Sheet1!F174</f>
        <v>Furniture</v>
      </c>
      <c r="F174" t="str">
        <f>Sheet1!H174</f>
        <v>Pooja</v>
      </c>
      <c r="G174">
        <f>Sheet1!K174</f>
        <v>141083.54999999999</v>
      </c>
      <c r="H174">
        <f>Sheet1!N174</f>
        <v>31474.09</v>
      </c>
      <c r="I174">
        <f t="shared" si="5"/>
        <v>1</v>
      </c>
    </row>
    <row r="175" spans="1:9" x14ac:dyDescent="0.3">
      <c r="A175">
        <f>Sheet1!A175</f>
        <v>1174</v>
      </c>
      <c r="B175" t="str">
        <f>Sheet1!B175</f>
        <v>2025-02-18</v>
      </c>
      <c r="C175" t="str">
        <f>TEXT(Sheet1!B175,"YYYY-MM")</f>
        <v>2025-02</v>
      </c>
      <c r="D175" t="str">
        <f>Sheet1!D175</f>
        <v>Hyderabad</v>
      </c>
      <c r="E175" t="str">
        <f>Sheet1!F175</f>
        <v>Electronics</v>
      </c>
      <c r="F175" t="str">
        <f>Sheet1!H175</f>
        <v>Rahul</v>
      </c>
      <c r="G175">
        <f>Sheet1!K175</f>
        <v>210335</v>
      </c>
      <c r="H175">
        <f>Sheet1!N175</f>
        <v>37201.68</v>
      </c>
      <c r="I175">
        <f t="shared" si="5"/>
        <v>1</v>
      </c>
    </row>
    <row r="176" spans="1:9" x14ac:dyDescent="0.3">
      <c r="A176">
        <f>Sheet1!A176</f>
        <v>1175</v>
      </c>
      <c r="B176" t="str">
        <f>Sheet1!B176</f>
        <v>2025-02-18</v>
      </c>
      <c r="C176" t="str">
        <f>TEXT(Sheet1!B176,"YYYY-MM")</f>
        <v>2025-02</v>
      </c>
      <c r="D176" t="str">
        <f>Sheet1!D176</f>
        <v>Mumbai</v>
      </c>
      <c r="E176" t="str">
        <f>Sheet1!F176</f>
        <v>Clothing</v>
      </c>
      <c r="F176" t="str">
        <f>Sheet1!H176</f>
        <v>Sneha</v>
      </c>
      <c r="G176">
        <f>Sheet1!K176</f>
        <v>92687.7</v>
      </c>
      <c r="H176">
        <f>Sheet1!N176</f>
        <v>16339.32</v>
      </c>
      <c r="I176">
        <f t="shared" si="5"/>
        <v>1</v>
      </c>
    </row>
    <row r="177" spans="1:9" x14ac:dyDescent="0.3">
      <c r="A177">
        <f>Sheet1!A177</f>
        <v>1176</v>
      </c>
      <c r="B177" t="str">
        <f>Sheet1!B177</f>
        <v>2025-02-18</v>
      </c>
      <c r="C177" t="str">
        <f>TEXT(Sheet1!B177,"YYYY-MM")</f>
        <v>2025-02</v>
      </c>
      <c r="D177" t="str">
        <f>Sheet1!D177</f>
        <v>Delhi</v>
      </c>
      <c r="E177" t="str">
        <f>Sheet1!F177</f>
        <v>Furniture</v>
      </c>
      <c r="F177" t="str">
        <f>Sheet1!H177</f>
        <v>Pooja</v>
      </c>
      <c r="G177">
        <f>Sheet1!K177</f>
        <v>49990.9</v>
      </c>
      <c r="H177">
        <f>Sheet1!N177</f>
        <v>6948.93</v>
      </c>
      <c r="I177">
        <f t="shared" si="5"/>
        <v>1</v>
      </c>
    </row>
    <row r="178" spans="1:9" x14ac:dyDescent="0.3">
      <c r="A178">
        <f>Sheet1!A178</f>
        <v>1177</v>
      </c>
      <c r="B178" t="str">
        <f>Sheet1!B178</f>
        <v>2025-02-18</v>
      </c>
      <c r="C178" t="str">
        <f>TEXT(Sheet1!B178,"YYYY-MM")</f>
        <v>2025-02</v>
      </c>
      <c r="D178" t="str">
        <f>Sheet1!D178</f>
        <v>Pune</v>
      </c>
      <c r="E178" t="str">
        <f>Sheet1!F178</f>
        <v>Clothing</v>
      </c>
      <c r="F178" t="str">
        <f>Sheet1!H178</f>
        <v>Pooja</v>
      </c>
      <c r="G178">
        <f>Sheet1!K178</f>
        <v>36382.550000000003</v>
      </c>
      <c r="H178">
        <f>Sheet1!N178</f>
        <v>9797.82</v>
      </c>
      <c r="I178">
        <f t="shared" si="5"/>
        <v>1</v>
      </c>
    </row>
    <row r="179" spans="1:9" x14ac:dyDescent="0.3">
      <c r="A179">
        <f>Sheet1!A179</f>
        <v>1178</v>
      </c>
      <c r="B179" t="str">
        <f>Sheet1!B179</f>
        <v>2025-02-19</v>
      </c>
      <c r="C179" t="str">
        <f>TEXT(Sheet1!B179,"YYYY-MM")</f>
        <v>2025-02</v>
      </c>
      <c r="D179" t="str">
        <f>Sheet1!D179</f>
        <v>Hyderabad</v>
      </c>
      <c r="E179" t="str">
        <f>Sheet1!F179</f>
        <v>Electronics</v>
      </c>
      <c r="F179" t="str">
        <f>Sheet1!H179</f>
        <v>Pooja</v>
      </c>
      <c r="G179">
        <f>Sheet1!K179</f>
        <v>77714.75</v>
      </c>
      <c r="H179">
        <f>Sheet1!N179</f>
        <v>13574.16</v>
      </c>
      <c r="I179">
        <f t="shared" si="5"/>
        <v>1</v>
      </c>
    </row>
    <row r="180" spans="1:9" x14ac:dyDescent="0.3">
      <c r="A180">
        <f>Sheet1!A180</f>
        <v>1179</v>
      </c>
      <c r="B180" t="str">
        <f>Sheet1!B180</f>
        <v>2025-02-19</v>
      </c>
      <c r="C180" t="str">
        <f>TEXT(Sheet1!B180,"YYYY-MM")</f>
        <v>2025-02</v>
      </c>
      <c r="D180" t="str">
        <f>Sheet1!D180</f>
        <v>Hyderabad</v>
      </c>
      <c r="E180" t="str">
        <f>Sheet1!F180</f>
        <v>Electronics</v>
      </c>
      <c r="F180" t="str">
        <f>Sheet1!H180</f>
        <v>Pooja</v>
      </c>
      <c r="G180">
        <f>Sheet1!K180</f>
        <v>109887.15</v>
      </c>
      <c r="H180">
        <f>Sheet1!N180</f>
        <v>26194.53</v>
      </c>
      <c r="I180">
        <f t="shared" si="5"/>
        <v>1</v>
      </c>
    </row>
    <row r="181" spans="1:9" x14ac:dyDescent="0.3">
      <c r="A181">
        <f>Sheet1!A181</f>
        <v>1180</v>
      </c>
      <c r="B181" t="str">
        <f>Sheet1!B181</f>
        <v>2025-02-19</v>
      </c>
      <c r="C181" t="str">
        <f>TEXT(Sheet1!B181,"YYYY-MM")</f>
        <v>2025-02</v>
      </c>
      <c r="D181" t="str">
        <f>Sheet1!D181</f>
        <v>Bangalore</v>
      </c>
      <c r="E181" t="str">
        <f>Sheet1!F181</f>
        <v>Clothing</v>
      </c>
      <c r="F181" t="str">
        <f>Sheet1!H181</f>
        <v>Rahul</v>
      </c>
      <c r="G181">
        <f>Sheet1!K181</f>
        <v>65807.850000000006</v>
      </c>
      <c r="H181">
        <f>Sheet1!N181</f>
        <v>11774.31</v>
      </c>
      <c r="I181">
        <f t="shared" si="5"/>
        <v>1</v>
      </c>
    </row>
    <row r="182" spans="1:9" x14ac:dyDescent="0.3">
      <c r="A182">
        <f>Sheet1!A182</f>
        <v>1181</v>
      </c>
      <c r="B182" t="str">
        <f>Sheet1!B182</f>
        <v>2025-02-19</v>
      </c>
      <c r="C182" t="str">
        <f>TEXT(Sheet1!B182,"YYYY-MM")</f>
        <v>2025-02</v>
      </c>
      <c r="D182" t="str">
        <f>Sheet1!D182</f>
        <v>Bangalore</v>
      </c>
      <c r="E182" t="str">
        <f>Sheet1!F182</f>
        <v>Clothing</v>
      </c>
      <c r="F182" t="str">
        <f>Sheet1!H182</f>
        <v>Rahul</v>
      </c>
      <c r="G182">
        <f>Sheet1!K182</f>
        <v>40623.300000000003</v>
      </c>
      <c r="H182">
        <f>Sheet1!N182</f>
        <v>8566.7800000000007</v>
      </c>
      <c r="I182">
        <f t="shared" si="5"/>
        <v>1</v>
      </c>
    </row>
    <row r="183" spans="1:9" x14ac:dyDescent="0.3">
      <c r="A183">
        <f>Sheet1!A183</f>
        <v>1182</v>
      </c>
      <c r="B183" t="str">
        <f>Sheet1!B183</f>
        <v>2025-02-20</v>
      </c>
      <c r="C183" t="str">
        <f>TEXT(Sheet1!B183,"YYYY-MM")</f>
        <v>2025-02</v>
      </c>
      <c r="D183" t="str">
        <f>Sheet1!D183</f>
        <v>Mumbai</v>
      </c>
      <c r="E183" t="str">
        <f>Sheet1!F183</f>
        <v>Furniture</v>
      </c>
      <c r="F183" t="str">
        <f>Sheet1!H183</f>
        <v>Sneha</v>
      </c>
      <c r="G183">
        <f>Sheet1!K183</f>
        <v>52907.4</v>
      </c>
      <c r="H183">
        <f>Sheet1!N183</f>
        <v>14741.01</v>
      </c>
      <c r="I183">
        <f t="shared" si="5"/>
        <v>1</v>
      </c>
    </row>
    <row r="184" spans="1:9" x14ac:dyDescent="0.3">
      <c r="A184">
        <f>Sheet1!A184</f>
        <v>1183</v>
      </c>
      <c r="B184" t="str">
        <f>Sheet1!B184</f>
        <v>2025-02-20</v>
      </c>
      <c r="C184" t="str">
        <f>TEXT(Sheet1!B184,"YYYY-MM")</f>
        <v>2025-02</v>
      </c>
      <c r="D184" t="str">
        <f>Sheet1!D184</f>
        <v>Delhi</v>
      </c>
      <c r="E184" t="str">
        <f>Sheet1!F184</f>
        <v>Electronics</v>
      </c>
      <c r="F184" t="str">
        <f>Sheet1!H184</f>
        <v>Ajay</v>
      </c>
      <c r="G184">
        <f>Sheet1!K184</f>
        <v>170664</v>
      </c>
      <c r="H184">
        <f>Sheet1!N184</f>
        <v>36678.129999999997</v>
      </c>
      <c r="I184">
        <f t="shared" si="5"/>
        <v>1</v>
      </c>
    </row>
    <row r="185" spans="1:9" x14ac:dyDescent="0.3">
      <c r="A185">
        <f>Sheet1!A185</f>
        <v>1184</v>
      </c>
      <c r="B185" t="str">
        <f>Sheet1!B185</f>
        <v>2025-02-20</v>
      </c>
      <c r="C185" t="str">
        <f>TEXT(Sheet1!B185,"YYYY-MM")</f>
        <v>2025-02</v>
      </c>
      <c r="D185" t="str">
        <f>Sheet1!D185</f>
        <v>Mumbai</v>
      </c>
      <c r="E185" t="str">
        <f>Sheet1!F185</f>
        <v>Clothing</v>
      </c>
      <c r="F185" t="str">
        <f>Sheet1!H185</f>
        <v>Rahul</v>
      </c>
      <c r="G185">
        <f>Sheet1!K185</f>
        <v>5430.2</v>
      </c>
      <c r="H185">
        <f>Sheet1!N185</f>
        <v>1240.6400000000001</v>
      </c>
      <c r="I185">
        <f t="shared" si="5"/>
        <v>1</v>
      </c>
    </row>
    <row r="186" spans="1:9" x14ac:dyDescent="0.3">
      <c r="A186">
        <f>Sheet1!A186</f>
        <v>1185</v>
      </c>
      <c r="B186" t="str">
        <f>Sheet1!B186</f>
        <v>2025-02-21</v>
      </c>
      <c r="C186" t="str">
        <f>TEXT(Sheet1!B186,"YYYY-MM")</f>
        <v>2025-02</v>
      </c>
      <c r="D186" t="str">
        <f>Sheet1!D186</f>
        <v>Mumbai</v>
      </c>
      <c r="E186" t="str">
        <f>Sheet1!F186</f>
        <v>Furniture</v>
      </c>
      <c r="F186" t="str">
        <f>Sheet1!H186</f>
        <v>Rahul</v>
      </c>
      <c r="G186">
        <f>Sheet1!K186</f>
        <v>67684.649999999994</v>
      </c>
      <c r="H186">
        <f>Sheet1!N186</f>
        <v>10257.02</v>
      </c>
      <c r="I186">
        <f t="shared" si="5"/>
        <v>1</v>
      </c>
    </row>
    <row r="187" spans="1:9" x14ac:dyDescent="0.3">
      <c r="A187">
        <f>Sheet1!A187</f>
        <v>1186</v>
      </c>
      <c r="B187" t="str">
        <f>Sheet1!B187</f>
        <v>2025-02-21</v>
      </c>
      <c r="C187" t="str">
        <f>TEXT(Sheet1!B187,"YYYY-MM")</f>
        <v>2025-02</v>
      </c>
      <c r="D187" t="str">
        <f>Sheet1!D187</f>
        <v>Pune</v>
      </c>
      <c r="E187" t="str">
        <f>Sheet1!F187</f>
        <v>Electronics</v>
      </c>
      <c r="F187" t="str">
        <f>Sheet1!H187</f>
        <v>Sneha</v>
      </c>
      <c r="G187">
        <f>Sheet1!K187</f>
        <v>7986</v>
      </c>
      <c r="H187">
        <f>Sheet1!N187</f>
        <v>2392.29</v>
      </c>
      <c r="I187">
        <f t="shared" si="5"/>
        <v>1</v>
      </c>
    </row>
    <row r="188" spans="1:9" x14ac:dyDescent="0.3">
      <c r="A188">
        <f>Sheet1!A188</f>
        <v>1187</v>
      </c>
      <c r="B188" t="str">
        <f>Sheet1!B188</f>
        <v>2025-02-22</v>
      </c>
      <c r="C188" t="str">
        <f>TEXT(Sheet1!B188,"YYYY-MM")</f>
        <v>2025-02</v>
      </c>
      <c r="D188" t="str">
        <f>Sheet1!D188</f>
        <v>Hyderabad</v>
      </c>
      <c r="E188" t="str">
        <f>Sheet1!F188</f>
        <v>Electronics</v>
      </c>
      <c r="F188" t="str">
        <f>Sheet1!H188</f>
        <v>Rahul</v>
      </c>
      <c r="G188">
        <f>Sheet1!K188</f>
        <v>82546.2</v>
      </c>
      <c r="H188">
        <f>Sheet1!N188</f>
        <v>8790.2000000000007</v>
      </c>
      <c r="I188">
        <f t="shared" si="5"/>
        <v>1</v>
      </c>
    </row>
    <row r="189" spans="1:9" x14ac:dyDescent="0.3">
      <c r="A189">
        <f>Sheet1!A189</f>
        <v>1188</v>
      </c>
      <c r="B189" t="str">
        <f>Sheet1!B189</f>
        <v>2025-02-22</v>
      </c>
      <c r="C189" t="str">
        <f>TEXT(Sheet1!B189,"YYYY-MM")</f>
        <v>2025-02</v>
      </c>
      <c r="D189" t="str">
        <f>Sheet1!D189</f>
        <v>Pune</v>
      </c>
      <c r="E189" t="str">
        <f>Sheet1!F189</f>
        <v>Furniture</v>
      </c>
      <c r="F189" t="str">
        <f>Sheet1!H189</f>
        <v>Rahul</v>
      </c>
      <c r="G189">
        <f>Sheet1!K189</f>
        <v>13014.35</v>
      </c>
      <c r="H189">
        <f>Sheet1!N189</f>
        <v>3863.6</v>
      </c>
      <c r="I189">
        <f t="shared" si="5"/>
        <v>1</v>
      </c>
    </row>
    <row r="190" spans="1:9" x14ac:dyDescent="0.3">
      <c r="A190">
        <f>Sheet1!A190</f>
        <v>1189</v>
      </c>
      <c r="B190" t="str">
        <f>Sheet1!B190</f>
        <v>2025-02-23</v>
      </c>
      <c r="C190" t="str">
        <f>TEXT(Sheet1!B190,"YYYY-MM")</f>
        <v>2025-02</v>
      </c>
      <c r="D190" t="str">
        <f>Sheet1!D190</f>
        <v>Delhi</v>
      </c>
      <c r="E190" t="str">
        <f>Sheet1!F190</f>
        <v>Electronics</v>
      </c>
      <c r="F190" t="str">
        <f>Sheet1!H190</f>
        <v>Sneha</v>
      </c>
      <c r="G190">
        <f>Sheet1!K190</f>
        <v>5016.95</v>
      </c>
      <c r="H190">
        <f>Sheet1!N190</f>
        <v>1432.92</v>
      </c>
      <c r="I190">
        <f t="shared" si="5"/>
        <v>1</v>
      </c>
    </row>
    <row r="191" spans="1:9" x14ac:dyDescent="0.3">
      <c r="A191">
        <f>Sheet1!A191</f>
        <v>1190</v>
      </c>
      <c r="B191" t="str">
        <f>Sheet1!B191</f>
        <v>2025-02-23</v>
      </c>
      <c r="C191" t="str">
        <f>TEXT(Sheet1!B191,"YYYY-MM")</f>
        <v>2025-02</v>
      </c>
      <c r="D191" t="str">
        <f>Sheet1!D191</f>
        <v>Pune</v>
      </c>
      <c r="E191" t="str">
        <f>Sheet1!F191</f>
        <v>Furniture</v>
      </c>
      <c r="F191" t="str">
        <f>Sheet1!H191</f>
        <v>Sneha</v>
      </c>
      <c r="G191">
        <f>Sheet1!K191</f>
        <v>76968</v>
      </c>
      <c r="H191">
        <f>Sheet1!N191</f>
        <v>18302.11</v>
      </c>
      <c r="I191">
        <f t="shared" si="5"/>
        <v>1</v>
      </c>
    </row>
    <row r="192" spans="1:9" x14ac:dyDescent="0.3">
      <c r="A192">
        <f>Sheet1!A192</f>
        <v>1191</v>
      </c>
      <c r="B192" t="str">
        <f>Sheet1!B192</f>
        <v>2025-02-23</v>
      </c>
      <c r="C192" t="str">
        <f>TEXT(Sheet1!B192,"YYYY-MM")</f>
        <v>2025-02</v>
      </c>
      <c r="D192" t="str">
        <f>Sheet1!D192</f>
        <v>Hyderabad</v>
      </c>
      <c r="E192" t="str">
        <f>Sheet1!F192</f>
        <v>Furniture</v>
      </c>
      <c r="F192" t="str">
        <f>Sheet1!H192</f>
        <v>Rahul</v>
      </c>
      <c r="G192">
        <f>Sheet1!K192</f>
        <v>29352</v>
      </c>
      <c r="H192">
        <f>Sheet1!N192</f>
        <v>3208.18</v>
      </c>
      <c r="I192">
        <f t="shared" si="5"/>
        <v>1</v>
      </c>
    </row>
    <row r="193" spans="1:9" x14ac:dyDescent="0.3">
      <c r="A193">
        <f>Sheet1!A193</f>
        <v>1192</v>
      </c>
      <c r="B193" t="str">
        <f>Sheet1!B193</f>
        <v>2025-02-23</v>
      </c>
      <c r="C193" t="str">
        <f>TEXT(Sheet1!B193,"YYYY-MM")</f>
        <v>2025-02</v>
      </c>
      <c r="D193" t="str">
        <f>Sheet1!D193</f>
        <v>Hyderabad</v>
      </c>
      <c r="E193" t="str">
        <f>Sheet1!F193</f>
        <v>Clothing</v>
      </c>
      <c r="F193" t="str">
        <f>Sheet1!H193</f>
        <v>Rahul</v>
      </c>
      <c r="G193">
        <f>Sheet1!K193</f>
        <v>93301.4</v>
      </c>
      <c r="H193">
        <f>Sheet1!N193</f>
        <v>11669.03</v>
      </c>
      <c r="I193">
        <f t="shared" si="5"/>
        <v>1</v>
      </c>
    </row>
    <row r="194" spans="1:9" x14ac:dyDescent="0.3">
      <c r="A194">
        <f>Sheet1!A194</f>
        <v>1193</v>
      </c>
      <c r="B194" t="str">
        <f>Sheet1!B194</f>
        <v>2025-02-23</v>
      </c>
      <c r="C194" t="str">
        <f>TEXT(Sheet1!B194,"YYYY-MM")</f>
        <v>2025-02</v>
      </c>
      <c r="D194" t="str">
        <f>Sheet1!D194</f>
        <v>Pune</v>
      </c>
      <c r="E194" t="str">
        <f>Sheet1!F194</f>
        <v>Electronics</v>
      </c>
      <c r="F194" t="str">
        <f>Sheet1!H194</f>
        <v>Sneha</v>
      </c>
      <c r="G194">
        <f>Sheet1!K194</f>
        <v>9763.2000000000007</v>
      </c>
      <c r="H194">
        <f>Sheet1!N194</f>
        <v>1638.03</v>
      </c>
      <c r="I194">
        <f t="shared" ref="I194:I257" si="6">IF(AND(OR(FilterCity="All",D194=FilterCity),OR(FilterCategory="All",E194=FilterCategory),OR(FilterRep="All",F194=FilterRep),C194&gt;=FilterMonthFrom,C194&lt;=FilterMonthTo),1,0)</f>
        <v>1</v>
      </c>
    </row>
    <row r="195" spans="1:9" x14ac:dyDescent="0.3">
      <c r="A195">
        <f>Sheet1!A195</f>
        <v>1194</v>
      </c>
      <c r="B195" t="str">
        <f>Sheet1!B195</f>
        <v>2025-02-24</v>
      </c>
      <c r="C195" t="str">
        <f>TEXT(Sheet1!B195,"YYYY-MM")</f>
        <v>2025-02</v>
      </c>
      <c r="D195" t="str">
        <f>Sheet1!D195</f>
        <v>Delhi</v>
      </c>
      <c r="E195" t="str">
        <f>Sheet1!F195</f>
        <v>Clothing</v>
      </c>
      <c r="F195" t="str">
        <f>Sheet1!H195</f>
        <v>Rahul</v>
      </c>
      <c r="G195">
        <f>Sheet1!K195</f>
        <v>11671.7</v>
      </c>
      <c r="H195">
        <f>Sheet1!N195</f>
        <v>2053.81</v>
      </c>
      <c r="I195">
        <f t="shared" si="6"/>
        <v>1</v>
      </c>
    </row>
    <row r="196" spans="1:9" x14ac:dyDescent="0.3">
      <c r="A196">
        <f>Sheet1!A196</f>
        <v>1195</v>
      </c>
      <c r="B196" t="str">
        <f>Sheet1!B196</f>
        <v>2025-02-24</v>
      </c>
      <c r="C196" t="str">
        <f>TEXT(Sheet1!B196,"YYYY-MM")</f>
        <v>2025-02</v>
      </c>
      <c r="D196" t="str">
        <f>Sheet1!D196</f>
        <v>Pune</v>
      </c>
      <c r="E196" t="str">
        <f>Sheet1!F196</f>
        <v>Electronics</v>
      </c>
      <c r="F196" t="str">
        <f>Sheet1!H196</f>
        <v>Sneha</v>
      </c>
      <c r="G196">
        <f>Sheet1!K196</f>
        <v>100302.9</v>
      </c>
      <c r="H196">
        <f>Sheet1!N196</f>
        <v>27257.68</v>
      </c>
      <c r="I196">
        <f t="shared" si="6"/>
        <v>1</v>
      </c>
    </row>
    <row r="197" spans="1:9" x14ac:dyDescent="0.3">
      <c r="A197">
        <f>Sheet1!A197</f>
        <v>1196</v>
      </c>
      <c r="B197" t="str">
        <f>Sheet1!B197</f>
        <v>2025-02-24</v>
      </c>
      <c r="C197" t="str">
        <f>TEXT(Sheet1!B197,"YYYY-MM")</f>
        <v>2025-02</v>
      </c>
      <c r="D197" t="str">
        <f>Sheet1!D197</f>
        <v>Pune</v>
      </c>
      <c r="E197" t="str">
        <f>Sheet1!F197</f>
        <v>Furniture</v>
      </c>
      <c r="F197" t="str">
        <f>Sheet1!H197</f>
        <v>Ajay</v>
      </c>
      <c r="G197">
        <f>Sheet1!K197</f>
        <v>65777.25</v>
      </c>
      <c r="H197">
        <f>Sheet1!N197</f>
        <v>8369.14</v>
      </c>
      <c r="I197">
        <f t="shared" si="6"/>
        <v>1</v>
      </c>
    </row>
    <row r="198" spans="1:9" x14ac:dyDescent="0.3">
      <c r="A198">
        <f>Sheet1!A198</f>
        <v>1197</v>
      </c>
      <c r="B198" t="str">
        <f>Sheet1!B198</f>
        <v>2025-02-24</v>
      </c>
      <c r="C198" t="str">
        <f>TEXT(Sheet1!B198,"YYYY-MM")</f>
        <v>2025-02</v>
      </c>
      <c r="D198" t="str">
        <f>Sheet1!D198</f>
        <v>Delhi</v>
      </c>
      <c r="E198" t="str">
        <f>Sheet1!F198</f>
        <v>Clothing</v>
      </c>
      <c r="F198" t="str">
        <f>Sheet1!H198</f>
        <v>Rahul</v>
      </c>
      <c r="G198">
        <f>Sheet1!K198</f>
        <v>7305.5</v>
      </c>
      <c r="H198">
        <f>Sheet1!N198</f>
        <v>816.3</v>
      </c>
      <c r="I198">
        <f t="shared" si="6"/>
        <v>1</v>
      </c>
    </row>
    <row r="199" spans="1:9" x14ac:dyDescent="0.3">
      <c r="A199">
        <f>Sheet1!A199</f>
        <v>1198</v>
      </c>
      <c r="B199" t="str">
        <f>Sheet1!B199</f>
        <v>2025-02-25</v>
      </c>
      <c r="C199" t="str">
        <f>TEXT(Sheet1!B199,"YYYY-MM")</f>
        <v>2025-02</v>
      </c>
      <c r="D199" t="str">
        <f>Sheet1!D199</f>
        <v>Bangalore</v>
      </c>
      <c r="E199" t="str">
        <f>Sheet1!F199</f>
        <v>Furniture</v>
      </c>
      <c r="F199" t="str">
        <f>Sheet1!H199</f>
        <v>Sneha</v>
      </c>
      <c r="G199">
        <f>Sheet1!K199</f>
        <v>19060.2</v>
      </c>
      <c r="H199">
        <f>Sheet1!N199</f>
        <v>1953.28</v>
      </c>
      <c r="I199">
        <f t="shared" si="6"/>
        <v>1</v>
      </c>
    </row>
    <row r="200" spans="1:9" x14ac:dyDescent="0.3">
      <c r="A200">
        <f>Sheet1!A200</f>
        <v>1199</v>
      </c>
      <c r="B200" t="str">
        <f>Sheet1!B200</f>
        <v>2025-02-25</v>
      </c>
      <c r="C200" t="str">
        <f>TEXT(Sheet1!B200,"YYYY-MM")</f>
        <v>2025-02</v>
      </c>
      <c r="D200" t="str">
        <f>Sheet1!D200</f>
        <v>Pune</v>
      </c>
      <c r="E200" t="str">
        <f>Sheet1!F200</f>
        <v>Furniture</v>
      </c>
      <c r="F200" t="str">
        <f>Sheet1!H200</f>
        <v>Rahul</v>
      </c>
      <c r="G200">
        <f>Sheet1!K200</f>
        <v>211945.5</v>
      </c>
      <c r="H200">
        <f>Sheet1!N200</f>
        <v>41828.36</v>
      </c>
      <c r="I200">
        <f t="shared" si="6"/>
        <v>1</v>
      </c>
    </row>
    <row r="201" spans="1:9" x14ac:dyDescent="0.3">
      <c r="A201">
        <f>Sheet1!A201</f>
        <v>1200</v>
      </c>
      <c r="B201" t="str">
        <f>Sheet1!B201</f>
        <v>2025-02-25</v>
      </c>
      <c r="C201" t="str">
        <f>TEXT(Sheet1!B201,"YYYY-MM")</f>
        <v>2025-02</v>
      </c>
      <c r="D201" t="str">
        <f>Sheet1!D201</f>
        <v>Bangalore</v>
      </c>
      <c r="E201" t="str">
        <f>Sheet1!F201</f>
        <v>Electronics</v>
      </c>
      <c r="F201" t="str">
        <f>Sheet1!H201</f>
        <v>Pooja</v>
      </c>
      <c r="G201">
        <f>Sheet1!K201</f>
        <v>31816.799999999999</v>
      </c>
      <c r="H201">
        <f>Sheet1!N201</f>
        <v>4588.1499999999996</v>
      </c>
      <c r="I201">
        <f t="shared" si="6"/>
        <v>1</v>
      </c>
    </row>
    <row r="202" spans="1:9" x14ac:dyDescent="0.3">
      <c r="A202">
        <f>Sheet1!A202</f>
        <v>1201</v>
      </c>
      <c r="B202" t="str">
        <f>Sheet1!B202</f>
        <v>2025-02-26</v>
      </c>
      <c r="C202" t="str">
        <f>TEXT(Sheet1!B202,"YYYY-MM")</f>
        <v>2025-02</v>
      </c>
      <c r="D202" t="str">
        <f>Sheet1!D202</f>
        <v>Hyderabad</v>
      </c>
      <c r="E202" t="str">
        <f>Sheet1!F202</f>
        <v>Clothing</v>
      </c>
      <c r="F202" t="str">
        <f>Sheet1!H202</f>
        <v>Ajay</v>
      </c>
      <c r="G202">
        <f>Sheet1!K202</f>
        <v>30352.5</v>
      </c>
      <c r="H202">
        <f>Sheet1!N202</f>
        <v>4941.12</v>
      </c>
      <c r="I202">
        <f t="shared" si="6"/>
        <v>1</v>
      </c>
    </row>
    <row r="203" spans="1:9" x14ac:dyDescent="0.3">
      <c r="A203">
        <f>Sheet1!A203</f>
        <v>1202</v>
      </c>
      <c r="B203" t="str">
        <f>Sheet1!B203</f>
        <v>2025-02-26</v>
      </c>
      <c r="C203" t="str">
        <f>TEXT(Sheet1!B203,"YYYY-MM")</f>
        <v>2025-02</v>
      </c>
      <c r="D203" t="str">
        <f>Sheet1!D203</f>
        <v>Delhi</v>
      </c>
      <c r="E203" t="str">
        <f>Sheet1!F203</f>
        <v>Clothing</v>
      </c>
      <c r="F203" t="str">
        <f>Sheet1!H203</f>
        <v>Sneha</v>
      </c>
      <c r="G203">
        <f>Sheet1!K203</f>
        <v>54565.2</v>
      </c>
      <c r="H203">
        <f>Sheet1!N203</f>
        <v>8723.3799999999992</v>
      </c>
      <c r="I203">
        <f t="shared" si="6"/>
        <v>1</v>
      </c>
    </row>
    <row r="204" spans="1:9" x14ac:dyDescent="0.3">
      <c r="A204">
        <f>Sheet1!A204</f>
        <v>1203</v>
      </c>
      <c r="B204" t="str">
        <f>Sheet1!B204</f>
        <v>2025-02-26</v>
      </c>
      <c r="C204" t="str">
        <f>TEXT(Sheet1!B204,"YYYY-MM")</f>
        <v>2025-02</v>
      </c>
      <c r="D204" t="str">
        <f>Sheet1!D204</f>
        <v>Pune</v>
      </c>
      <c r="E204" t="str">
        <f>Sheet1!F204</f>
        <v>Electronics</v>
      </c>
      <c r="F204" t="str">
        <f>Sheet1!H204</f>
        <v>Ajay</v>
      </c>
      <c r="G204">
        <f>Sheet1!K204</f>
        <v>28216.9</v>
      </c>
      <c r="H204">
        <f>Sheet1!N204</f>
        <v>6446.89</v>
      </c>
      <c r="I204">
        <f t="shared" si="6"/>
        <v>1</v>
      </c>
    </row>
    <row r="205" spans="1:9" x14ac:dyDescent="0.3">
      <c r="A205">
        <f>Sheet1!A205</f>
        <v>1204</v>
      </c>
      <c r="B205" t="str">
        <f>Sheet1!B205</f>
        <v>2025-02-27</v>
      </c>
      <c r="C205" t="str">
        <f>TEXT(Sheet1!B205,"YYYY-MM")</f>
        <v>2025-02</v>
      </c>
      <c r="D205" t="str">
        <f>Sheet1!D205</f>
        <v>Pune</v>
      </c>
      <c r="E205" t="str">
        <f>Sheet1!F205</f>
        <v>Electronics</v>
      </c>
      <c r="F205" t="str">
        <f>Sheet1!H205</f>
        <v>Pooja</v>
      </c>
      <c r="G205">
        <f>Sheet1!K205</f>
        <v>29940</v>
      </c>
      <c r="H205">
        <f>Sheet1!N205</f>
        <v>5452.47</v>
      </c>
      <c r="I205">
        <f t="shared" si="6"/>
        <v>1</v>
      </c>
    </row>
    <row r="206" spans="1:9" x14ac:dyDescent="0.3">
      <c r="A206">
        <f>Sheet1!A206</f>
        <v>1205</v>
      </c>
      <c r="B206" t="str">
        <f>Sheet1!B206</f>
        <v>2025-02-27</v>
      </c>
      <c r="C206" t="str">
        <f>TEXT(Sheet1!B206,"YYYY-MM")</f>
        <v>2025-02</v>
      </c>
      <c r="D206" t="str">
        <f>Sheet1!D206</f>
        <v>Pune</v>
      </c>
      <c r="E206" t="str">
        <f>Sheet1!F206</f>
        <v>Clothing</v>
      </c>
      <c r="F206" t="str">
        <f>Sheet1!H206</f>
        <v>Rahul</v>
      </c>
      <c r="G206">
        <f>Sheet1!K206</f>
        <v>2512</v>
      </c>
      <c r="H206">
        <f>Sheet1!N206</f>
        <v>451.68</v>
      </c>
      <c r="I206">
        <f t="shared" si="6"/>
        <v>1</v>
      </c>
    </row>
    <row r="207" spans="1:9" x14ac:dyDescent="0.3">
      <c r="A207">
        <f>Sheet1!A207</f>
        <v>1206</v>
      </c>
      <c r="B207" t="str">
        <f>Sheet1!B207</f>
        <v>2025-02-27</v>
      </c>
      <c r="C207" t="str">
        <f>TEXT(Sheet1!B207,"YYYY-MM")</f>
        <v>2025-02</v>
      </c>
      <c r="D207" t="str">
        <f>Sheet1!D207</f>
        <v>Pune</v>
      </c>
      <c r="E207" t="str">
        <f>Sheet1!F207</f>
        <v>Furniture</v>
      </c>
      <c r="F207" t="str">
        <f>Sheet1!H207</f>
        <v>Sneha</v>
      </c>
      <c r="G207">
        <f>Sheet1!K207</f>
        <v>86119.4</v>
      </c>
      <c r="H207">
        <f>Sheet1!N207</f>
        <v>18465.54</v>
      </c>
      <c r="I207">
        <f t="shared" si="6"/>
        <v>1</v>
      </c>
    </row>
    <row r="208" spans="1:9" x14ac:dyDescent="0.3">
      <c r="A208">
        <f>Sheet1!A208</f>
        <v>1207</v>
      </c>
      <c r="B208" t="str">
        <f>Sheet1!B208</f>
        <v>2025-02-28</v>
      </c>
      <c r="C208" t="str">
        <f>TEXT(Sheet1!B208,"YYYY-MM")</f>
        <v>2025-02</v>
      </c>
      <c r="D208" t="str">
        <f>Sheet1!D208</f>
        <v>Pune</v>
      </c>
      <c r="E208" t="str">
        <f>Sheet1!F208</f>
        <v>Electronics</v>
      </c>
      <c r="F208" t="str">
        <f>Sheet1!H208</f>
        <v>Sneha</v>
      </c>
      <c r="G208">
        <f>Sheet1!K208</f>
        <v>1661.75</v>
      </c>
      <c r="H208">
        <f>Sheet1!N208</f>
        <v>411.43</v>
      </c>
      <c r="I208">
        <f t="shared" si="6"/>
        <v>1</v>
      </c>
    </row>
    <row r="209" spans="1:9" x14ac:dyDescent="0.3">
      <c r="A209">
        <f>Sheet1!A209</f>
        <v>1208</v>
      </c>
      <c r="B209" t="str">
        <f>Sheet1!B209</f>
        <v>2025-02-28</v>
      </c>
      <c r="C209" t="str">
        <f>TEXT(Sheet1!B209,"YYYY-MM")</f>
        <v>2025-02</v>
      </c>
      <c r="D209" t="str">
        <f>Sheet1!D209</f>
        <v>Delhi</v>
      </c>
      <c r="E209" t="str">
        <f>Sheet1!F209</f>
        <v>Furniture</v>
      </c>
      <c r="F209" t="str">
        <f>Sheet1!H209</f>
        <v>Ajay</v>
      </c>
      <c r="G209">
        <f>Sheet1!K209</f>
        <v>105796.8</v>
      </c>
      <c r="H209">
        <f>Sheet1!N209</f>
        <v>16113.31</v>
      </c>
      <c r="I209">
        <f t="shared" si="6"/>
        <v>1</v>
      </c>
    </row>
    <row r="210" spans="1:9" x14ac:dyDescent="0.3">
      <c r="A210">
        <f>Sheet1!A210</f>
        <v>1209</v>
      </c>
      <c r="B210" t="str">
        <f>Sheet1!B210</f>
        <v>2025-02-28</v>
      </c>
      <c r="C210" t="str">
        <f>TEXT(Sheet1!B210,"YYYY-MM")</f>
        <v>2025-02</v>
      </c>
      <c r="D210" t="str">
        <f>Sheet1!D210</f>
        <v>Hyderabad</v>
      </c>
      <c r="E210" t="str">
        <f>Sheet1!F210</f>
        <v>Furniture</v>
      </c>
      <c r="F210" t="str">
        <f>Sheet1!H210</f>
        <v>Ajay</v>
      </c>
      <c r="G210">
        <f>Sheet1!K210</f>
        <v>45304.55</v>
      </c>
      <c r="H210">
        <f>Sheet1!N210</f>
        <v>5035.8599999999997</v>
      </c>
      <c r="I210">
        <f t="shared" si="6"/>
        <v>1</v>
      </c>
    </row>
    <row r="211" spans="1:9" x14ac:dyDescent="0.3">
      <c r="A211">
        <f>Sheet1!A211</f>
        <v>1210</v>
      </c>
      <c r="B211" t="str">
        <f>Sheet1!B211</f>
        <v>2025-02-28</v>
      </c>
      <c r="C211" t="str">
        <f>TEXT(Sheet1!B211,"YYYY-MM")</f>
        <v>2025-02</v>
      </c>
      <c r="D211" t="str">
        <f>Sheet1!D211</f>
        <v>Pune</v>
      </c>
      <c r="E211" t="str">
        <f>Sheet1!F211</f>
        <v>Furniture</v>
      </c>
      <c r="F211" t="str">
        <f>Sheet1!H211</f>
        <v>Rahul</v>
      </c>
      <c r="G211">
        <f>Sheet1!K211</f>
        <v>42195.199999999997</v>
      </c>
      <c r="H211">
        <f>Sheet1!N211</f>
        <v>10858.3</v>
      </c>
      <c r="I211">
        <f t="shared" si="6"/>
        <v>1</v>
      </c>
    </row>
    <row r="212" spans="1:9" x14ac:dyDescent="0.3">
      <c r="A212">
        <f>Sheet1!A212</f>
        <v>1211</v>
      </c>
      <c r="B212" t="str">
        <f>Sheet1!B212</f>
        <v>2025-03-01</v>
      </c>
      <c r="C212" t="str">
        <f>TEXT(Sheet1!B212,"YYYY-MM")</f>
        <v>2025-03</v>
      </c>
      <c r="D212" t="str">
        <f>Sheet1!D212</f>
        <v>Delhi</v>
      </c>
      <c r="E212" t="str">
        <f>Sheet1!F212</f>
        <v>Electronics</v>
      </c>
      <c r="F212" t="str">
        <f>Sheet1!H212</f>
        <v>Sneha</v>
      </c>
      <c r="G212">
        <f>Sheet1!K212</f>
        <v>2966.5</v>
      </c>
      <c r="H212">
        <f>Sheet1!N212</f>
        <v>880.85</v>
      </c>
      <c r="I212">
        <f t="shared" si="6"/>
        <v>1</v>
      </c>
    </row>
    <row r="213" spans="1:9" x14ac:dyDescent="0.3">
      <c r="A213">
        <f>Sheet1!A213</f>
        <v>1212</v>
      </c>
      <c r="B213" t="str">
        <f>Sheet1!B213</f>
        <v>2025-03-01</v>
      </c>
      <c r="C213" t="str">
        <f>TEXT(Sheet1!B213,"YYYY-MM")</f>
        <v>2025-03</v>
      </c>
      <c r="D213" t="str">
        <f>Sheet1!D213</f>
        <v>Mumbai</v>
      </c>
      <c r="E213" t="str">
        <f>Sheet1!F213</f>
        <v>Electronics</v>
      </c>
      <c r="F213" t="str">
        <f>Sheet1!H213</f>
        <v>Pooja</v>
      </c>
      <c r="G213">
        <f>Sheet1!K213</f>
        <v>162362.75</v>
      </c>
      <c r="H213">
        <f>Sheet1!N213</f>
        <v>30826.01</v>
      </c>
      <c r="I213">
        <f t="shared" si="6"/>
        <v>1</v>
      </c>
    </row>
    <row r="214" spans="1:9" x14ac:dyDescent="0.3">
      <c r="A214">
        <f>Sheet1!A214</f>
        <v>1213</v>
      </c>
      <c r="B214" t="str">
        <f>Sheet1!B214</f>
        <v>2025-03-02</v>
      </c>
      <c r="C214" t="str">
        <f>TEXT(Sheet1!B214,"YYYY-MM")</f>
        <v>2025-03</v>
      </c>
      <c r="D214" t="str">
        <f>Sheet1!D214</f>
        <v>Delhi</v>
      </c>
      <c r="E214" t="str">
        <f>Sheet1!F214</f>
        <v>Electronics</v>
      </c>
      <c r="F214" t="str">
        <f>Sheet1!H214</f>
        <v>Pooja</v>
      </c>
      <c r="G214">
        <f>Sheet1!K214</f>
        <v>23752.799999999999</v>
      </c>
      <c r="H214">
        <f>Sheet1!N214</f>
        <v>3272.49</v>
      </c>
      <c r="I214">
        <f t="shared" si="6"/>
        <v>1</v>
      </c>
    </row>
    <row r="215" spans="1:9" x14ac:dyDescent="0.3">
      <c r="A215">
        <f>Sheet1!A215</f>
        <v>1214</v>
      </c>
      <c r="B215" t="str">
        <f>Sheet1!B215</f>
        <v>2025-03-02</v>
      </c>
      <c r="C215" t="str">
        <f>TEXT(Sheet1!B215,"YYYY-MM")</f>
        <v>2025-03</v>
      </c>
      <c r="D215" t="str">
        <f>Sheet1!D215</f>
        <v>Bangalore</v>
      </c>
      <c r="E215" t="str">
        <f>Sheet1!F215</f>
        <v>Clothing</v>
      </c>
      <c r="F215" t="str">
        <f>Sheet1!H215</f>
        <v>Rahul</v>
      </c>
      <c r="G215">
        <f>Sheet1!K215</f>
        <v>43502.400000000001</v>
      </c>
      <c r="H215">
        <f>Sheet1!N215</f>
        <v>11899.85</v>
      </c>
      <c r="I215">
        <f t="shared" si="6"/>
        <v>1</v>
      </c>
    </row>
    <row r="216" spans="1:9" x14ac:dyDescent="0.3">
      <c r="A216">
        <f>Sheet1!A216</f>
        <v>1215</v>
      </c>
      <c r="B216" t="str">
        <f>Sheet1!B216</f>
        <v>2025-03-02</v>
      </c>
      <c r="C216" t="str">
        <f>TEXT(Sheet1!B216,"YYYY-MM")</f>
        <v>2025-03</v>
      </c>
      <c r="D216" t="str">
        <f>Sheet1!D216</f>
        <v>Delhi</v>
      </c>
      <c r="E216" t="str">
        <f>Sheet1!F216</f>
        <v>Electronics</v>
      </c>
      <c r="F216" t="str">
        <f>Sheet1!H216</f>
        <v>Rahul</v>
      </c>
      <c r="G216">
        <f>Sheet1!K216</f>
        <v>137937.15</v>
      </c>
      <c r="H216">
        <f>Sheet1!N216</f>
        <v>20953.93</v>
      </c>
      <c r="I216">
        <f t="shared" si="6"/>
        <v>1</v>
      </c>
    </row>
    <row r="217" spans="1:9" x14ac:dyDescent="0.3">
      <c r="A217">
        <f>Sheet1!A217</f>
        <v>1216</v>
      </c>
      <c r="B217" t="str">
        <f>Sheet1!B217</f>
        <v>2025-03-02</v>
      </c>
      <c r="C217" t="str">
        <f>TEXT(Sheet1!B217,"YYYY-MM")</f>
        <v>2025-03</v>
      </c>
      <c r="D217" t="str">
        <f>Sheet1!D217</f>
        <v>Pune</v>
      </c>
      <c r="E217" t="str">
        <f>Sheet1!F217</f>
        <v>Electronics</v>
      </c>
      <c r="F217" t="str">
        <f>Sheet1!H217</f>
        <v>Ajay</v>
      </c>
      <c r="G217">
        <f>Sheet1!K217</f>
        <v>205645.5</v>
      </c>
      <c r="H217">
        <f>Sheet1!N217</f>
        <v>36527.57</v>
      </c>
      <c r="I217">
        <f t="shared" si="6"/>
        <v>1</v>
      </c>
    </row>
    <row r="218" spans="1:9" x14ac:dyDescent="0.3">
      <c r="A218">
        <f>Sheet1!A218</f>
        <v>1217</v>
      </c>
      <c r="B218" t="str">
        <f>Sheet1!B218</f>
        <v>2025-03-02</v>
      </c>
      <c r="C218" t="str">
        <f>TEXT(Sheet1!B218,"YYYY-MM")</f>
        <v>2025-03</v>
      </c>
      <c r="D218" t="str">
        <f>Sheet1!D218</f>
        <v>Delhi</v>
      </c>
      <c r="E218" t="str">
        <f>Sheet1!F218</f>
        <v>Furniture</v>
      </c>
      <c r="F218" t="str">
        <f>Sheet1!H218</f>
        <v>Pooja</v>
      </c>
      <c r="G218">
        <f>Sheet1!K218</f>
        <v>120959.25</v>
      </c>
      <c r="H218">
        <f>Sheet1!N218</f>
        <v>35818.44</v>
      </c>
      <c r="I218">
        <f t="shared" si="6"/>
        <v>1</v>
      </c>
    </row>
    <row r="219" spans="1:9" x14ac:dyDescent="0.3">
      <c r="A219">
        <f>Sheet1!A219</f>
        <v>1218</v>
      </c>
      <c r="B219" t="str">
        <f>Sheet1!B219</f>
        <v>2025-03-03</v>
      </c>
      <c r="C219" t="str">
        <f>TEXT(Sheet1!B219,"YYYY-MM")</f>
        <v>2025-03</v>
      </c>
      <c r="D219" t="str">
        <f>Sheet1!D219</f>
        <v>Delhi</v>
      </c>
      <c r="E219" t="str">
        <f>Sheet1!F219</f>
        <v>Furniture</v>
      </c>
      <c r="F219" t="str">
        <f>Sheet1!H219</f>
        <v>Pooja</v>
      </c>
      <c r="G219">
        <f>Sheet1!K219</f>
        <v>52989</v>
      </c>
      <c r="H219">
        <f>Sheet1!N219</f>
        <v>6222.88</v>
      </c>
      <c r="I219">
        <f t="shared" si="6"/>
        <v>1</v>
      </c>
    </row>
    <row r="220" spans="1:9" x14ac:dyDescent="0.3">
      <c r="A220">
        <f>Sheet1!A220</f>
        <v>1219</v>
      </c>
      <c r="B220" t="str">
        <f>Sheet1!B220</f>
        <v>2025-03-03</v>
      </c>
      <c r="C220" t="str">
        <f>TEXT(Sheet1!B220,"YYYY-MM")</f>
        <v>2025-03</v>
      </c>
      <c r="D220" t="str">
        <f>Sheet1!D220</f>
        <v>Bangalore</v>
      </c>
      <c r="E220" t="str">
        <f>Sheet1!F220</f>
        <v>Furniture</v>
      </c>
      <c r="F220" t="str">
        <f>Sheet1!H220</f>
        <v>Ajay</v>
      </c>
      <c r="G220">
        <f>Sheet1!K220</f>
        <v>23500.799999999999</v>
      </c>
      <c r="H220">
        <f>Sheet1!N220</f>
        <v>6159.08</v>
      </c>
      <c r="I220">
        <f t="shared" si="6"/>
        <v>1</v>
      </c>
    </row>
    <row r="221" spans="1:9" x14ac:dyDescent="0.3">
      <c r="A221">
        <f>Sheet1!A221</f>
        <v>1220</v>
      </c>
      <c r="B221" t="str">
        <f>Sheet1!B221</f>
        <v>2025-03-03</v>
      </c>
      <c r="C221" t="str">
        <f>TEXT(Sheet1!B221,"YYYY-MM")</f>
        <v>2025-03</v>
      </c>
      <c r="D221" t="str">
        <f>Sheet1!D221</f>
        <v>Delhi</v>
      </c>
      <c r="E221" t="str">
        <f>Sheet1!F221</f>
        <v>Electronics</v>
      </c>
      <c r="F221" t="str">
        <f>Sheet1!H221</f>
        <v>Sneha</v>
      </c>
      <c r="G221">
        <f>Sheet1!K221</f>
        <v>134568</v>
      </c>
      <c r="H221">
        <f>Sheet1!N221</f>
        <v>29208.43</v>
      </c>
      <c r="I221">
        <f t="shared" si="6"/>
        <v>1</v>
      </c>
    </row>
    <row r="222" spans="1:9" x14ac:dyDescent="0.3">
      <c r="A222">
        <f>Sheet1!A222</f>
        <v>1221</v>
      </c>
      <c r="B222" t="str">
        <f>Sheet1!B222</f>
        <v>2025-03-03</v>
      </c>
      <c r="C222" t="str">
        <f>TEXT(Sheet1!B222,"YYYY-MM")</f>
        <v>2025-03</v>
      </c>
      <c r="D222" t="str">
        <f>Sheet1!D222</f>
        <v>Hyderabad</v>
      </c>
      <c r="E222" t="str">
        <f>Sheet1!F222</f>
        <v>Furniture</v>
      </c>
      <c r="F222" t="str">
        <f>Sheet1!H222</f>
        <v>Rahul</v>
      </c>
      <c r="G222">
        <f>Sheet1!K222</f>
        <v>47761.5</v>
      </c>
      <c r="H222">
        <f>Sheet1!N222</f>
        <v>7160.51</v>
      </c>
      <c r="I222">
        <f t="shared" si="6"/>
        <v>1</v>
      </c>
    </row>
    <row r="223" spans="1:9" x14ac:dyDescent="0.3">
      <c r="A223">
        <f>Sheet1!A223</f>
        <v>1222</v>
      </c>
      <c r="B223" t="str">
        <f>Sheet1!B223</f>
        <v>2025-03-04</v>
      </c>
      <c r="C223" t="str">
        <f>TEXT(Sheet1!B223,"YYYY-MM")</f>
        <v>2025-03</v>
      </c>
      <c r="D223" t="str">
        <f>Sheet1!D223</f>
        <v>Bangalore</v>
      </c>
      <c r="E223" t="str">
        <f>Sheet1!F223</f>
        <v>Electronics</v>
      </c>
      <c r="F223" t="str">
        <f>Sheet1!H223</f>
        <v>Ajay</v>
      </c>
      <c r="G223">
        <f>Sheet1!K223</f>
        <v>148914</v>
      </c>
      <c r="H223">
        <f>Sheet1!N223</f>
        <v>18866.05</v>
      </c>
      <c r="I223">
        <f t="shared" si="6"/>
        <v>1</v>
      </c>
    </row>
    <row r="224" spans="1:9" x14ac:dyDescent="0.3">
      <c r="A224">
        <f>Sheet1!A224</f>
        <v>1223</v>
      </c>
      <c r="B224" t="str">
        <f>Sheet1!B224</f>
        <v>2025-03-04</v>
      </c>
      <c r="C224" t="str">
        <f>TEXT(Sheet1!B224,"YYYY-MM")</f>
        <v>2025-03</v>
      </c>
      <c r="D224" t="str">
        <f>Sheet1!D224</f>
        <v>Delhi</v>
      </c>
      <c r="E224" t="str">
        <f>Sheet1!F224</f>
        <v>Furniture</v>
      </c>
      <c r="F224" t="str">
        <f>Sheet1!H224</f>
        <v>Sneha</v>
      </c>
      <c r="G224">
        <f>Sheet1!K224</f>
        <v>45814.7</v>
      </c>
      <c r="H224">
        <f>Sheet1!N224</f>
        <v>7133.23</v>
      </c>
      <c r="I224">
        <f t="shared" si="6"/>
        <v>1</v>
      </c>
    </row>
    <row r="225" spans="1:9" x14ac:dyDescent="0.3">
      <c r="A225">
        <f>Sheet1!A225</f>
        <v>1224</v>
      </c>
      <c r="B225" t="str">
        <f>Sheet1!B225</f>
        <v>2025-03-04</v>
      </c>
      <c r="C225" t="str">
        <f>TEXT(Sheet1!B225,"YYYY-MM")</f>
        <v>2025-03</v>
      </c>
      <c r="D225" t="str">
        <f>Sheet1!D225</f>
        <v>Delhi</v>
      </c>
      <c r="E225" t="str">
        <f>Sheet1!F225</f>
        <v>Clothing</v>
      </c>
      <c r="F225" t="str">
        <f>Sheet1!H225</f>
        <v>Rahul</v>
      </c>
      <c r="G225">
        <f>Sheet1!K225</f>
        <v>73990.8</v>
      </c>
      <c r="H225">
        <f>Sheet1!N225</f>
        <v>20068.150000000001</v>
      </c>
      <c r="I225">
        <f t="shared" si="6"/>
        <v>1</v>
      </c>
    </row>
    <row r="226" spans="1:9" x14ac:dyDescent="0.3">
      <c r="A226">
        <f>Sheet1!A226</f>
        <v>1225</v>
      </c>
      <c r="B226" t="str">
        <f>Sheet1!B226</f>
        <v>2025-03-05</v>
      </c>
      <c r="C226" t="str">
        <f>TEXT(Sheet1!B226,"YYYY-MM")</f>
        <v>2025-03</v>
      </c>
      <c r="D226" t="str">
        <f>Sheet1!D226</f>
        <v>Bangalore</v>
      </c>
      <c r="E226" t="str">
        <f>Sheet1!F226</f>
        <v>Furniture</v>
      </c>
      <c r="F226" t="str">
        <f>Sheet1!H226</f>
        <v>Pooja</v>
      </c>
      <c r="G226">
        <f>Sheet1!K226</f>
        <v>144924.4</v>
      </c>
      <c r="H226">
        <f>Sheet1!N226</f>
        <v>27959.98</v>
      </c>
      <c r="I226">
        <f t="shared" si="6"/>
        <v>1</v>
      </c>
    </row>
    <row r="227" spans="1:9" x14ac:dyDescent="0.3">
      <c r="A227">
        <f>Sheet1!A227</f>
        <v>1226</v>
      </c>
      <c r="B227" t="str">
        <f>Sheet1!B227</f>
        <v>2025-03-05</v>
      </c>
      <c r="C227" t="str">
        <f>TEXT(Sheet1!B227,"YYYY-MM")</f>
        <v>2025-03</v>
      </c>
      <c r="D227" t="str">
        <f>Sheet1!D227</f>
        <v>Mumbai</v>
      </c>
      <c r="E227" t="str">
        <f>Sheet1!F227</f>
        <v>Clothing</v>
      </c>
      <c r="F227" t="str">
        <f>Sheet1!H227</f>
        <v>Pooja</v>
      </c>
      <c r="G227">
        <f>Sheet1!K227</f>
        <v>38691</v>
      </c>
      <c r="H227">
        <f>Sheet1!N227</f>
        <v>10818.02</v>
      </c>
      <c r="I227">
        <f t="shared" si="6"/>
        <v>1</v>
      </c>
    </row>
    <row r="228" spans="1:9" x14ac:dyDescent="0.3">
      <c r="A228">
        <f>Sheet1!A228</f>
        <v>1227</v>
      </c>
      <c r="B228" t="str">
        <f>Sheet1!B228</f>
        <v>2025-03-05</v>
      </c>
      <c r="C228" t="str">
        <f>TEXT(Sheet1!B228,"YYYY-MM")</f>
        <v>2025-03</v>
      </c>
      <c r="D228" t="str">
        <f>Sheet1!D228</f>
        <v>Hyderabad</v>
      </c>
      <c r="E228" t="str">
        <f>Sheet1!F228</f>
        <v>Clothing</v>
      </c>
      <c r="F228" t="str">
        <f>Sheet1!H228</f>
        <v>Rahul</v>
      </c>
      <c r="G228">
        <f>Sheet1!K228</f>
        <v>170590.75</v>
      </c>
      <c r="H228">
        <f>Sheet1!N228</f>
        <v>19839.95</v>
      </c>
      <c r="I228">
        <f t="shared" si="6"/>
        <v>1</v>
      </c>
    </row>
    <row r="229" spans="1:9" x14ac:dyDescent="0.3">
      <c r="A229">
        <f>Sheet1!A229</f>
        <v>1228</v>
      </c>
      <c r="B229" t="str">
        <f>Sheet1!B229</f>
        <v>2025-03-05</v>
      </c>
      <c r="C229" t="str">
        <f>TEXT(Sheet1!B229,"YYYY-MM")</f>
        <v>2025-03</v>
      </c>
      <c r="D229" t="str">
        <f>Sheet1!D229</f>
        <v>Hyderabad</v>
      </c>
      <c r="E229" t="str">
        <f>Sheet1!F229</f>
        <v>Electronics</v>
      </c>
      <c r="F229" t="str">
        <f>Sheet1!H229</f>
        <v>Rahul</v>
      </c>
      <c r="G229">
        <f>Sheet1!K229</f>
        <v>22352.55</v>
      </c>
      <c r="H229">
        <f>Sheet1!N229</f>
        <v>3348.42</v>
      </c>
      <c r="I229">
        <f t="shared" si="6"/>
        <v>1</v>
      </c>
    </row>
    <row r="230" spans="1:9" x14ac:dyDescent="0.3">
      <c r="A230">
        <f>Sheet1!A230</f>
        <v>1229</v>
      </c>
      <c r="B230" t="str">
        <f>Sheet1!B230</f>
        <v>2025-03-05</v>
      </c>
      <c r="C230" t="str">
        <f>TEXT(Sheet1!B230,"YYYY-MM")</f>
        <v>2025-03</v>
      </c>
      <c r="D230" t="str">
        <f>Sheet1!D230</f>
        <v>Pune</v>
      </c>
      <c r="E230" t="str">
        <f>Sheet1!F230</f>
        <v>Furniture</v>
      </c>
      <c r="F230" t="str">
        <f>Sheet1!H230</f>
        <v>Pooja</v>
      </c>
      <c r="G230">
        <f>Sheet1!K230</f>
        <v>16052.4</v>
      </c>
      <c r="H230">
        <f>Sheet1!N230</f>
        <v>3296.33</v>
      </c>
      <c r="I230">
        <f t="shared" si="6"/>
        <v>1</v>
      </c>
    </row>
    <row r="231" spans="1:9" x14ac:dyDescent="0.3">
      <c r="A231">
        <f>Sheet1!A231</f>
        <v>1230</v>
      </c>
      <c r="B231" t="str">
        <f>Sheet1!B231</f>
        <v>2025-03-06</v>
      </c>
      <c r="C231" t="str">
        <f>TEXT(Sheet1!B231,"YYYY-MM")</f>
        <v>2025-03</v>
      </c>
      <c r="D231" t="str">
        <f>Sheet1!D231</f>
        <v>Bangalore</v>
      </c>
      <c r="E231" t="str">
        <f>Sheet1!F231</f>
        <v>Electronics</v>
      </c>
      <c r="F231" t="str">
        <f>Sheet1!H231</f>
        <v>Pooja</v>
      </c>
      <c r="G231">
        <f>Sheet1!K231</f>
        <v>8946.25</v>
      </c>
      <c r="H231">
        <f>Sheet1!N231</f>
        <v>2307.61</v>
      </c>
      <c r="I231">
        <f t="shared" si="6"/>
        <v>1</v>
      </c>
    </row>
    <row r="232" spans="1:9" x14ac:dyDescent="0.3">
      <c r="A232">
        <f>Sheet1!A232</f>
        <v>1231</v>
      </c>
      <c r="B232" t="str">
        <f>Sheet1!B232</f>
        <v>2025-03-06</v>
      </c>
      <c r="C232" t="str">
        <f>TEXT(Sheet1!B232,"YYYY-MM")</f>
        <v>2025-03</v>
      </c>
      <c r="D232" t="str">
        <f>Sheet1!D232</f>
        <v>Bangalore</v>
      </c>
      <c r="E232" t="str">
        <f>Sheet1!F232</f>
        <v>Furniture</v>
      </c>
      <c r="F232" t="str">
        <f>Sheet1!H232</f>
        <v>Rahul</v>
      </c>
      <c r="G232">
        <f>Sheet1!K232</f>
        <v>64798.2</v>
      </c>
      <c r="H232">
        <f>Sheet1!N232</f>
        <v>14861.13</v>
      </c>
      <c r="I232">
        <f t="shared" si="6"/>
        <v>1</v>
      </c>
    </row>
    <row r="233" spans="1:9" x14ac:dyDescent="0.3">
      <c r="A233">
        <f>Sheet1!A233</f>
        <v>1232</v>
      </c>
      <c r="B233" t="str">
        <f>Sheet1!B233</f>
        <v>2025-03-06</v>
      </c>
      <c r="C233" t="str">
        <f>TEXT(Sheet1!B233,"YYYY-MM")</f>
        <v>2025-03</v>
      </c>
      <c r="D233" t="str">
        <f>Sheet1!D233</f>
        <v>Bangalore</v>
      </c>
      <c r="E233" t="str">
        <f>Sheet1!F233</f>
        <v>Electronics</v>
      </c>
      <c r="F233" t="str">
        <f>Sheet1!H233</f>
        <v>Rahul</v>
      </c>
      <c r="G233">
        <f>Sheet1!K233</f>
        <v>20428.2</v>
      </c>
      <c r="H233">
        <f>Sheet1!N233</f>
        <v>5878.36</v>
      </c>
      <c r="I233">
        <f t="shared" si="6"/>
        <v>1</v>
      </c>
    </row>
    <row r="234" spans="1:9" x14ac:dyDescent="0.3">
      <c r="A234">
        <f>Sheet1!A234</f>
        <v>1233</v>
      </c>
      <c r="B234" t="str">
        <f>Sheet1!B234</f>
        <v>2025-03-07</v>
      </c>
      <c r="C234" t="str">
        <f>TEXT(Sheet1!B234,"YYYY-MM")</f>
        <v>2025-03</v>
      </c>
      <c r="D234" t="str">
        <f>Sheet1!D234</f>
        <v>Hyderabad</v>
      </c>
      <c r="E234" t="str">
        <f>Sheet1!F234</f>
        <v>Clothing</v>
      </c>
      <c r="F234" t="str">
        <f>Sheet1!H234</f>
        <v>Rahul</v>
      </c>
      <c r="G234">
        <f>Sheet1!K234</f>
        <v>18918</v>
      </c>
      <c r="H234">
        <f>Sheet1!N234</f>
        <v>3502.13</v>
      </c>
      <c r="I234">
        <f t="shared" si="6"/>
        <v>1</v>
      </c>
    </row>
    <row r="235" spans="1:9" x14ac:dyDescent="0.3">
      <c r="A235">
        <f>Sheet1!A235</f>
        <v>1234</v>
      </c>
      <c r="B235" t="str">
        <f>Sheet1!B235</f>
        <v>2025-03-07</v>
      </c>
      <c r="C235" t="str">
        <f>TEXT(Sheet1!B235,"YYYY-MM")</f>
        <v>2025-03</v>
      </c>
      <c r="D235" t="str">
        <f>Sheet1!D235</f>
        <v>Hyderabad</v>
      </c>
      <c r="E235" t="str">
        <f>Sheet1!F235</f>
        <v>Clothing</v>
      </c>
      <c r="F235" t="str">
        <f>Sheet1!H235</f>
        <v>Ajay</v>
      </c>
      <c r="G235">
        <f>Sheet1!K235</f>
        <v>30939</v>
      </c>
      <c r="H235">
        <f>Sheet1!N235</f>
        <v>7361.12</v>
      </c>
      <c r="I235">
        <f t="shared" si="6"/>
        <v>1</v>
      </c>
    </row>
    <row r="236" spans="1:9" x14ac:dyDescent="0.3">
      <c r="A236">
        <f>Sheet1!A236</f>
        <v>1235</v>
      </c>
      <c r="B236" t="str">
        <f>Sheet1!B236</f>
        <v>2025-03-07</v>
      </c>
      <c r="C236" t="str">
        <f>TEXT(Sheet1!B236,"YYYY-MM")</f>
        <v>2025-03</v>
      </c>
      <c r="D236" t="str">
        <f>Sheet1!D236</f>
        <v>Delhi</v>
      </c>
      <c r="E236" t="str">
        <f>Sheet1!F236</f>
        <v>Electronics</v>
      </c>
      <c r="F236" t="str">
        <f>Sheet1!H236</f>
        <v>Ajay</v>
      </c>
      <c r="G236">
        <f>Sheet1!K236</f>
        <v>1580.4</v>
      </c>
      <c r="H236">
        <f>Sheet1!N236</f>
        <v>444.88</v>
      </c>
      <c r="I236">
        <f t="shared" si="6"/>
        <v>1</v>
      </c>
    </row>
    <row r="237" spans="1:9" x14ac:dyDescent="0.3">
      <c r="A237">
        <f>Sheet1!A237</f>
        <v>1236</v>
      </c>
      <c r="B237" t="str">
        <f>Sheet1!B237</f>
        <v>2025-03-08</v>
      </c>
      <c r="C237" t="str">
        <f>TEXT(Sheet1!B237,"YYYY-MM")</f>
        <v>2025-03</v>
      </c>
      <c r="D237" t="str">
        <f>Sheet1!D237</f>
        <v>Hyderabad</v>
      </c>
      <c r="E237" t="str">
        <f>Sheet1!F237</f>
        <v>Clothing</v>
      </c>
      <c r="F237" t="str">
        <f>Sheet1!H237</f>
        <v>Pooja</v>
      </c>
      <c r="G237">
        <f>Sheet1!K237</f>
        <v>48618</v>
      </c>
      <c r="H237">
        <f>Sheet1!N237</f>
        <v>12882.58</v>
      </c>
      <c r="I237">
        <f t="shared" si="6"/>
        <v>1</v>
      </c>
    </row>
    <row r="238" spans="1:9" x14ac:dyDescent="0.3">
      <c r="A238">
        <f>Sheet1!A238</f>
        <v>1237</v>
      </c>
      <c r="B238" t="str">
        <f>Sheet1!B238</f>
        <v>2025-03-08</v>
      </c>
      <c r="C238" t="str">
        <f>TEXT(Sheet1!B238,"YYYY-MM")</f>
        <v>2025-03</v>
      </c>
      <c r="D238" t="str">
        <f>Sheet1!D238</f>
        <v>Delhi</v>
      </c>
      <c r="E238" t="str">
        <f>Sheet1!F238</f>
        <v>Furniture</v>
      </c>
      <c r="F238" t="str">
        <f>Sheet1!H238</f>
        <v>Pooja</v>
      </c>
      <c r="G238">
        <f>Sheet1!K238</f>
        <v>6321.6</v>
      </c>
      <c r="H238">
        <f>Sheet1!N238</f>
        <v>1131.8699999999999</v>
      </c>
      <c r="I238">
        <f t="shared" si="6"/>
        <v>1</v>
      </c>
    </row>
    <row r="239" spans="1:9" x14ac:dyDescent="0.3">
      <c r="A239">
        <f>Sheet1!A239</f>
        <v>1238</v>
      </c>
      <c r="B239" t="str">
        <f>Sheet1!B239</f>
        <v>2025-03-08</v>
      </c>
      <c r="C239" t="str">
        <f>TEXT(Sheet1!B239,"YYYY-MM")</f>
        <v>2025-03</v>
      </c>
      <c r="D239" t="str">
        <f>Sheet1!D239</f>
        <v>Mumbai</v>
      </c>
      <c r="E239" t="str">
        <f>Sheet1!F239</f>
        <v>Electronics</v>
      </c>
      <c r="F239" t="str">
        <f>Sheet1!H239</f>
        <v>Ajay</v>
      </c>
      <c r="G239">
        <f>Sheet1!K239</f>
        <v>70200</v>
      </c>
      <c r="H239">
        <f>Sheet1!N239</f>
        <v>8532.5300000000007</v>
      </c>
      <c r="I239">
        <f t="shared" si="6"/>
        <v>1</v>
      </c>
    </row>
    <row r="240" spans="1:9" x14ac:dyDescent="0.3">
      <c r="A240">
        <f>Sheet1!A240</f>
        <v>1239</v>
      </c>
      <c r="B240" t="str">
        <f>Sheet1!B240</f>
        <v>2025-03-09</v>
      </c>
      <c r="C240" t="str">
        <f>TEXT(Sheet1!B240,"YYYY-MM")</f>
        <v>2025-03</v>
      </c>
      <c r="D240" t="str">
        <f>Sheet1!D240</f>
        <v>Delhi</v>
      </c>
      <c r="E240" t="str">
        <f>Sheet1!F240</f>
        <v>Furniture</v>
      </c>
      <c r="F240" t="str">
        <f>Sheet1!H240</f>
        <v>Pooja</v>
      </c>
      <c r="G240">
        <f>Sheet1!K240</f>
        <v>32300</v>
      </c>
      <c r="H240">
        <f>Sheet1!N240</f>
        <v>3523.67</v>
      </c>
      <c r="I240">
        <f t="shared" si="6"/>
        <v>1</v>
      </c>
    </row>
    <row r="241" spans="1:9" x14ac:dyDescent="0.3">
      <c r="A241">
        <f>Sheet1!A241</f>
        <v>1240</v>
      </c>
      <c r="B241" t="str">
        <f>Sheet1!B241</f>
        <v>2025-03-09</v>
      </c>
      <c r="C241" t="str">
        <f>TEXT(Sheet1!B241,"YYYY-MM")</f>
        <v>2025-03</v>
      </c>
      <c r="D241" t="str">
        <f>Sheet1!D241</f>
        <v>Delhi</v>
      </c>
      <c r="E241" t="str">
        <f>Sheet1!F241</f>
        <v>Electronics</v>
      </c>
      <c r="F241" t="str">
        <f>Sheet1!H241</f>
        <v>Rahul</v>
      </c>
      <c r="G241">
        <f>Sheet1!K241</f>
        <v>39426.9</v>
      </c>
      <c r="H241">
        <f>Sheet1!N241</f>
        <v>4883.53</v>
      </c>
      <c r="I241">
        <f t="shared" si="6"/>
        <v>1</v>
      </c>
    </row>
    <row r="242" spans="1:9" x14ac:dyDescent="0.3">
      <c r="A242">
        <f>Sheet1!A242</f>
        <v>1241</v>
      </c>
      <c r="B242" t="str">
        <f>Sheet1!B242</f>
        <v>2025-03-09</v>
      </c>
      <c r="C242" t="str">
        <f>TEXT(Sheet1!B242,"YYYY-MM")</f>
        <v>2025-03</v>
      </c>
      <c r="D242" t="str">
        <f>Sheet1!D242</f>
        <v>Bangalore</v>
      </c>
      <c r="E242" t="str">
        <f>Sheet1!F242</f>
        <v>Clothing</v>
      </c>
      <c r="F242" t="str">
        <f>Sheet1!H242</f>
        <v>Rahul</v>
      </c>
      <c r="G242">
        <f>Sheet1!K242</f>
        <v>22788</v>
      </c>
      <c r="H242">
        <f>Sheet1!N242</f>
        <v>6121.06</v>
      </c>
      <c r="I242">
        <f t="shared" si="6"/>
        <v>1</v>
      </c>
    </row>
    <row r="243" spans="1:9" x14ac:dyDescent="0.3">
      <c r="A243">
        <f>Sheet1!A243</f>
        <v>1242</v>
      </c>
      <c r="B243" t="str">
        <f>Sheet1!B243</f>
        <v>2025-03-10</v>
      </c>
      <c r="C243" t="str">
        <f>TEXT(Sheet1!B243,"YYYY-MM")</f>
        <v>2025-03</v>
      </c>
      <c r="D243" t="str">
        <f>Sheet1!D243</f>
        <v>Bangalore</v>
      </c>
      <c r="E243" t="str">
        <f>Sheet1!F243</f>
        <v>Electronics</v>
      </c>
      <c r="F243" t="str">
        <f>Sheet1!H243</f>
        <v>Rahul</v>
      </c>
      <c r="G243">
        <f>Sheet1!K243</f>
        <v>130941.9</v>
      </c>
      <c r="H243">
        <f>Sheet1!N243</f>
        <v>27272.38</v>
      </c>
      <c r="I243">
        <f t="shared" si="6"/>
        <v>1</v>
      </c>
    </row>
    <row r="244" spans="1:9" x14ac:dyDescent="0.3">
      <c r="A244">
        <f>Sheet1!A244</f>
        <v>1243</v>
      </c>
      <c r="B244" t="str">
        <f>Sheet1!B244</f>
        <v>2025-03-10</v>
      </c>
      <c r="C244" t="str">
        <f>TEXT(Sheet1!B244,"YYYY-MM")</f>
        <v>2025-03</v>
      </c>
      <c r="D244" t="str">
        <f>Sheet1!D244</f>
        <v>Bangalore</v>
      </c>
      <c r="E244" t="str">
        <f>Sheet1!F244</f>
        <v>Furniture</v>
      </c>
      <c r="F244" t="str">
        <f>Sheet1!H244</f>
        <v>Rahul</v>
      </c>
      <c r="G244">
        <f>Sheet1!K244</f>
        <v>58855.7</v>
      </c>
      <c r="H244">
        <f>Sheet1!N244</f>
        <v>15502.46</v>
      </c>
      <c r="I244">
        <f t="shared" si="6"/>
        <v>1</v>
      </c>
    </row>
    <row r="245" spans="1:9" x14ac:dyDescent="0.3">
      <c r="A245">
        <f>Sheet1!A245</f>
        <v>1244</v>
      </c>
      <c r="B245" t="str">
        <f>Sheet1!B245</f>
        <v>2025-03-11</v>
      </c>
      <c r="C245" t="str">
        <f>TEXT(Sheet1!B245,"YYYY-MM")</f>
        <v>2025-03</v>
      </c>
      <c r="D245" t="str">
        <f>Sheet1!D245</f>
        <v>Delhi</v>
      </c>
      <c r="E245" t="str">
        <f>Sheet1!F245</f>
        <v>Furniture</v>
      </c>
      <c r="F245" t="str">
        <f>Sheet1!H245</f>
        <v>Sneha</v>
      </c>
      <c r="G245">
        <f>Sheet1!K245</f>
        <v>28993.5</v>
      </c>
      <c r="H245">
        <f>Sheet1!N245</f>
        <v>3399.64</v>
      </c>
      <c r="I245">
        <f t="shared" si="6"/>
        <v>1</v>
      </c>
    </row>
    <row r="246" spans="1:9" x14ac:dyDescent="0.3">
      <c r="A246">
        <f>Sheet1!A246</f>
        <v>1245</v>
      </c>
      <c r="B246" t="str">
        <f>Sheet1!B246</f>
        <v>2025-03-11</v>
      </c>
      <c r="C246" t="str">
        <f>TEXT(Sheet1!B246,"YYYY-MM")</f>
        <v>2025-03</v>
      </c>
      <c r="D246" t="str">
        <f>Sheet1!D246</f>
        <v>Hyderabad</v>
      </c>
      <c r="E246" t="str">
        <f>Sheet1!F246</f>
        <v>Electronics</v>
      </c>
      <c r="F246" t="str">
        <f>Sheet1!H246</f>
        <v>Rahul</v>
      </c>
      <c r="G246">
        <f>Sheet1!K246</f>
        <v>108748</v>
      </c>
      <c r="H246">
        <f>Sheet1!N246</f>
        <v>16137.18</v>
      </c>
      <c r="I246">
        <f t="shared" si="6"/>
        <v>1</v>
      </c>
    </row>
    <row r="247" spans="1:9" x14ac:dyDescent="0.3">
      <c r="A247">
        <f>Sheet1!A247</f>
        <v>1246</v>
      </c>
      <c r="B247" t="str">
        <f>Sheet1!B247</f>
        <v>2025-03-12</v>
      </c>
      <c r="C247" t="str">
        <f>TEXT(Sheet1!B247,"YYYY-MM")</f>
        <v>2025-03</v>
      </c>
      <c r="D247" t="str">
        <f>Sheet1!D247</f>
        <v>Mumbai</v>
      </c>
      <c r="E247" t="str">
        <f>Sheet1!F247</f>
        <v>Clothing</v>
      </c>
      <c r="F247" t="str">
        <f>Sheet1!H247</f>
        <v>Sneha</v>
      </c>
      <c r="G247">
        <f>Sheet1!K247</f>
        <v>18600.3</v>
      </c>
      <c r="H247">
        <f>Sheet1!N247</f>
        <v>3747.15</v>
      </c>
      <c r="I247">
        <f t="shared" si="6"/>
        <v>1</v>
      </c>
    </row>
    <row r="248" spans="1:9" x14ac:dyDescent="0.3">
      <c r="A248">
        <f>Sheet1!A248</f>
        <v>1247</v>
      </c>
      <c r="B248" t="str">
        <f>Sheet1!B248</f>
        <v>2025-03-12</v>
      </c>
      <c r="C248" t="str">
        <f>TEXT(Sheet1!B248,"YYYY-MM")</f>
        <v>2025-03</v>
      </c>
      <c r="D248" t="str">
        <f>Sheet1!D248</f>
        <v>Pune</v>
      </c>
      <c r="E248" t="str">
        <f>Sheet1!F248</f>
        <v>Electronics</v>
      </c>
      <c r="F248" t="str">
        <f>Sheet1!H248</f>
        <v>Sneha</v>
      </c>
      <c r="G248">
        <f>Sheet1!K248</f>
        <v>112599</v>
      </c>
      <c r="H248">
        <f>Sheet1!N248</f>
        <v>22294.720000000001</v>
      </c>
      <c r="I248">
        <f t="shared" si="6"/>
        <v>1</v>
      </c>
    </row>
    <row r="249" spans="1:9" x14ac:dyDescent="0.3">
      <c r="A249">
        <f>Sheet1!A249</f>
        <v>1248</v>
      </c>
      <c r="B249" t="str">
        <f>Sheet1!B249</f>
        <v>2025-03-12</v>
      </c>
      <c r="C249" t="str">
        <f>TEXT(Sheet1!B249,"YYYY-MM")</f>
        <v>2025-03</v>
      </c>
      <c r="D249" t="str">
        <f>Sheet1!D249</f>
        <v>Hyderabad</v>
      </c>
      <c r="E249" t="str">
        <f>Sheet1!F249</f>
        <v>Furniture</v>
      </c>
      <c r="F249" t="str">
        <f>Sheet1!H249</f>
        <v>Rahul</v>
      </c>
      <c r="G249">
        <f>Sheet1!K249</f>
        <v>115268.25</v>
      </c>
      <c r="H249">
        <f>Sheet1!N249</f>
        <v>33224.69</v>
      </c>
      <c r="I249">
        <f t="shared" si="6"/>
        <v>1</v>
      </c>
    </row>
    <row r="250" spans="1:9" x14ac:dyDescent="0.3">
      <c r="A250">
        <f>Sheet1!A250</f>
        <v>1249</v>
      </c>
      <c r="B250" t="str">
        <f>Sheet1!B250</f>
        <v>2025-03-12</v>
      </c>
      <c r="C250" t="str">
        <f>TEXT(Sheet1!B250,"YYYY-MM")</f>
        <v>2025-03</v>
      </c>
      <c r="D250" t="str">
        <f>Sheet1!D250</f>
        <v>Mumbai</v>
      </c>
      <c r="E250" t="str">
        <f>Sheet1!F250</f>
        <v>Furniture</v>
      </c>
      <c r="F250" t="str">
        <f>Sheet1!H250</f>
        <v>Ajay</v>
      </c>
      <c r="G250">
        <f>Sheet1!K250</f>
        <v>144310.5</v>
      </c>
      <c r="H250">
        <f>Sheet1!N250</f>
        <v>16045.47</v>
      </c>
      <c r="I250">
        <f t="shared" si="6"/>
        <v>1</v>
      </c>
    </row>
    <row r="251" spans="1:9" x14ac:dyDescent="0.3">
      <c r="A251">
        <f>Sheet1!A251</f>
        <v>1250</v>
      </c>
      <c r="B251" t="str">
        <f>Sheet1!B251</f>
        <v>2025-03-13</v>
      </c>
      <c r="C251" t="str">
        <f>TEXT(Sheet1!B251,"YYYY-MM")</f>
        <v>2025-03</v>
      </c>
      <c r="D251" t="str">
        <f>Sheet1!D251</f>
        <v>Delhi</v>
      </c>
      <c r="E251" t="str">
        <f>Sheet1!F251</f>
        <v>Clothing</v>
      </c>
      <c r="F251" t="str">
        <f>Sheet1!H251</f>
        <v>Pooja</v>
      </c>
      <c r="G251">
        <f>Sheet1!K251</f>
        <v>71378</v>
      </c>
      <c r="H251">
        <f>Sheet1!N251</f>
        <v>9343.69</v>
      </c>
      <c r="I251">
        <f t="shared" si="6"/>
        <v>1</v>
      </c>
    </row>
    <row r="252" spans="1:9" x14ac:dyDescent="0.3">
      <c r="A252">
        <f>Sheet1!A252</f>
        <v>1251</v>
      </c>
      <c r="B252" t="str">
        <f>Sheet1!B252</f>
        <v>2025-03-13</v>
      </c>
      <c r="C252" t="str">
        <f>TEXT(Sheet1!B252,"YYYY-MM")</f>
        <v>2025-03</v>
      </c>
      <c r="D252" t="str">
        <f>Sheet1!D252</f>
        <v>Delhi</v>
      </c>
      <c r="E252" t="str">
        <f>Sheet1!F252</f>
        <v>Furniture</v>
      </c>
      <c r="F252" t="str">
        <f>Sheet1!H252</f>
        <v>Sneha</v>
      </c>
      <c r="G252">
        <f>Sheet1!K252</f>
        <v>8180</v>
      </c>
      <c r="H252">
        <f>Sheet1!N252</f>
        <v>961.66</v>
      </c>
      <c r="I252">
        <f t="shared" si="6"/>
        <v>1</v>
      </c>
    </row>
    <row r="253" spans="1:9" x14ac:dyDescent="0.3">
      <c r="A253">
        <f>Sheet1!A253</f>
        <v>1252</v>
      </c>
      <c r="B253" t="str">
        <f>Sheet1!B253</f>
        <v>2025-03-14</v>
      </c>
      <c r="C253" t="str">
        <f>TEXT(Sheet1!B253,"YYYY-MM")</f>
        <v>2025-03</v>
      </c>
      <c r="D253" t="str">
        <f>Sheet1!D253</f>
        <v>Pune</v>
      </c>
      <c r="E253" t="str">
        <f>Sheet1!F253</f>
        <v>Electronics</v>
      </c>
      <c r="F253" t="str">
        <f>Sheet1!H253</f>
        <v>Rahul</v>
      </c>
      <c r="G253">
        <f>Sheet1!K253</f>
        <v>30647.599999999999</v>
      </c>
      <c r="H253">
        <f>Sheet1!N253</f>
        <v>7179.11</v>
      </c>
      <c r="I253">
        <f t="shared" si="6"/>
        <v>1</v>
      </c>
    </row>
    <row r="254" spans="1:9" x14ac:dyDescent="0.3">
      <c r="A254">
        <f>Sheet1!A254</f>
        <v>1253</v>
      </c>
      <c r="B254" t="str">
        <f>Sheet1!B254</f>
        <v>2025-03-14</v>
      </c>
      <c r="C254" t="str">
        <f>TEXT(Sheet1!B254,"YYYY-MM")</f>
        <v>2025-03</v>
      </c>
      <c r="D254" t="str">
        <f>Sheet1!D254</f>
        <v>Hyderabad</v>
      </c>
      <c r="E254" t="str">
        <f>Sheet1!F254</f>
        <v>Furniture</v>
      </c>
      <c r="F254" t="str">
        <f>Sheet1!H254</f>
        <v>Rahul</v>
      </c>
      <c r="G254">
        <f>Sheet1!K254</f>
        <v>197200</v>
      </c>
      <c r="H254">
        <f>Sheet1!N254</f>
        <v>56964.42</v>
      </c>
      <c r="I254">
        <f t="shared" si="6"/>
        <v>1</v>
      </c>
    </row>
    <row r="255" spans="1:9" x14ac:dyDescent="0.3">
      <c r="A255">
        <f>Sheet1!A255</f>
        <v>1254</v>
      </c>
      <c r="B255" t="str">
        <f>Sheet1!B255</f>
        <v>2025-03-14</v>
      </c>
      <c r="C255" t="str">
        <f>TEXT(Sheet1!B255,"YYYY-MM")</f>
        <v>2025-03</v>
      </c>
      <c r="D255" t="str">
        <f>Sheet1!D255</f>
        <v>Pune</v>
      </c>
      <c r="E255" t="str">
        <f>Sheet1!F255</f>
        <v>Furniture</v>
      </c>
      <c r="F255" t="str">
        <f>Sheet1!H255</f>
        <v>Sneha</v>
      </c>
      <c r="G255">
        <f>Sheet1!K255</f>
        <v>3969.5</v>
      </c>
      <c r="H255">
        <f>Sheet1!N255</f>
        <v>631.98</v>
      </c>
      <c r="I255">
        <f t="shared" si="6"/>
        <v>1</v>
      </c>
    </row>
    <row r="256" spans="1:9" x14ac:dyDescent="0.3">
      <c r="A256">
        <f>Sheet1!A256</f>
        <v>1255</v>
      </c>
      <c r="B256" t="str">
        <f>Sheet1!B256</f>
        <v>2025-03-14</v>
      </c>
      <c r="C256" t="str">
        <f>TEXT(Sheet1!B256,"YYYY-MM")</f>
        <v>2025-03</v>
      </c>
      <c r="D256" t="str">
        <f>Sheet1!D256</f>
        <v>Hyderabad</v>
      </c>
      <c r="E256" t="str">
        <f>Sheet1!F256</f>
        <v>Furniture</v>
      </c>
      <c r="F256" t="str">
        <f>Sheet1!H256</f>
        <v>Ajay</v>
      </c>
      <c r="G256">
        <f>Sheet1!K256</f>
        <v>29706.3</v>
      </c>
      <c r="H256">
        <f>Sheet1!N256</f>
        <v>5674.61</v>
      </c>
      <c r="I256">
        <f t="shared" si="6"/>
        <v>1</v>
      </c>
    </row>
    <row r="257" spans="1:9" x14ac:dyDescent="0.3">
      <c r="A257">
        <f>Sheet1!A257</f>
        <v>1256</v>
      </c>
      <c r="B257" t="str">
        <f>Sheet1!B257</f>
        <v>2025-03-14</v>
      </c>
      <c r="C257" t="str">
        <f>TEXT(Sheet1!B257,"YYYY-MM")</f>
        <v>2025-03</v>
      </c>
      <c r="D257" t="str">
        <f>Sheet1!D257</f>
        <v>Delhi</v>
      </c>
      <c r="E257" t="str">
        <f>Sheet1!F257</f>
        <v>Clothing</v>
      </c>
      <c r="F257" t="str">
        <f>Sheet1!H257</f>
        <v>Pooja</v>
      </c>
      <c r="G257">
        <f>Sheet1!K257</f>
        <v>104726.1</v>
      </c>
      <c r="H257">
        <f>Sheet1!N257</f>
        <v>12127.88</v>
      </c>
      <c r="I257">
        <f t="shared" si="6"/>
        <v>1</v>
      </c>
    </row>
    <row r="258" spans="1:9" x14ac:dyDescent="0.3">
      <c r="A258">
        <f>Sheet1!A258</f>
        <v>1257</v>
      </c>
      <c r="B258" t="str">
        <f>Sheet1!B258</f>
        <v>2025-03-15</v>
      </c>
      <c r="C258" t="str">
        <f>TEXT(Sheet1!B258,"YYYY-MM")</f>
        <v>2025-03</v>
      </c>
      <c r="D258" t="str">
        <f>Sheet1!D258</f>
        <v>Pune</v>
      </c>
      <c r="E258" t="str">
        <f>Sheet1!F258</f>
        <v>Electronics</v>
      </c>
      <c r="F258" t="str">
        <f>Sheet1!H258</f>
        <v>Pooja</v>
      </c>
      <c r="G258">
        <f>Sheet1!K258</f>
        <v>124794.45</v>
      </c>
      <c r="H258">
        <f>Sheet1!N258</f>
        <v>23402.1</v>
      </c>
      <c r="I258">
        <f t="shared" ref="I258:I321" si="7">IF(AND(OR(FilterCity="All",D258=FilterCity),OR(FilterCategory="All",E258=FilterCategory),OR(FilterRep="All",F258=FilterRep),C258&gt;=FilterMonthFrom,C258&lt;=FilterMonthTo),1,0)</f>
        <v>1</v>
      </c>
    </row>
    <row r="259" spans="1:9" x14ac:dyDescent="0.3">
      <c r="A259">
        <f>Sheet1!A259</f>
        <v>1258</v>
      </c>
      <c r="B259" t="str">
        <f>Sheet1!B259</f>
        <v>2025-03-15</v>
      </c>
      <c r="C259" t="str">
        <f>TEXT(Sheet1!B259,"YYYY-MM")</f>
        <v>2025-03</v>
      </c>
      <c r="D259" t="str">
        <f>Sheet1!D259</f>
        <v>Hyderabad</v>
      </c>
      <c r="E259" t="str">
        <f>Sheet1!F259</f>
        <v>Electronics</v>
      </c>
      <c r="F259" t="str">
        <f>Sheet1!H259</f>
        <v>Rahul</v>
      </c>
      <c r="G259">
        <f>Sheet1!K259</f>
        <v>178402.4</v>
      </c>
      <c r="H259">
        <f>Sheet1!N259</f>
        <v>26153.81</v>
      </c>
      <c r="I259">
        <f t="shared" si="7"/>
        <v>1</v>
      </c>
    </row>
    <row r="260" spans="1:9" x14ac:dyDescent="0.3">
      <c r="A260">
        <f>Sheet1!A260</f>
        <v>1259</v>
      </c>
      <c r="B260" t="str">
        <f>Sheet1!B260</f>
        <v>2025-03-16</v>
      </c>
      <c r="C260" t="str">
        <f>TEXT(Sheet1!B260,"YYYY-MM")</f>
        <v>2025-03</v>
      </c>
      <c r="D260" t="str">
        <f>Sheet1!D260</f>
        <v>Bangalore</v>
      </c>
      <c r="E260" t="str">
        <f>Sheet1!F260</f>
        <v>Clothing</v>
      </c>
      <c r="F260" t="str">
        <f>Sheet1!H260</f>
        <v>Ajay</v>
      </c>
      <c r="G260">
        <f>Sheet1!K260</f>
        <v>20621.849999999999</v>
      </c>
      <c r="H260">
        <f>Sheet1!N260</f>
        <v>2126.9699999999998</v>
      </c>
      <c r="I260">
        <f t="shared" si="7"/>
        <v>1</v>
      </c>
    </row>
    <row r="261" spans="1:9" x14ac:dyDescent="0.3">
      <c r="A261">
        <f>Sheet1!A261</f>
        <v>1260</v>
      </c>
      <c r="B261" t="str">
        <f>Sheet1!B261</f>
        <v>2025-03-16</v>
      </c>
      <c r="C261" t="str">
        <f>TEXT(Sheet1!B261,"YYYY-MM")</f>
        <v>2025-03</v>
      </c>
      <c r="D261" t="str">
        <f>Sheet1!D261</f>
        <v>Mumbai</v>
      </c>
      <c r="E261" t="str">
        <f>Sheet1!F261</f>
        <v>Clothing</v>
      </c>
      <c r="F261" t="str">
        <f>Sheet1!H261</f>
        <v>Rahul</v>
      </c>
      <c r="G261">
        <f>Sheet1!K261</f>
        <v>62486.25</v>
      </c>
      <c r="H261">
        <f>Sheet1!N261</f>
        <v>10276.1</v>
      </c>
      <c r="I261">
        <f t="shared" si="7"/>
        <v>1</v>
      </c>
    </row>
    <row r="262" spans="1:9" x14ac:dyDescent="0.3">
      <c r="A262">
        <f>Sheet1!A262</f>
        <v>1261</v>
      </c>
      <c r="B262" t="str">
        <f>Sheet1!B262</f>
        <v>2025-03-16</v>
      </c>
      <c r="C262" t="str">
        <f>TEXT(Sheet1!B262,"YYYY-MM")</f>
        <v>2025-03</v>
      </c>
      <c r="D262" t="str">
        <f>Sheet1!D262</f>
        <v>Pune</v>
      </c>
      <c r="E262" t="str">
        <f>Sheet1!F262</f>
        <v>Clothing</v>
      </c>
      <c r="F262" t="str">
        <f>Sheet1!H262</f>
        <v>Pooja</v>
      </c>
      <c r="G262">
        <f>Sheet1!K262</f>
        <v>44465.7</v>
      </c>
      <c r="H262">
        <f>Sheet1!N262</f>
        <v>5026.99</v>
      </c>
      <c r="I262">
        <f t="shared" si="7"/>
        <v>1</v>
      </c>
    </row>
    <row r="263" spans="1:9" x14ac:dyDescent="0.3">
      <c r="A263">
        <f>Sheet1!A263</f>
        <v>1262</v>
      </c>
      <c r="B263" t="str">
        <f>Sheet1!B263</f>
        <v>2025-03-16</v>
      </c>
      <c r="C263" t="str">
        <f>TEXT(Sheet1!B263,"YYYY-MM")</f>
        <v>2025-03</v>
      </c>
      <c r="D263" t="str">
        <f>Sheet1!D263</f>
        <v>Pune</v>
      </c>
      <c r="E263" t="str">
        <f>Sheet1!F263</f>
        <v>Furniture</v>
      </c>
      <c r="F263" t="str">
        <f>Sheet1!H263</f>
        <v>Ajay</v>
      </c>
      <c r="G263">
        <f>Sheet1!K263</f>
        <v>86848.05</v>
      </c>
      <c r="H263">
        <f>Sheet1!N263</f>
        <v>15407.92</v>
      </c>
      <c r="I263">
        <f t="shared" si="7"/>
        <v>1</v>
      </c>
    </row>
    <row r="264" spans="1:9" x14ac:dyDescent="0.3">
      <c r="A264">
        <f>Sheet1!A264</f>
        <v>1263</v>
      </c>
      <c r="B264" t="str">
        <f>Sheet1!B264</f>
        <v>2025-03-17</v>
      </c>
      <c r="C264" t="str">
        <f>TEXT(Sheet1!B264,"YYYY-MM")</f>
        <v>2025-03</v>
      </c>
      <c r="D264" t="str">
        <f>Sheet1!D264</f>
        <v>Pune</v>
      </c>
      <c r="E264" t="str">
        <f>Sheet1!F264</f>
        <v>Clothing</v>
      </c>
      <c r="F264" t="str">
        <f>Sheet1!H264</f>
        <v>Rahul</v>
      </c>
      <c r="G264">
        <f>Sheet1!K264</f>
        <v>58462</v>
      </c>
      <c r="H264">
        <f>Sheet1!N264</f>
        <v>17516.490000000002</v>
      </c>
      <c r="I264">
        <f t="shared" si="7"/>
        <v>1</v>
      </c>
    </row>
    <row r="265" spans="1:9" x14ac:dyDescent="0.3">
      <c r="A265">
        <f>Sheet1!A265</f>
        <v>1264</v>
      </c>
      <c r="B265" t="str">
        <f>Sheet1!B265</f>
        <v>2025-03-17</v>
      </c>
      <c r="C265" t="str">
        <f>TEXT(Sheet1!B265,"YYYY-MM")</f>
        <v>2025-03</v>
      </c>
      <c r="D265" t="str">
        <f>Sheet1!D265</f>
        <v>Hyderabad</v>
      </c>
      <c r="E265" t="str">
        <f>Sheet1!F265</f>
        <v>Furniture</v>
      </c>
      <c r="F265" t="str">
        <f>Sheet1!H265</f>
        <v>Sneha</v>
      </c>
      <c r="G265">
        <f>Sheet1!K265</f>
        <v>150267.20000000001</v>
      </c>
      <c r="H265">
        <f>Sheet1!N265</f>
        <v>29979.98</v>
      </c>
      <c r="I265">
        <f t="shared" si="7"/>
        <v>1</v>
      </c>
    </row>
    <row r="266" spans="1:9" x14ac:dyDescent="0.3">
      <c r="A266">
        <f>Sheet1!A266</f>
        <v>1265</v>
      </c>
      <c r="B266" t="str">
        <f>Sheet1!B266</f>
        <v>2025-03-18</v>
      </c>
      <c r="C266" t="str">
        <f>TEXT(Sheet1!B266,"YYYY-MM")</f>
        <v>2025-03</v>
      </c>
      <c r="D266" t="str">
        <f>Sheet1!D266</f>
        <v>Hyderabad</v>
      </c>
      <c r="E266" t="str">
        <f>Sheet1!F266</f>
        <v>Clothing</v>
      </c>
      <c r="F266" t="str">
        <f>Sheet1!H266</f>
        <v>Ajay</v>
      </c>
      <c r="G266">
        <f>Sheet1!K266</f>
        <v>11688.35</v>
      </c>
      <c r="H266">
        <f>Sheet1!N266</f>
        <v>2278.87</v>
      </c>
      <c r="I266">
        <f t="shared" si="7"/>
        <v>1</v>
      </c>
    </row>
    <row r="267" spans="1:9" x14ac:dyDescent="0.3">
      <c r="A267">
        <f>Sheet1!A267</f>
        <v>1266</v>
      </c>
      <c r="B267" t="str">
        <f>Sheet1!B267</f>
        <v>2025-03-18</v>
      </c>
      <c r="C267" t="str">
        <f>TEXT(Sheet1!B267,"YYYY-MM")</f>
        <v>2025-03</v>
      </c>
      <c r="D267" t="str">
        <f>Sheet1!D267</f>
        <v>Hyderabad</v>
      </c>
      <c r="E267" t="str">
        <f>Sheet1!F267</f>
        <v>Electronics</v>
      </c>
      <c r="F267" t="str">
        <f>Sheet1!H267</f>
        <v>Ajay</v>
      </c>
      <c r="G267">
        <f>Sheet1!K267</f>
        <v>163944</v>
      </c>
      <c r="H267">
        <f>Sheet1!N267</f>
        <v>27010.65</v>
      </c>
      <c r="I267">
        <f t="shared" si="7"/>
        <v>1</v>
      </c>
    </row>
    <row r="268" spans="1:9" x14ac:dyDescent="0.3">
      <c r="A268">
        <f>Sheet1!A268</f>
        <v>1267</v>
      </c>
      <c r="B268" t="str">
        <f>Sheet1!B268</f>
        <v>2025-03-18</v>
      </c>
      <c r="C268" t="str">
        <f>TEXT(Sheet1!B268,"YYYY-MM")</f>
        <v>2025-03</v>
      </c>
      <c r="D268" t="str">
        <f>Sheet1!D268</f>
        <v>Hyderabad</v>
      </c>
      <c r="E268" t="str">
        <f>Sheet1!F268</f>
        <v>Electronics</v>
      </c>
      <c r="F268" t="str">
        <f>Sheet1!H268</f>
        <v>Pooja</v>
      </c>
      <c r="G268">
        <f>Sheet1!K268</f>
        <v>23457</v>
      </c>
      <c r="H268">
        <f>Sheet1!N268</f>
        <v>6522.54</v>
      </c>
      <c r="I268">
        <f t="shared" si="7"/>
        <v>1</v>
      </c>
    </row>
    <row r="269" spans="1:9" x14ac:dyDescent="0.3">
      <c r="A269">
        <f>Sheet1!A269</f>
        <v>1268</v>
      </c>
      <c r="B269" t="str">
        <f>Sheet1!B269</f>
        <v>2025-03-19</v>
      </c>
      <c r="C269" t="str">
        <f>TEXT(Sheet1!B269,"YYYY-MM")</f>
        <v>2025-03</v>
      </c>
      <c r="D269" t="str">
        <f>Sheet1!D269</f>
        <v>Bangalore</v>
      </c>
      <c r="E269" t="str">
        <f>Sheet1!F269</f>
        <v>Electronics</v>
      </c>
      <c r="F269" t="str">
        <f>Sheet1!H269</f>
        <v>Sneha</v>
      </c>
      <c r="G269">
        <f>Sheet1!K269</f>
        <v>175216</v>
      </c>
      <c r="H269">
        <f>Sheet1!N269</f>
        <v>41477.839999999997</v>
      </c>
      <c r="I269">
        <f t="shared" si="7"/>
        <v>1</v>
      </c>
    </row>
    <row r="270" spans="1:9" x14ac:dyDescent="0.3">
      <c r="A270">
        <f>Sheet1!A270</f>
        <v>1269</v>
      </c>
      <c r="B270" t="str">
        <f>Sheet1!B270</f>
        <v>2025-03-19</v>
      </c>
      <c r="C270" t="str">
        <f>TEXT(Sheet1!B270,"YYYY-MM")</f>
        <v>2025-03</v>
      </c>
      <c r="D270" t="str">
        <f>Sheet1!D270</f>
        <v>Bangalore</v>
      </c>
      <c r="E270" t="str">
        <f>Sheet1!F270</f>
        <v>Furniture</v>
      </c>
      <c r="F270" t="str">
        <f>Sheet1!H270</f>
        <v>Pooja</v>
      </c>
      <c r="G270">
        <f>Sheet1!K270</f>
        <v>3858.3</v>
      </c>
      <c r="H270">
        <f>Sheet1!N270</f>
        <v>929.7</v>
      </c>
      <c r="I270">
        <f t="shared" si="7"/>
        <v>1</v>
      </c>
    </row>
    <row r="271" spans="1:9" x14ac:dyDescent="0.3">
      <c r="A271">
        <f>Sheet1!A271</f>
        <v>1270</v>
      </c>
      <c r="B271" t="str">
        <f>Sheet1!B271</f>
        <v>2025-03-19</v>
      </c>
      <c r="C271" t="str">
        <f>TEXT(Sheet1!B271,"YYYY-MM")</f>
        <v>2025-03</v>
      </c>
      <c r="D271" t="str">
        <f>Sheet1!D271</f>
        <v>Bangalore</v>
      </c>
      <c r="E271" t="str">
        <f>Sheet1!F271</f>
        <v>Furniture</v>
      </c>
      <c r="F271" t="str">
        <f>Sheet1!H271</f>
        <v>Sneha</v>
      </c>
      <c r="G271">
        <f>Sheet1!K271</f>
        <v>47988</v>
      </c>
      <c r="H271">
        <f>Sheet1!N271</f>
        <v>5519.75</v>
      </c>
      <c r="I271">
        <f t="shared" si="7"/>
        <v>1</v>
      </c>
    </row>
    <row r="272" spans="1:9" x14ac:dyDescent="0.3">
      <c r="A272">
        <f>Sheet1!A272</f>
        <v>1271</v>
      </c>
      <c r="B272" t="str">
        <f>Sheet1!B272</f>
        <v>2025-03-19</v>
      </c>
      <c r="C272" t="str">
        <f>TEXT(Sheet1!B272,"YYYY-MM")</f>
        <v>2025-03</v>
      </c>
      <c r="D272" t="str">
        <f>Sheet1!D272</f>
        <v>Pune</v>
      </c>
      <c r="E272" t="str">
        <f>Sheet1!F272</f>
        <v>Furniture</v>
      </c>
      <c r="F272" t="str">
        <f>Sheet1!H272</f>
        <v>Sneha</v>
      </c>
      <c r="G272">
        <f>Sheet1!K272</f>
        <v>125494</v>
      </c>
      <c r="H272">
        <f>Sheet1!N272</f>
        <v>18090.59</v>
      </c>
      <c r="I272">
        <f t="shared" si="7"/>
        <v>1</v>
      </c>
    </row>
    <row r="273" spans="1:9" x14ac:dyDescent="0.3">
      <c r="A273">
        <f>Sheet1!A273</f>
        <v>1272</v>
      </c>
      <c r="B273" t="str">
        <f>Sheet1!B273</f>
        <v>2025-03-19</v>
      </c>
      <c r="C273" t="str">
        <f>TEXT(Sheet1!B273,"YYYY-MM")</f>
        <v>2025-03</v>
      </c>
      <c r="D273" t="str">
        <f>Sheet1!D273</f>
        <v>Bangalore</v>
      </c>
      <c r="E273" t="str">
        <f>Sheet1!F273</f>
        <v>Electronics</v>
      </c>
      <c r="F273" t="str">
        <f>Sheet1!H273</f>
        <v>Pooja</v>
      </c>
      <c r="G273">
        <f>Sheet1!K273</f>
        <v>190364</v>
      </c>
      <c r="H273">
        <f>Sheet1!N273</f>
        <v>42319.38</v>
      </c>
      <c r="I273">
        <f t="shared" si="7"/>
        <v>1</v>
      </c>
    </row>
    <row r="274" spans="1:9" x14ac:dyDescent="0.3">
      <c r="A274">
        <f>Sheet1!A274</f>
        <v>1273</v>
      </c>
      <c r="B274" t="str">
        <f>Sheet1!B274</f>
        <v>2025-03-20</v>
      </c>
      <c r="C274" t="str">
        <f>TEXT(Sheet1!B274,"YYYY-MM")</f>
        <v>2025-03</v>
      </c>
      <c r="D274" t="str">
        <f>Sheet1!D274</f>
        <v>Bangalore</v>
      </c>
      <c r="E274" t="str">
        <f>Sheet1!F274</f>
        <v>Furniture</v>
      </c>
      <c r="F274" t="str">
        <f>Sheet1!H274</f>
        <v>Ajay</v>
      </c>
      <c r="G274">
        <f>Sheet1!K274</f>
        <v>6081.75</v>
      </c>
      <c r="H274">
        <f>Sheet1!N274</f>
        <v>1648.6</v>
      </c>
      <c r="I274">
        <f t="shared" si="7"/>
        <v>1</v>
      </c>
    </row>
    <row r="275" spans="1:9" x14ac:dyDescent="0.3">
      <c r="A275">
        <f>Sheet1!A275</f>
        <v>1274</v>
      </c>
      <c r="B275" t="str">
        <f>Sheet1!B275</f>
        <v>2025-03-20</v>
      </c>
      <c r="C275" t="str">
        <f>TEXT(Sheet1!B275,"YYYY-MM")</f>
        <v>2025-03</v>
      </c>
      <c r="D275" t="str">
        <f>Sheet1!D275</f>
        <v>Mumbai</v>
      </c>
      <c r="E275" t="str">
        <f>Sheet1!F275</f>
        <v>Clothing</v>
      </c>
      <c r="F275" t="str">
        <f>Sheet1!H275</f>
        <v>Rahul</v>
      </c>
      <c r="G275">
        <f>Sheet1!K275</f>
        <v>69468.3</v>
      </c>
      <c r="H275">
        <f>Sheet1!N275</f>
        <v>17400.43</v>
      </c>
      <c r="I275">
        <f t="shared" si="7"/>
        <v>1</v>
      </c>
    </row>
    <row r="276" spans="1:9" x14ac:dyDescent="0.3">
      <c r="A276">
        <f>Sheet1!A276</f>
        <v>1275</v>
      </c>
      <c r="B276" t="str">
        <f>Sheet1!B276</f>
        <v>2025-03-20</v>
      </c>
      <c r="C276" t="str">
        <f>TEXT(Sheet1!B276,"YYYY-MM")</f>
        <v>2025-03</v>
      </c>
      <c r="D276" t="str">
        <f>Sheet1!D276</f>
        <v>Bangalore</v>
      </c>
      <c r="E276" t="str">
        <f>Sheet1!F276</f>
        <v>Clothing</v>
      </c>
      <c r="F276" t="str">
        <f>Sheet1!H276</f>
        <v>Sneha</v>
      </c>
      <c r="G276">
        <f>Sheet1!K276</f>
        <v>153796.5</v>
      </c>
      <c r="H276">
        <f>Sheet1!N276</f>
        <v>43090.51</v>
      </c>
      <c r="I276">
        <f t="shared" si="7"/>
        <v>1</v>
      </c>
    </row>
    <row r="277" spans="1:9" x14ac:dyDescent="0.3">
      <c r="A277">
        <f>Sheet1!A277</f>
        <v>1276</v>
      </c>
      <c r="B277" t="str">
        <f>Sheet1!B277</f>
        <v>2025-03-20</v>
      </c>
      <c r="C277" t="str">
        <f>TEXT(Sheet1!B277,"YYYY-MM")</f>
        <v>2025-03</v>
      </c>
      <c r="D277" t="str">
        <f>Sheet1!D277</f>
        <v>Bangalore</v>
      </c>
      <c r="E277" t="str">
        <f>Sheet1!F277</f>
        <v>Clothing</v>
      </c>
      <c r="F277" t="str">
        <f>Sheet1!H277</f>
        <v>Sneha</v>
      </c>
      <c r="G277">
        <f>Sheet1!K277</f>
        <v>66878</v>
      </c>
      <c r="H277">
        <f>Sheet1!N277</f>
        <v>10876.9</v>
      </c>
      <c r="I277">
        <f t="shared" si="7"/>
        <v>1</v>
      </c>
    </row>
    <row r="278" spans="1:9" x14ac:dyDescent="0.3">
      <c r="A278">
        <f>Sheet1!A278</f>
        <v>1277</v>
      </c>
      <c r="B278" t="str">
        <f>Sheet1!B278</f>
        <v>2025-03-20</v>
      </c>
      <c r="C278" t="str">
        <f>TEXT(Sheet1!B278,"YYYY-MM")</f>
        <v>2025-03</v>
      </c>
      <c r="D278" t="str">
        <f>Sheet1!D278</f>
        <v>Mumbai</v>
      </c>
      <c r="E278" t="str">
        <f>Sheet1!F278</f>
        <v>Furniture</v>
      </c>
      <c r="F278" t="str">
        <f>Sheet1!H278</f>
        <v>Rahul</v>
      </c>
      <c r="G278">
        <f>Sheet1!K278</f>
        <v>43955</v>
      </c>
      <c r="H278">
        <f>Sheet1!N278</f>
        <v>8596.09</v>
      </c>
      <c r="I278">
        <f t="shared" si="7"/>
        <v>1</v>
      </c>
    </row>
    <row r="279" spans="1:9" x14ac:dyDescent="0.3">
      <c r="A279">
        <f>Sheet1!A279</f>
        <v>1278</v>
      </c>
      <c r="B279" t="str">
        <f>Sheet1!B279</f>
        <v>2025-03-21</v>
      </c>
      <c r="C279" t="str">
        <f>TEXT(Sheet1!B279,"YYYY-MM")</f>
        <v>2025-03</v>
      </c>
      <c r="D279" t="str">
        <f>Sheet1!D279</f>
        <v>Mumbai</v>
      </c>
      <c r="E279" t="str">
        <f>Sheet1!F279</f>
        <v>Furniture</v>
      </c>
      <c r="F279" t="str">
        <f>Sheet1!H279</f>
        <v>Pooja</v>
      </c>
      <c r="G279">
        <f>Sheet1!K279</f>
        <v>37175.599999999999</v>
      </c>
      <c r="H279">
        <f>Sheet1!N279</f>
        <v>7143.49</v>
      </c>
      <c r="I279">
        <f t="shared" si="7"/>
        <v>1</v>
      </c>
    </row>
    <row r="280" spans="1:9" x14ac:dyDescent="0.3">
      <c r="A280">
        <f>Sheet1!A280</f>
        <v>1279</v>
      </c>
      <c r="B280" t="str">
        <f>Sheet1!B280</f>
        <v>2025-03-21</v>
      </c>
      <c r="C280" t="str">
        <f>TEXT(Sheet1!B280,"YYYY-MM")</f>
        <v>2025-03</v>
      </c>
      <c r="D280" t="str">
        <f>Sheet1!D280</f>
        <v>Delhi</v>
      </c>
      <c r="E280" t="str">
        <f>Sheet1!F280</f>
        <v>Clothing</v>
      </c>
      <c r="F280" t="str">
        <f>Sheet1!H280</f>
        <v>Rahul</v>
      </c>
      <c r="G280">
        <f>Sheet1!K280</f>
        <v>25903</v>
      </c>
      <c r="H280">
        <f>Sheet1!N280</f>
        <v>5479.04</v>
      </c>
      <c r="I280">
        <f t="shared" si="7"/>
        <v>1</v>
      </c>
    </row>
    <row r="281" spans="1:9" x14ac:dyDescent="0.3">
      <c r="A281">
        <f>Sheet1!A281</f>
        <v>1280</v>
      </c>
      <c r="B281" t="str">
        <f>Sheet1!B281</f>
        <v>2025-03-21</v>
      </c>
      <c r="C281" t="str">
        <f>TEXT(Sheet1!B281,"YYYY-MM")</f>
        <v>2025-03</v>
      </c>
      <c r="D281" t="str">
        <f>Sheet1!D281</f>
        <v>Delhi</v>
      </c>
      <c r="E281" t="str">
        <f>Sheet1!F281</f>
        <v>Furniture</v>
      </c>
      <c r="F281" t="str">
        <f>Sheet1!H281</f>
        <v>Pooja</v>
      </c>
      <c r="G281">
        <f>Sheet1!K281</f>
        <v>59390</v>
      </c>
      <c r="H281">
        <f>Sheet1!N281</f>
        <v>10888.39</v>
      </c>
      <c r="I281">
        <f t="shared" si="7"/>
        <v>1</v>
      </c>
    </row>
    <row r="282" spans="1:9" x14ac:dyDescent="0.3">
      <c r="A282">
        <f>Sheet1!A282</f>
        <v>1281</v>
      </c>
      <c r="B282" t="str">
        <f>Sheet1!B282</f>
        <v>2025-03-21</v>
      </c>
      <c r="C282" t="str">
        <f>TEXT(Sheet1!B282,"YYYY-MM")</f>
        <v>2025-03</v>
      </c>
      <c r="D282" t="str">
        <f>Sheet1!D282</f>
        <v>Pune</v>
      </c>
      <c r="E282" t="str">
        <f>Sheet1!F282</f>
        <v>Clothing</v>
      </c>
      <c r="F282" t="str">
        <f>Sheet1!H282</f>
        <v>Pooja</v>
      </c>
      <c r="G282">
        <f>Sheet1!K282</f>
        <v>148650</v>
      </c>
      <c r="H282">
        <f>Sheet1!N282</f>
        <v>37144.31</v>
      </c>
      <c r="I282">
        <f t="shared" si="7"/>
        <v>1</v>
      </c>
    </row>
    <row r="283" spans="1:9" x14ac:dyDescent="0.3">
      <c r="A283">
        <f>Sheet1!A283</f>
        <v>1282</v>
      </c>
      <c r="B283" t="str">
        <f>Sheet1!B283</f>
        <v>2025-03-21</v>
      </c>
      <c r="C283" t="str">
        <f>TEXT(Sheet1!B283,"YYYY-MM")</f>
        <v>2025-03</v>
      </c>
      <c r="D283" t="str">
        <f>Sheet1!D283</f>
        <v>Hyderabad</v>
      </c>
      <c r="E283" t="str">
        <f>Sheet1!F283</f>
        <v>Electronics</v>
      </c>
      <c r="F283" t="str">
        <f>Sheet1!H283</f>
        <v>Rahul</v>
      </c>
      <c r="G283">
        <f>Sheet1!K283</f>
        <v>157644.4</v>
      </c>
      <c r="H283">
        <f>Sheet1!N283</f>
        <v>41638.47</v>
      </c>
      <c r="I283">
        <f t="shared" si="7"/>
        <v>1</v>
      </c>
    </row>
    <row r="284" spans="1:9" x14ac:dyDescent="0.3">
      <c r="A284">
        <f>Sheet1!A284</f>
        <v>1283</v>
      </c>
      <c r="B284" t="str">
        <f>Sheet1!B284</f>
        <v>2025-03-22</v>
      </c>
      <c r="C284" t="str">
        <f>TEXT(Sheet1!B284,"YYYY-MM")</f>
        <v>2025-03</v>
      </c>
      <c r="D284" t="str">
        <f>Sheet1!D284</f>
        <v>Hyderabad</v>
      </c>
      <c r="E284" t="str">
        <f>Sheet1!F284</f>
        <v>Electronics</v>
      </c>
      <c r="F284" t="str">
        <f>Sheet1!H284</f>
        <v>Ajay</v>
      </c>
      <c r="G284">
        <f>Sheet1!K284</f>
        <v>55764</v>
      </c>
      <c r="H284">
        <f>Sheet1!N284</f>
        <v>9903.8799999999992</v>
      </c>
      <c r="I284">
        <f t="shared" si="7"/>
        <v>1</v>
      </c>
    </row>
    <row r="285" spans="1:9" x14ac:dyDescent="0.3">
      <c r="A285">
        <f>Sheet1!A285</f>
        <v>1284</v>
      </c>
      <c r="B285" t="str">
        <f>Sheet1!B285</f>
        <v>2025-03-22</v>
      </c>
      <c r="C285" t="str">
        <f>TEXT(Sheet1!B285,"YYYY-MM")</f>
        <v>2025-03</v>
      </c>
      <c r="D285" t="str">
        <f>Sheet1!D285</f>
        <v>Pune</v>
      </c>
      <c r="E285" t="str">
        <f>Sheet1!F285</f>
        <v>Electronics</v>
      </c>
      <c r="F285" t="str">
        <f>Sheet1!H285</f>
        <v>Sneha</v>
      </c>
      <c r="G285">
        <f>Sheet1!K285</f>
        <v>56164</v>
      </c>
      <c r="H285">
        <f>Sheet1!N285</f>
        <v>10291.799999999999</v>
      </c>
      <c r="I285">
        <f t="shared" si="7"/>
        <v>1</v>
      </c>
    </row>
    <row r="286" spans="1:9" x14ac:dyDescent="0.3">
      <c r="A286">
        <f>Sheet1!A286</f>
        <v>1285</v>
      </c>
      <c r="B286" t="str">
        <f>Sheet1!B286</f>
        <v>2025-03-22</v>
      </c>
      <c r="C286" t="str">
        <f>TEXT(Sheet1!B286,"YYYY-MM")</f>
        <v>2025-03</v>
      </c>
      <c r="D286" t="str">
        <f>Sheet1!D286</f>
        <v>Bangalore</v>
      </c>
      <c r="E286" t="str">
        <f>Sheet1!F286</f>
        <v>Clothing</v>
      </c>
      <c r="F286" t="str">
        <f>Sheet1!H286</f>
        <v>Pooja</v>
      </c>
      <c r="G286">
        <f>Sheet1!K286</f>
        <v>27501.3</v>
      </c>
      <c r="H286">
        <f>Sheet1!N286</f>
        <v>3167.79</v>
      </c>
      <c r="I286">
        <f t="shared" si="7"/>
        <v>1</v>
      </c>
    </row>
    <row r="287" spans="1:9" x14ac:dyDescent="0.3">
      <c r="A287">
        <f>Sheet1!A287</f>
        <v>1286</v>
      </c>
      <c r="B287" t="str">
        <f>Sheet1!B287</f>
        <v>2025-03-22</v>
      </c>
      <c r="C287" t="str">
        <f>TEXT(Sheet1!B287,"YYYY-MM")</f>
        <v>2025-03</v>
      </c>
      <c r="D287" t="str">
        <f>Sheet1!D287</f>
        <v>Bangalore</v>
      </c>
      <c r="E287" t="str">
        <f>Sheet1!F287</f>
        <v>Furniture</v>
      </c>
      <c r="F287" t="str">
        <f>Sheet1!H287</f>
        <v>Ajay</v>
      </c>
      <c r="G287">
        <f>Sheet1!K287</f>
        <v>169728</v>
      </c>
      <c r="H287">
        <f>Sheet1!N287</f>
        <v>45370.02</v>
      </c>
      <c r="I287">
        <f t="shared" si="7"/>
        <v>1</v>
      </c>
    </row>
    <row r="288" spans="1:9" x14ac:dyDescent="0.3">
      <c r="A288">
        <f>Sheet1!A288</f>
        <v>1287</v>
      </c>
      <c r="B288" t="str">
        <f>Sheet1!B288</f>
        <v>2025-03-22</v>
      </c>
      <c r="C288" t="str">
        <f>TEXT(Sheet1!B288,"YYYY-MM")</f>
        <v>2025-03</v>
      </c>
      <c r="D288" t="str">
        <f>Sheet1!D288</f>
        <v>Bangalore</v>
      </c>
      <c r="E288" t="str">
        <f>Sheet1!F288</f>
        <v>Furniture</v>
      </c>
      <c r="F288" t="str">
        <f>Sheet1!H288</f>
        <v>Rahul</v>
      </c>
      <c r="G288">
        <f>Sheet1!K288</f>
        <v>40588.199999999997</v>
      </c>
      <c r="H288">
        <f>Sheet1!N288</f>
        <v>8537.23</v>
      </c>
      <c r="I288">
        <f t="shared" si="7"/>
        <v>1</v>
      </c>
    </row>
    <row r="289" spans="1:9" x14ac:dyDescent="0.3">
      <c r="A289">
        <f>Sheet1!A289</f>
        <v>1288</v>
      </c>
      <c r="B289" t="str">
        <f>Sheet1!B289</f>
        <v>2025-03-23</v>
      </c>
      <c r="C289" t="str">
        <f>TEXT(Sheet1!B289,"YYYY-MM")</f>
        <v>2025-03</v>
      </c>
      <c r="D289" t="str">
        <f>Sheet1!D289</f>
        <v>Pune</v>
      </c>
      <c r="E289" t="str">
        <f>Sheet1!F289</f>
        <v>Clothing</v>
      </c>
      <c r="F289" t="str">
        <f>Sheet1!H289</f>
        <v>Ajay</v>
      </c>
      <c r="G289">
        <f>Sheet1!K289</f>
        <v>88677</v>
      </c>
      <c r="H289">
        <f>Sheet1!N289</f>
        <v>12104.34</v>
      </c>
      <c r="I289">
        <f t="shared" si="7"/>
        <v>1</v>
      </c>
    </row>
    <row r="290" spans="1:9" x14ac:dyDescent="0.3">
      <c r="A290">
        <f>Sheet1!A290</f>
        <v>1289</v>
      </c>
      <c r="B290" t="str">
        <f>Sheet1!B290</f>
        <v>2025-03-23</v>
      </c>
      <c r="C290" t="str">
        <f>TEXT(Sheet1!B290,"YYYY-MM")</f>
        <v>2025-03</v>
      </c>
      <c r="D290" t="str">
        <f>Sheet1!D290</f>
        <v>Bangalore</v>
      </c>
      <c r="E290" t="str">
        <f>Sheet1!F290</f>
        <v>Electronics</v>
      </c>
      <c r="F290" t="str">
        <f>Sheet1!H290</f>
        <v>Ajay</v>
      </c>
      <c r="G290">
        <f>Sheet1!K290</f>
        <v>3534.3</v>
      </c>
      <c r="H290">
        <f>Sheet1!N290</f>
        <v>598.09</v>
      </c>
      <c r="I290">
        <f t="shared" si="7"/>
        <v>1</v>
      </c>
    </row>
    <row r="291" spans="1:9" x14ac:dyDescent="0.3">
      <c r="A291">
        <f>Sheet1!A291</f>
        <v>1290</v>
      </c>
      <c r="B291" t="str">
        <f>Sheet1!B291</f>
        <v>2025-03-23</v>
      </c>
      <c r="C291" t="str">
        <f>TEXT(Sheet1!B291,"YYYY-MM")</f>
        <v>2025-03</v>
      </c>
      <c r="D291" t="str">
        <f>Sheet1!D291</f>
        <v>Delhi</v>
      </c>
      <c r="E291" t="str">
        <f>Sheet1!F291</f>
        <v>Clothing</v>
      </c>
      <c r="F291" t="str">
        <f>Sheet1!H291</f>
        <v>Sneha</v>
      </c>
      <c r="G291">
        <f>Sheet1!K291</f>
        <v>53861.2</v>
      </c>
      <c r="H291">
        <f>Sheet1!N291</f>
        <v>8039.21</v>
      </c>
      <c r="I291">
        <f t="shared" si="7"/>
        <v>1</v>
      </c>
    </row>
    <row r="292" spans="1:9" x14ac:dyDescent="0.3">
      <c r="A292">
        <f>Sheet1!A292</f>
        <v>1291</v>
      </c>
      <c r="B292" t="str">
        <f>Sheet1!B292</f>
        <v>2025-03-23</v>
      </c>
      <c r="C292" t="str">
        <f>TEXT(Sheet1!B292,"YYYY-MM")</f>
        <v>2025-03</v>
      </c>
      <c r="D292" t="str">
        <f>Sheet1!D292</f>
        <v>Bangalore</v>
      </c>
      <c r="E292" t="str">
        <f>Sheet1!F292</f>
        <v>Clothing</v>
      </c>
      <c r="F292" t="str">
        <f>Sheet1!H292</f>
        <v>Ajay</v>
      </c>
      <c r="G292">
        <f>Sheet1!K292</f>
        <v>155975.75</v>
      </c>
      <c r="H292">
        <f>Sheet1!N292</f>
        <v>32017.59</v>
      </c>
      <c r="I292">
        <f t="shared" si="7"/>
        <v>1</v>
      </c>
    </row>
    <row r="293" spans="1:9" x14ac:dyDescent="0.3">
      <c r="A293">
        <f>Sheet1!A293</f>
        <v>1292</v>
      </c>
      <c r="B293" t="str">
        <f>Sheet1!B293</f>
        <v>2025-03-23</v>
      </c>
      <c r="C293" t="str">
        <f>TEXT(Sheet1!B293,"YYYY-MM")</f>
        <v>2025-03</v>
      </c>
      <c r="D293" t="str">
        <f>Sheet1!D293</f>
        <v>Hyderabad</v>
      </c>
      <c r="E293" t="str">
        <f>Sheet1!F293</f>
        <v>Electronics</v>
      </c>
      <c r="F293" t="str">
        <f>Sheet1!H293</f>
        <v>Ajay</v>
      </c>
      <c r="G293">
        <f>Sheet1!K293</f>
        <v>212358.25</v>
      </c>
      <c r="H293">
        <f>Sheet1!N293</f>
        <v>46858.09</v>
      </c>
      <c r="I293">
        <f t="shared" si="7"/>
        <v>1</v>
      </c>
    </row>
    <row r="294" spans="1:9" x14ac:dyDescent="0.3">
      <c r="A294">
        <f>Sheet1!A294</f>
        <v>1293</v>
      </c>
      <c r="B294" t="str">
        <f>Sheet1!B294</f>
        <v>2025-03-24</v>
      </c>
      <c r="C294" t="str">
        <f>TEXT(Sheet1!B294,"YYYY-MM")</f>
        <v>2025-03</v>
      </c>
      <c r="D294" t="str">
        <f>Sheet1!D294</f>
        <v>Hyderabad</v>
      </c>
      <c r="E294" t="str">
        <f>Sheet1!F294</f>
        <v>Electronics</v>
      </c>
      <c r="F294" t="str">
        <f>Sheet1!H294</f>
        <v>Pooja</v>
      </c>
      <c r="G294">
        <f>Sheet1!K294</f>
        <v>35574.199999999997</v>
      </c>
      <c r="H294">
        <f>Sheet1!N294</f>
        <v>10311.14</v>
      </c>
      <c r="I294">
        <f t="shared" si="7"/>
        <v>1</v>
      </c>
    </row>
    <row r="295" spans="1:9" x14ac:dyDescent="0.3">
      <c r="A295">
        <f>Sheet1!A295</f>
        <v>1294</v>
      </c>
      <c r="B295" t="str">
        <f>Sheet1!B295</f>
        <v>2025-03-24</v>
      </c>
      <c r="C295" t="str">
        <f>TEXT(Sheet1!B295,"YYYY-MM")</f>
        <v>2025-03</v>
      </c>
      <c r="D295" t="str">
        <f>Sheet1!D295</f>
        <v>Delhi</v>
      </c>
      <c r="E295" t="str">
        <f>Sheet1!F295</f>
        <v>Clothing</v>
      </c>
      <c r="F295" t="str">
        <f>Sheet1!H295</f>
        <v>Ajay</v>
      </c>
      <c r="G295">
        <f>Sheet1!K295</f>
        <v>82538.399999999994</v>
      </c>
      <c r="H295">
        <f>Sheet1!N295</f>
        <v>8990.57</v>
      </c>
      <c r="I295">
        <f t="shared" si="7"/>
        <v>1</v>
      </c>
    </row>
    <row r="296" spans="1:9" x14ac:dyDescent="0.3">
      <c r="A296">
        <f>Sheet1!A296</f>
        <v>1295</v>
      </c>
      <c r="B296" t="str">
        <f>Sheet1!B296</f>
        <v>2025-03-24</v>
      </c>
      <c r="C296" t="str">
        <f>TEXT(Sheet1!B296,"YYYY-MM")</f>
        <v>2025-03</v>
      </c>
      <c r="D296" t="str">
        <f>Sheet1!D296</f>
        <v>Pune</v>
      </c>
      <c r="E296" t="str">
        <f>Sheet1!F296</f>
        <v>Clothing</v>
      </c>
      <c r="F296" t="str">
        <f>Sheet1!H296</f>
        <v>Rahul</v>
      </c>
      <c r="G296">
        <f>Sheet1!K296</f>
        <v>61625</v>
      </c>
      <c r="H296">
        <f>Sheet1!N296</f>
        <v>7720.29</v>
      </c>
      <c r="I296">
        <f t="shared" si="7"/>
        <v>1</v>
      </c>
    </row>
    <row r="297" spans="1:9" x14ac:dyDescent="0.3">
      <c r="A297">
        <f>Sheet1!A297</f>
        <v>1296</v>
      </c>
      <c r="B297" t="str">
        <f>Sheet1!B297</f>
        <v>2025-03-24</v>
      </c>
      <c r="C297" t="str">
        <f>TEXT(Sheet1!B297,"YYYY-MM")</f>
        <v>2025-03</v>
      </c>
      <c r="D297" t="str">
        <f>Sheet1!D297</f>
        <v>Delhi</v>
      </c>
      <c r="E297" t="str">
        <f>Sheet1!F297</f>
        <v>Clothing</v>
      </c>
      <c r="F297" t="str">
        <f>Sheet1!H297</f>
        <v>Pooja</v>
      </c>
      <c r="G297">
        <f>Sheet1!K297</f>
        <v>58085.599999999999</v>
      </c>
      <c r="H297">
        <f>Sheet1!N297</f>
        <v>12757.4</v>
      </c>
      <c r="I297">
        <f t="shared" si="7"/>
        <v>1</v>
      </c>
    </row>
    <row r="298" spans="1:9" x14ac:dyDescent="0.3">
      <c r="A298">
        <f>Sheet1!A298</f>
        <v>1297</v>
      </c>
      <c r="B298" t="str">
        <f>Sheet1!B298</f>
        <v>2025-03-24</v>
      </c>
      <c r="C298" t="str">
        <f>TEXT(Sheet1!B298,"YYYY-MM")</f>
        <v>2025-03</v>
      </c>
      <c r="D298" t="str">
        <f>Sheet1!D298</f>
        <v>Pune</v>
      </c>
      <c r="E298" t="str">
        <f>Sheet1!F298</f>
        <v>Clothing</v>
      </c>
      <c r="F298" t="str">
        <f>Sheet1!H298</f>
        <v>Sneha</v>
      </c>
      <c r="G298">
        <f>Sheet1!K298</f>
        <v>41535</v>
      </c>
      <c r="H298">
        <f>Sheet1!N298</f>
        <v>9571.76</v>
      </c>
      <c r="I298">
        <f t="shared" si="7"/>
        <v>1</v>
      </c>
    </row>
    <row r="299" spans="1:9" x14ac:dyDescent="0.3">
      <c r="A299">
        <f>Sheet1!A299</f>
        <v>1298</v>
      </c>
      <c r="B299" t="str">
        <f>Sheet1!B299</f>
        <v>2025-03-25</v>
      </c>
      <c r="C299" t="str">
        <f>TEXT(Sheet1!B299,"YYYY-MM")</f>
        <v>2025-03</v>
      </c>
      <c r="D299" t="str">
        <f>Sheet1!D299</f>
        <v>Hyderabad</v>
      </c>
      <c r="E299" t="str">
        <f>Sheet1!F299</f>
        <v>Electronics</v>
      </c>
      <c r="F299" t="str">
        <f>Sheet1!H299</f>
        <v>Pooja</v>
      </c>
      <c r="G299">
        <f>Sheet1!K299</f>
        <v>51163.199999999997</v>
      </c>
      <c r="H299">
        <f>Sheet1!N299</f>
        <v>5295.96</v>
      </c>
      <c r="I299">
        <f t="shared" si="7"/>
        <v>1</v>
      </c>
    </row>
    <row r="300" spans="1:9" x14ac:dyDescent="0.3">
      <c r="A300">
        <f>Sheet1!A300</f>
        <v>1299</v>
      </c>
      <c r="B300" t="str">
        <f>Sheet1!B300</f>
        <v>2025-03-25</v>
      </c>
      <c r="C300" t="str">
        <f>TEXT(Sheet1!B300,"YYYY-MM")</f>
        <v>2025-03</v>
      </c>
      <c r="D300" t="str">
        <f>Sheet1!D300</f>
        <v>Hyderabad</v>
      </c>
      <c r="E300" t="str">
        <f>Sheet1!F300</f>
        <v>Furniture</v>
      </c>
      <c r="F300" t="str">
        <f>Sheet1!H300</f>
        <v>Pooja</v>
      </c>
      <c r="G300">
        <f>Sheet1!K300</f>
        <v>39176.1</v>
      </c>
      <c r="H300">
        <f>Sheet1!N300</f>
        <v>10925.41</v>
      </c>
      <c r="I300">
        <f t="shared" si="7"/>
        <v>1</v>
      </c>
    </row>
    <row r="301" spans="1:9" x14ac:dyDescent="0.3">
      <c r="A301">
        <f>Sheet1!A301</f>
        <v>1300</v>
      </c>
      <c r="B301" t="str">
        <f>Sheet1!B301</f>
        <v>2025-03-26</v>
      </c>
      <c r="C301" t="str">
        <f>TEXT(Sheet1!B301,"YYYY-MM")</f>
        <v>2025-03</v>
      </c>
      <c r="D301" t="str">
        <f>Sheet1!D301</f>
        <v>Delhi</v>
      </c>
      <c r="E301" t="str">
        <f>Sheet1!F301</f>
        <v>Electronics</v>
      </c>
      <c r="F301" t="str">
        <f>Sheet1!H301</f>
        <v>Sneha</v>
      </c>
      <c r="G301">
        <f>Sheet1!K301</f>
        <v>166799.75</v>
      </c>
      <c r="H301">
        <f>Sheet1!N301</f>
        <v>18681.97</v>
      </c>
      <c r="I301">
        <f t="shared" si="7"/>
        <v>1</v>
      </c>
    </row>
    <row r="302" spans="1:9" x14ac:dyDescent="0.3">
      <c r="A302">
        <f>Sheet1!A302</f>
        <v>1301</v>
      </c>
      <c r="B302" t="str">
        <f>Sheet1!B302</f>
        <v>2025-03-26</v>
      </c>
      <c r="C302" t="str">
        <f>TEXT(Sheet1!B302,"YYYY-MM")</f>
        <v>2025-03</v>
      </c>
      <c r="D302" t="str">
        <f>Sheet1!D302</f>
        <v>Hyderabad</v>
      </c>
      <c r="E302" t="str">
        <f>Sheet1!F302</f>
        <v>Furniture</v>
      </c>
      <c r="F302" t="str">
        <f>Sheet1!H302</f>
        <v>Pooja</v>
      </c>
      <c r="G302">
        <f>Sheet1!K302</f>
        <v>16789.2</v>
      </c>
      <c r="H302">
        <f>Sheet1!N302</f>
        <v>2937.4</v>
      </c>
      <c r="I302">
        <f t="shared" si="7"/>
        <v>1</v>
      </c>
    </row>
    <row r="303" spans="1:9" x14ac:dyDescent="0.3">
      <c r="A303">
        <f>Sheet1!A303</f>
        <v>1302</v>
      </c>
      <c r="B303" t="str">
        <f>Sheet1!B303</f>
        <v>2025-03-26</v>
      </c>
      <c r="C303" t="str">
        <f>TEXT(Sheet1!B303,"YYYY-MM")</f>
        <v>2025-03</v>
      </c>
      <c r="D303" t="str">
        <f>Sheet1!D303</f>
        <v>Delhi</v>
      </c>
      <c r="E303" t="str">
        <f>Sheet1!F303</f>
        <v>Furniture</v>
      </c>
      <c r="F303" t="str">
        <f>Sheet1!H303</f>
        <v>Pooja</v>
      </c>
      <c r="G303">
        <f>Sheet1!K303</f>
        <v>80598</v>
      </c>
      <c r="H303">
        <f>Sheet1!N303</f>
        <v>22102.53</v>
      </c>
      <c r="I303">
        <f t="shared" si="7"/>
        <v>1</v>
      </c>
    </row>
    <row r="304" spans="1:9" x14ac:dyDescent="0.3">
      <c r="A304">
        <f>Sheet1!A304</f>
        <v>1303</v>
      </c>
      <c r="B304" t="str">
        <f>Sheet1!B304</f>
        <v>2025-03-27</v>
      </c>
      <c r="C304" t="str">
        <f>TEXT(Sheet1!B304,"YYYY-MM")</f>
        <v>2025-03</v>
      </c>
      <c r="D304" t="str">
        <f>Sheet1!D304</f>
        <v>Mumbai</v>
      </c>
      <c r="E304" t="str">
        <f>Sheet1!F304</f>
        <v>Furniture</v>
      </c>
      <c r="F304" t="str">
        <f>Sheet1!H304</f>
        <v>Sneha</v>
      </c>
      <c r="G304">
        <f>Sheet1!K304</f>
        <v>91098.75</v>
      </c>
      <c r="H304">
        <f>Sheet1!N304</f>
        <v>16996.810000000001</v>
      </c>
      <c r="I304">
        <f t="shared" si="7"/>
        <v>1</v>
      </c>
    </row>
    <row r="305" spans="1:9" x14ac:dyDescent="0.3">
      <c r="A305">
        <f>Sheet1!A305</f>
        <v>1304</v>
      </c>
      <c r="B305" t="str">
        <f>Sheet1!B305</f>
        <v>2025-03-27</v>
      </c>
      <c r="C305" t="str">
        <f>TEXT(Sheet1!B305,"YYYY-MM")</f>
        <v>2025-03</v>
      </c>
      <c r="D305" t="str">
        <f>Sheet1!D305</f>
        <v>Bangalore</v>
      </c>
      <c r="E305" t="str">
        <f>Sheet1!F305</f>
        <v>Furniture</v>
      </c>
      <c r="F305" t="str">
        <f>Sheet1!H305</f>
        <v>Ajay</v>
      </c>
      <c r="G305">
        <f>Sheet1!K305</f>
        <v>112879</v>
      </c>
      <c r="H305">
        <f>Sheet1!N305</f>
        <v>12304.73</v>
      </c>
      <c r="I305">
        <f t="shared" si="7"/>
        <v>1</v>
      </c>
    </row>
    <row r="306" spans="1:9" x14ac:dyDescent="0.3">
      <c r="A306">
        <f>Sheet1!A306</f>
        <v>1305</v>
      </c>
      <c r="B306" t="str">
        <f>Sheet1!B306</f>
        <v>2025-03-27</v>
      </c>
      <c r="C306" t="str">
        <f>TEXT(Sheet1!B306,"YYYY-MM")</f>
        <v>2025-03</v>
      </c>
      <c r="D306" t="str">
        <f>Sheet1!D306</f>
        <v>Mumbai</v>
      </c>
      <c r="E306" t="str">
        <f>Sheet1!F306</f>
        <v>Clothing</v>
      </c>
      <c r="F306" t="str">
        <f>Sheet1!H306</f>
        <v>Ajay</v>
      </c>
      <c r="G306">
        <f>Sheet1!K306</f>
        <v>6739.65</v>
      </c>
      <c r="H306">
        <f>Sheet1!N306</f>
        <v>873.96</v>
      </c>
      <c r="I306">
        <f t="shared" si="7"/>
        <v>1</v>
      </c>
    </row>
    <row r="307" spans="1:9" x14ac:dyDescent="0.3">
      <c r="A307">
        <f>Sheet1!A307</f>
        <v>1306</v>
      </c>
      <c r="B307" t="str">
        <f>Sheet1!B307</f>
        <v>2025-03-27</v>
      </c>
      <c r="C307" t="str">
        <f>TEXT(Sheet1!B307,"YYYY-MM")</f>
        <v>2025-03</v>
      </c>
      <c r="D307" t="str">
        <f>Sheet1!D307</f>
        <v>Delhi</v>
      </c>
      <c r="E307" t="str">
        <f>Sheet1!F307</f>
        <v>Clothing</v>
      </c>
      <c r="F307" t="str">
        <f>Sheet1!H307</f>
        <v>Pooja</v>
      </c>
      <c r="G307">
        <f>Sheet1!K307</f>
        <v>11439.9</v>
      </c>
      <c r="H307">
        <f>Sheet1!N307</f>
        <v>1454.39</v>
      </c>
      <c r="I307">
        <f t="shared" si="7"/>
        <v>1</v>
      </c>
    </row>
    <row r="308" spans="1:9" x14ac:dyDescent="0.3">
      <c r="A308">
        <f>Sheet1!A308</f>
        <v>1307</v>
      </c>
      <c r="B308" t="str">
        <f>Sheet1!B308</f>
        <v>2025-03-27</v>
      </c>
      <c r="C308" t="str">
        <f>TEXT(Sheet1!B308,"YYYY-MM")</f>
        <v>2025-03</v>
      </c>
      <c r="D308" t="str">
        <f>Sheet1!D308</f>
        <v>Hyderabad</v>
      </c>
      <c r="E308" t="str">
        <f>Sheet1!F308</f>
        <v>Furniture</v>
      </c>
      <c r="F308" t="str">
        <f>Sheet1!H308</f>
        <v>Ajay</v>
      </c>
      <c r="G308">
        <f>Sheet1!K308</f>
        <v>66585.600000000006</v>
      </c>
      <c r="H308">
        <f>Sheet1!N308</f>
        <v>15200.22</v>
      </c>
      <c r="I308">
        <f t="shared" si="7"/>
        <v>1</v>
      </c>
    </row>
    <row r="309" spans="1:9" x14ac:dyDescent="0.3">
      <c r="A309">
        <f>Sheet1!A309</f>
        <v>1308</v>
      </c>
      <c r="B309" t="str">
        <f>Sheet1!B309</f>
        <v>2025-03-28</v>
      </c>
      <c r="C309" t="str">
        <f>TEXT(Sheet1!B309,"YYYY-MM")</f>
        <v>2025-03</v>
      </c>
      <c r="D309" t="str">
        <f>Sheet1!D309</f>
        <v>Bangalore</v>
      </c>
      <c r="E309" t="str">
        <f>Sheet1!F309</f>
        <v>Clothing</v>
      </c>
      <c r="F309" t="str">
        <f>Sheet1!H309</f>
        <v>Pooja</v>
      </c>
      <c r="G309">
        <f>Sheet1!K309</f>
        <v>10661.4</v>
      </c>
      <c r="H309">
        <f>Sheet1!N309</f>
        <v>2230.27</v>
      </c>
      <c r="I309">
        <f t="shared" si="7"/>
        <v>1</v>
      </c>
    </row>
    <row r="310" spans="1:9" x14ac:dyDescent="0.3">
      <c r="A310">
        <f>Sheet1!A310</f>
        <v>1309</v>
      </c>
      <c r="B310" t="str">
        <f>Sheet1!B310</f>
        <v>2025-03-28</v>
      </c>
      <c r="C310" t="str">
        <f>TEXT(Sheet1!B310,"YYYY-MM")</f>
        <v>2025-03</v>
      </c>
      <c r="D310" t="str">
        <f>Sheet1!D310</f>
        <v>Bangalore</v>
      </c>
      <c r="E310" t="str">
        <f>Sheet1!F310</f>
        <v>Clothing</v>
      </c>
      <c r="F310" t="str">
        <f>Sheet1!H310</f>
        <v>Rahul</v>
      </c>
      <c r="G310">
        <f>Sheet1!K310</f>
        <v>202901</v>
      </c>
      <c r="H310">
        <f>Sheet1!N310</f>
        <v>60374.47</v>
      </c>
      <c r="I310">
        <f t="shared" si="7"/>
        <v>1</v>
      </c>
    </row>
    <row r="311" spans="1:9" x14ac:dyDescent="0.3">
      <c r="A311">
        <f>Sheet1!A311</f>
        <v>1310</v>
      </c>
      <c r="B311" t="str">
        <f>Sheet1!B311</f>
        <v>2025-03-29</v>
      </c>
      <c r="C311" t="str">
        <f>TEXT(Sheet1!B311,"YYYY-MM")</f>
        <v>2025-03</v>
      </c>
      <c r="D311" t="str">
        <f>Sheet1!D311</f>
        <v>Pune</v>
      </c>
      <c r="E311" t="str">
        <f>Sheet1!F311</f>
        <v>Furniture</v>
      </c>
      <c r="F311" t="str">
        <f>Sheet1!H311</f>
        <v>Ajay</v>
      </c>
      <c r="G311">
        <f>Sheet1!K311</f>
        <v>187756</v>
      </c>
      <c r="H311">
        <f>Sheet1!N311</f>
        <v>35353.17</v>
      </c>
      <c r="I311">
        <f t="shared" si="7"/>
        <v>1</v>
      </c>
    </row>
    <row r="312" spans="1:9" x14ac:dyDescent="0.3">
      <c r="A312">
        <f>Sheet1!A312</f>
        <v>1311</v>
      </c>
      <c r="B312" t="str">
        <f>Sheet1!B312</f>
        <v>2025-03-29</v>
      </c>
      <c r="C312" t="str">
        <f>TEXT(Sheet1!B312,"YYYY-MM")</f>
        <v>2025-03</v>
      </c>
      <c r="D312" t="str">
        <f>Sheet1!D312</f>
        <v>Bangalore</v>
      </c>
      <c r="E312" t="str">
        <f>Sheet1!F312</f>
        <v>Clothing</v>
      </c>
      <c r="F312" t="str">
        <f>Sheet1!H312</f>
        <v>Rahul</v>
      </c>
      <c r="G312">
        <f>Sheet1!K312</f>
        <v>44946</v>
      </c>
      <c r="H312">
        <f>Sheet1!N312</f>
        <v>11338.55</v>
      </c>
      <c r="I312">
        <f t="shared" si="7"/>
        <v>1</v>
      </c>
    </row>
    <row r="313" spans="1:9" x14ac:dyDescent="0.3">
      <c r="A313">
        <f>Sheet1!A313</f>
        <v>1312</v>
      </c>
      <c r="B313" t="str">
        <f>Sheet1!B313</f>
        <v>2025-03-29</v>
      </c>
      <c r="C313" t="str">
        <f>TEXT(Sheet1!B313,"YYYY-MM")</f>
        <v>2025-03</v>
      </c>
      <c r="D313" t="str">
        <f>Sheet1!D313</f>
        <v>Mumbai</v>
      </c>
      <c r="E313" t="str">
        <f>Sheet1!F313</f>
        <v>Furniture</v>
      </c>
      <c r="F313" t="str">
        <f>Sheet1!H313</f>
        <v>Sneha</v>
      </c>
      <c r="G313">
        <f>Sheet1!K313</f>
        <v>31625.1</v>
      </c>
      <c r="H313">
        <f>Sheet1!N313</f>
        <v>5084.01</v>
      </c>
      <c r="I313">
        <f t="shared" si="7"/>
        <v>1</v>
      </c>
    </row>
    <row r="314" spans="1:9" x14ac:dyDescent="0.3">
      <c r="A314">
        <f>Sheet1!A314</f>
        <v>1313</v>
      </c>
      <c r="B314" t="str">
        <f>Sheet1!B314</f>
        <v>2025-03-29</v>
      </c>
      <c r="C314" t="str">
        <f>TEXT(Sheet1!B314,"YYYY-MM")</f>
        <v>2025-03</v>
      </c>
      <c r="D314" t="str">
        <f>Sheet1!D314</f>
        <v>Pune</v>
      </c>
      <c r="E314" t="str">
        <f>Sheet1!F314</f>
        <v>Clothing</v>
      </c>
      <c r="F314" t="str">
        <f>Sheet1!H314</f>
        <v>Rahul</v>
      </c>
      <c r="G314">
        <f>Sheet1!K314</f>
        <v>71911.199999999997</v>
      </c>
      <c r="H314">
        <f>Sheet1!N314</f>
        <v>18366.89</v>
      </c>
      <c r="I314">
        <f t="shared" si="7"/>
        <v>1</v>
      </c>
    </row>
    <row r="315" spans="1:9" x14ac:dyDescent="0.3">
      <c r="A315">
        <f>Sheet1!A315</f>
        <v>1314</v>
      </c>
      <c r="B315" t="str">
        <f>Sheet1!B315</f>
        <v>2025-03-29</v>
      </c>
      <c r="C315" t="str">
        <f>TEXT(Sheet1!B315,"YYYY-MM")</f>
        <v>2025-03</v>
      </c>
      <c r="D315" t="str">
        <f>Sheet1!D315</f>
        <v>Mumbai</v>
      </c>
      <c r="E315" t="str">
        <f>Sheet1!F315</f>
        <v>Furniture</v>
      </c>
      <c r="F315" t="str">
        <f>Sheet1!H315</f>
        <v>Ajay</v>
      </c>
      <c r="G315">
        <f>Sheet1!K315</f>
        <v>155758.25</v>
      </c>
      <c r="H315">
        <f>Sheet1!N315</f>
        <v>27528.66</v>
      </c>
      <c r="I315">
        <f t="shared" si="7"/>
        <v>1</v>
      </c>
    </row>
    <row r="316" spans="1:9" x14ac:dyDescent="0.3">
      <c r="A316">
        <f>Sheet1!A316</f>
        <v>1315</v>
      </c>
      <c r="B316" t="str">
        <f>Sheet1!B316</f>
        <v>2025-03-30</v>
      </c>
      <c r="C316" t="str">
        <f>TEXT(Sheet1!B316,"YYYY-MM")</f>
        <v>2025-03</v>
      </c>
      <c r="D316" t="str">
        <f>Sheet1!D316</f>
        <v>Hyderabad</v>
      </c>
      <c r="E316" t="str">
        <f>Sheet1!F316</f>
        <v>Clothing</v>
      </c>
      <c r="F316" t="str">
        <f>Sheet1!H316</f>
        <v>Ajay</v>
      </c>
      <c r="G316">
        <f>Sheet1!K316</f>
        <v>53410.6</v>
      </c>
      <c r="H316">
        <f>Sheet1!N316</f>
        <v>12886.06</v>
      </c>
      <c r="I316">
        <f t="shared" si="7"/>
        <v>1</v>
      </c>
    </row>
    <row r="317" spans="1:9" x14ac:dyDescent="0.3">
      <c r="A317">
        <f>Sheet1!A317</f>
        <v>1316</v>
      </c>
      <c r="B317" t="str">
        <f>Sheet1!B317</f>
        <v>2025-03-30</v>
      </c>
      <c r="C317" t="str">
        <f>TEXT(Sheet1!B317,"YYYY-MM")</f>
        <v>2025-03</v>
      </c>
      <c r="D317" t="str">
        <f>Sheet1!D317</f>
        <v>Hyderabad</v>
      </c>
      <c r="E317" t="str">
        <f>Sheet1!F317</f>
        <v>Clothing</v>
      </c>
      <c r="F317" t="str">
        <f>Sheet1!H317</f>
        <v>Sneha</v>
      </c>
      <c r="G317">
        <f>Sheet1!K317</f>
        <v>7458.3</v>
      </c>
      <c r="H317">
        <f>Sheet1!N317</f>
        <v>2108.6999999999998</v>
      </c>
      <c r="I317">
        <f t="shared" si="7"/>
        <v>1</v>
      </c>
    </row>
    <row r="318" spans="1:9" x14ac:dyDescent="0.3">
      <c r="A318">
        <f>Sheet1!A318</f>
        <v>1317</v>
      </c>
      <c r="B318" t="str">
        <f>Sheet1!B318</f>
        <v>2025-03-30</v>
      </c>
      <c r="C318" t="str">
        <f>TEXT(Sheet1!B318,"YYYY-MM")</f>
        <v>2025-03</v>
      </c>
      <c r="D318" t="str">
        <f>Sheet1!D318</f>
        <v>Hyderabad</v>
      </c>
      <c r="E318" t="str">
        <f>Sheet1!F318</f>
        <v>Electronics</v>
      </c>
      <c r="F318" t="str">
        <f>Sheet1!H318</f>
        <v>Sneha</v>
      </c>
      <c r="G318">
        <f>Sheet1!K318</f>
        <v>12188</v>
      </c>
      <c r="H318">
        <f>Sheet1!N318</f>
        <v>2586.25</v>
      </c>
      <c r="I318">
        <f t="shared" si="7"/>
        <v>1</v>
      </c>
    </row>
    <row r="319" spans="1:9" x14ac:dyDescent="0.3">
      <c r="A319">
        <f>Sheet1!A319</f>
        <v>1318</v>
      </c>
      <c r="B319" t="str">
        <f>Sheet1!B319</f>
        <v>2025-03-30</v>
      </c>
      <c r="C319" t="str">
        <f>TEXT(Sheet1!B319,"YYYY-MM")</f>
        <v>2025-03</v>
      </c>
      <c r="D319" t="str">
        <f>Sheet1!D319</f>
        <v>Bangalore</v>
      </c>
      <c r="E319" t="str">
        <f>Sheet1!F319</f>
        <v>Electronics</v>
      </c>
      <c r="F319" t="str">
        <f>Sheet1!H319</f>
        <v>Rahul</v>
      </c>
      <c r="G319">
        <f>Sheet1!K319</f>
        <v>60672</v>
      </c>
      <c r="H319">
        <f>Sheet1!N319</f>
        <v>8736.7900000000009</v>
      </c>
      <c r="I319">
        <f t="shared" si="7"/>
        <v>1</v>
      </c>
    </row>
    <row r="320" spans="1:9" x14ac:dyDescent="0.3">
      <c r="A320">
        <f>Sheet1!A320</f>
        <v>1319</v>
      </c>
      <c r="B320" t="str">
        <f>Sheet1!B320</f>
        <v>2025-03-31</v>
      </c>
      <c r="C320" t="str">
        <f>TEXT(Sheet1!B320,"YYYY-MM")</f>
        <v>2025-03</v>
      </c>
      <c r="D320" t="str">
        <f>Sheet1!D320</f>
        <v>Bangalore</v>
      </c>
      <c r="E320" t="str">
        <f>Sheet1!F320</f>
        <v>Clothing</v>
      </c>
      <c r="F320" t="str">
        <f>Sheet1!H320</f>
        <v>Sneha</v>
      </c>
      <c r="G320">
        <f>Sheet1!K320</f>
        <v>41417.1</v>
      </c>
      <c r="H320">
        <f>Sheet1!N320</f>
        <v>7464.37</v>
      </c>
      <c r="I320">
        <f t="shared" si="7"/>
        <v>1</v>
      </c>
    </row>
    <row r="321" spans="1:9" x14ac:dyDescent="0.3">
      <c r="A321">
        <f>Sheet1!A321</f>
        <v>1320</v>
      </c>
      <c r="B321" t="str">
        <f>Sheet1!B321</f>
        <v>2025-03-31</v>
      </c>
      <c r="C321" t="str">
        <f>TEXT(Sheet1!B321,"YYYY-MM")</f>
        <v>2025-03</v>
      </c>
      <c r="D321" t="str">
        <f>Sheet1!D321</f>
        <v>Mumbai</v>
      </c>
      <c r="E321" t="str">
        <f>Sheet1!F321</f>
        <v>Electronics</v>
      </c>
      <c r="F321" t="str">
        <f>Sheet1!H321</f>
        <v>Ajay</v>
      </c>
      <c r="G321">
        <f>Sheet1!K321</f>
        <v>107100</v>
      </c>
      <c r="H321">
        <f>Sheet1!N321</f>
        <v>22750.82</v>
      </c>
      <c r="I321">
        <f t="shared" si="7"/>
        <v>1</v>
      </c>
    </row>
    <row r="322" spans="1:9" x14ac:dyDescent="0.3">
      <c r="A322">
        <f>Sheet1!A322</f>
        <v>1321</v>
      </c>
      <c r="B322" t="str">
        <f>Sheet1!B322</f>
        <v>2025-04-01</v>
      </c>
      <c r="C322" t="str">
        <f>TEXT(Sheet1!B322,"YYYY-MM")</f>
        <v>2025-04</v>
      </c>
      <c r="D322" t="str">
        <f>Sheet1!D322</f>
        <v>Hyderabad</v>
      </c>
      <c r="E322" t="str">
        <f>Sheet1!F322</f>
        <v>Electronics</v>
      </c>
      <c r="F322" t="str">
        <f>Sheet1!H322</f>
        <v>Ajay</v>
      </c>
      <c r="G322">
        <f>Sheet1!K322</f>
        <v>36934</v>
      </c>
      <c r="H322">
        <f>Sheet1!N322</f>
        <v>3990.42</v>
      </c>
      <c r="I322">
        <f t="shared" ref="I322:I385" si="8">IF(AND(OR(FilterCity="All",D322=FilterCity),OR(FilterCategory="All",E322=FilterCategory),OR(FilterRep="All",F322=FilterRep),C322&gt;=FilterMonthFrom,C322&lt;=FilterMonthTo),1,0)</f>
        <v>1</v>
      </c>
    </row>
    <row r="323" spans="1:9" x14ac:dyDescent="0.3">
      <c r="A323">
        <f>Sheet1!A323</f>
        <v>1322</v>
      </c>
      <c r="B323" t="str">
        <f>Sheet1!B323</f>
        <v>2025-04-01</v>
      </c>
      <c r="C323" t="str">
        <f>TEXT(Sheet1!B323,"YYYY-MM")</f>
        <v>2025-04</v>
      </c>
      <c r="D323" t="str">
        <f>Sheet1!D323</f>
        <v>Bangalore</v>
      </c>
      <c r="E323" t="str">
        <f>Sheet1!F323</f>
        <v>Furniture</v>
      </c>
      <c r="F323" t="str">
        <f>Sheet1!H323</f>
        <v>Pooja</v>
      </c>
      <c r="G323">
        <f>Sheet1!K323</f>
        <v>185791.5</v>
      </c>
      <c r="H323">
        <f>Sheet1!N323</f>
        <v>25829.79</v>
      </c>
      <c r="I323">
        <f t="shared" si="8"/>
        <v>1</v>
      </c>
    </row>
    <row r="324" spans="1:9" x14ac:dyDescent="0.3">
      <c r="A324">
        <f>Sheet1!A324</f>
        <v>1323</v>
      </c>
      <c r="B324" t="str">
        <f>Sheet1!B324</f>
        <v>2025-04-01</v>
      </c>
      <c r="C324" t="str">
        <f>TEXT(Sheet1!B324,"YYYY-MM")</f>
        <v>2025-04</v>
      </c>
      <c r="D324" t="str">
        <f>Sheet1!D324</f>
        <v>Bangalore</v>
      </c>
      <c r="E324" t="str">
        <f>Sheet1!F324</f>
        <v>Furniture</v>
      </c>
      <c r="F324" t="str">
        <f>Sheet1!H324</f>
        <v>Sneha</v>
      </c>
      <c r="G324">
        <f>Sheet1!K324</f>
        <v>126708.15</v>
      </c>
      <c r="H324">
        <f>Sheet1!N324</f>
        <v>15411.69</v>
      </c>
      <c r="I324">
        <f t="shared" si="8"/>
        <v>1</v>
      </c>
    </row>
    <row r="325" spans="1:9" x14ac:dyDescent="0.3">
      <c r="A325">
        <f>Sheet1!A325</f>
        <v>1324</v>
      </c>
      <c r="B325" t="str">
        <f>Sheet1!B325</f>
        <v>2025-04-02</v>
      </c>
      <c r="C325" t="str">
        <f>TEXT(Sheet1!B325,"YYYY-MM")</f>
        <v>2025-04</v>
      </c>
      <c r="D325" t="str">
        <f>Sheet1!D325</f>
        <v>Delhi</v>
      </c>
      <c r="E325" t="str">
        <f>Sheet1!F325</f>
        <v>Electronics</v>
      </c>
      <c r="F325" t="str">
        <f>Sheet1!H325</f>
        <v>Rahul</v>
      </c>
      <c r="G325">
        <f>Sheet1!K325</f>
        <v>100785.5</v>
      </c>
      <c r="H325">
        <f>Sheet1!N325</f>
        <v>27351.06</v>
      </c>
      <c r="I325">
        <f t="shared" si="8"/>
        <v>1</v>
      </c>
    </row>
    <row r="326" spans="1:9" x14ac:dyDescent="0.3">
      <c r="A326">
        <f>Sheet1!A326</f>
        <v>1325</v>
      </c>
      <c r="B326" t="str">
        <f>Sheet1!B326</f>
        <v>2025-04-02</v>
      </c>
      <c r="C326" t="str">
        <f>TEXT(Sheet1!B326,"YYYY-MM")</f>
        <v>2025-04</v>
      </c>
      <c r="D326" t="str">
        <f>Sheet1!D326</f>
        <v>Bangalore</v>
      </c>
      <c r="E326" t="str">
        <f>Sheet1!F326</f>
        <v>Electronics</v>
      </c>
      <c r="F326" t="str">
        <f>Sheet1!H326</f>
        <v>Ajay</v>
      </c>
      <c r="G326">
        <f>Sheet1!K326</f>
        <v>64467</v>
      </c>
      <c r="H326">
        <f>Sheet1!N326</f>
        <v>12562.96</v>
      </c>
      <c r="I326">
        <f t="shared" si="8"/>
        <v>1</v>
      </c>
    </row>
    <row r="327" spans="1:9" x14ac:dyDescent="0.3">
      <c r="A327">
        <f>Sheet1!A327</f>
        <v>1326</v>
      </c>
      <c r="B327" t="str">
        <f>Sheet1!B327</f>
        <v>2025-04-03</v>
      </c>
      <c r="C327" t="str">
        <f>TEXT(Sheet1!B327,"YYYY-MM")</f>
        <v>2025-04</v>
      </c>
      <c r="D327" t="str">
        <f>Sheet1!D327</f>
        <v>Pune</v>
      </c>
      <c r="E327" t="str">
        <f>Sheet1!F327</f>
        <v>Electronics</v>
      </c>
      <c r="F327" t="str">
        <f>Sheet1!H327</f>
        <v>Rahul</v>
      </c>
      <c r="G327">
        <f>Sheet1!K327</f>
        <v>16188.25</v>
      </c>
      <c r="H327">
        <f>Sheet1!N327</f>
        <v>3577.76</v>
      </c>
      <c r="I327">
        <f t="shared" si="8"/>
        <v>1</v>
      </c>
    </row>
    <row r="328" spans="1:9" x14ac:dyDescent="0.3">
      <c r="A328">
        <f>Sheet1!A328</f>
        <v>1327</v>
      </c>
      <c r="B328" t="str">
        <f>Sheet1!B328</f>
        <v>2025-04-03</v>
      </c>
      <c r="C328" t="str">
        <f>TEXT(Sheet1!B328,"YYYY-MM")</f>
        <v>2025-04</v>
      </c>
      <c r="D328" t="str">
        <f>Sheet1!D328</f>
        <v>Pune</v>
      </c>
      <c r="E328" t="str">
        <f>Sheet1!F328</f>
        <v>Furniture</v>
      </c>
      <c r="F328" t="str">
        <f>Sheet1!H328</f>
        <v>Sneha</v>
      </c>
      <c r="G328">
        <f>Sheet1!K328</f>
        <v>41593.85</v>
      </c>
      <c r="H328">
        <f>Sheet1!N328</f>
        <v>8843.9699999999993</v>
      </c>
      <c r="I328">
        <f t="shared" si="8"/>
        <v>1</v>
      </c>
    </row>
    <row r="329" spans="1:9" x14ac:dyDescent="0.3">
      <c r="A329">
        <f>Sheet1!A329</f>
        <v>1328</v>
      </c>
      <c r="B329" t="str">
        <f>Sheet1!B329</f>
        <v>2025-04-04</v>
      </c>
      <c r="C329" t="str">
        <f>TEXT(Sheet1!B329,"YYYY-MM")</f>
        <v>2025-04</v>
      </c>
      <c r="D329" t="str">
        <f>Sheet1!D329</f>
        <v>Pune</v>
      </c>
      <c r="E329" t="str">
        <f>Sheet1!F329</f>
        <v>Furniture</v>
      </c>
      <c r="F329" t="str">
        <f>Sheet1!H329</f>
        <v>Rahul</v>
      </c>
      <c r="G329">
        <f>Sheet1!K329</f>
        <v>33228.199999999997</v>
      </c>
      <c r="H329">
        <f>Sheet1!N329</f>
        <v>7378.39</v>
      </c>
      <c r="I329">
        <f t="shared" si="8"/>
        <v>1</v>
      </c>
    </row>
    <row r="330" spans="1:9" x14ac:dyDescent="0.3">
      <c r="A330">
        <f>Sheet1!A330</f>
        <v>1329</v>
      </c>
      <c r="B330" t="str">
        <f>Sheet1!B330</f>
        <v>2025-04-04</v>
      </c>
      <c r="C330" t="str">
        <f>TEXT(Sheet1!B330,"YYYY-MM")</f>
        <v>2025-04</v>
      </c>
      <c r="D330" t="str">
        <f>Sheet1!D330</f>
        <v>Mumbai</v>
      </c>
      <c r="E330" t="str">
        <f>Sheet1!F330</f>
        <v>Clothing</v>
      </c>
      <c r="F330" t="str">
        <f>Sheet1!H330</f>
        <v>Rahul</v>
      </c>
      <c r="G330">
        <f>Sheet1!K330</f>
        <v>188598</v>
      </c>
      <c r="H330">
        <f>Sheet1!N330</f>
        <v>28080.16</v>
      </c>
      <c r="I330">
        <f t="shared" si="8"/>
        <v>1</v>
      </c>
    </row>
    <row r="331" spans="1:9" x14ac:dyDescent="0.3">
      <c r="A331">
        <f>Sheet1!A331</f>
        <v>1330</v>
      </c>
      <c r="B331" t="str">
        <f>Sheet1!B331</f>
        <v>2025-04-04</v>
      </c>
      <c r="C331" t="str">
        <f>TEXT(Sheet1!B331,"YYYY-MM")</f>
        <v>2025-04</v>
      </c>
      <c r="D331" t="str">
        <f>Sheet1!D331</f>
        <v>Hyderabad</v>
      </c>
      <c r="E331" t="str">
        <f>Sheet1!F331</f>
        <v>Clothing</v>
      </c>
      <c r="F331" t="str">
        <f>Sheet1!H331</f>
        <v>Rahul</v>
      </c>
      <c r="G331">
        <f>Sheet1!K331</f>
        <v>96512</v>
      </c>
      <c r="H331">
        <f>Sheet1!N331</f>
        <v>10712.8</v>
      </c>
      <c r="I331">
        <f t="shared" si="8"/>
        <v>1</v>
      </c>
    </row>
    <row r="332" spans="1:9" x14ac:dyDescent="0.3">
      <c r="A332">
        <f>Sheet1!A332</f>
        <v>1331</v>
      </c>
      <c r="B332" t="str">
        <f>Sheet1!B332</f>
        <v>2025-04-04</v>
      </c>
      <c r="C332" t="str">
        <f>TEXT(Sheet1!B332,"YYYY-MM")</f>
        <v>2025-04</v>
      </c>
      <c r="D332" t="str">
        <f>Sheet1!D332</f>
        <v>Pune</v>
      </c>
      <c r="E332" t="str">
        <f>Sheet1!F332</f>
        <v>Electronics</v>
      </c>
      <c r="F332" t="str">
        <f>Sheet1!H332</f>
        <v>Rahul</v>
      </c>
      <c r="G332">
        <f>Sheet1!K332</f>
        <v>13942.2</v>
      </c>
      <c r="H332">
        <f>Sheet1!N332</f>
        <v>3945.72</v>
      </c>
      <c r="I332">
        <f t="shared" si="8"/>
        <v>1</v>
      </c>
    </row>
    <row r="333" spans="1:9" x14ac:dyDescent="0.3">
      <c r="A333">
        <f>Sheet1!A333</f>
        <v>1332</v>
      </c>
      <c r="B333" t="str">
        <f>Sheet1!B333</f>
        <v>2025-04-05</v>
      </c>
      <c r="C333" t="str">
        <f>TEXT(Sheet1!B333,"YYYY-MM")</f>
        <v>2025-04</v>
      </c>
      <c r="D333" t="str">
        <f>Sheet1!D333</f>
        <v>Pune</v>
      </c>
      <c r="E333" t="str">
        <f>Sheet1!F333</f>
        <v>Furniture</v>
      </c>
      <c r="F333" t="str">
        <f>Sheet1!H333</f>
        <v>Rahul</v>
      </c>
      <c r="G333">
        <f>Sheet1!K333</f>
        <v>122960</v>
      </c>
      <c r="H333">
        <f>Sheet1!N333</f>
        <v>16285.95</v>
      </c>
      <c r="I333">
        <f t="shared" si="8"/>
        <v>1</v>
      </c>
    </row>
    <row r="334" spans="1:9" x14ac:dyDescent="0.3">
      <c r="A334">
        <f>Sheet1!A334</f>
        <v>1333</v>
      </c>
      <c r="B334" t="str">
        <f>Sheet1!B334</f>
        <v>2025-04-05</v>
      </c>
      <c r="C334" t="str">
        <f>TEXT(Sheet1!B334,"YYYY-MM")</f>
        <v>2025-04</v>
      </c>
      <c r="D334" t="str">
        <f>Sheet1!D334</f>
        <v>Delhi</v>
      </c>
      <c r="E334" t="str">
        <f>Sheet1!F334</f>
        <v>Clothing</v>
      </c>
      <c r="F334" t="str">
        <f>Sheet1!H334</f>
        <v>Sneha</v>
      </c>
      <c r="G334">
        <f>Sheet1!K334</f>
        <v>6132.6</v>
      </c>
      <c r="H334">
        <f>Sheet1!N334</f>
        <v>616.13</v>
      </c>
      <c r="I334">
        <f t="shared" si="8"/>
        <v>1</v>
      </c>
    </row>
    <row r="335" spans="1:9" x14ac:dyDescent="0.3">
      <c r="A335">
        <f>Sheet1!A335</f>
        <v>1334</v>
      </c>
      <c r="B335" t="str">
        <f>Sheet1!B335</f>
        <v>2025-04-05</v>
      </c>
      <c r="C335" t="str">
        <f>TEXT(Sheet1!B335,"YYYY-MM")</f>
        <v>2025-04</v>
      </c>
      <c r="D335" t="str">
        <f>Sheet1!D335</f>
        <v>Delhi</v>
      </c>
      <c r="E335" t="str">
        <f>Sheet1!F335</f>
        <v>Clothing</v>
      </c>
      <c r="F335" t="str">
        <f>Sheet1!H335</f>
        <v>Sneha</v>
      </c>
      <c r="G335">
        <f>Sheet1!K335</f>
        <v>96873.4</v>
      </c>
      <c r="H335">
        <f>Sheet1!N335</f>
        <v>15066.78</v>
      </c>
      <c r="I335">
        <f t="shared" si="8"/>
        <v>1</v>
      </c>
    </row>
    <row r="336" spans="1:9" x14ac:dyDescent="0.3">
      <c r="A336">
        <f>Sheet1!A336</f>
        <v>1335</v>
      </c>
      <c r="B336" t="str">
        <f>Sheet1!B336</f>
        <v>2025-04-06</v>
      </c>
      <c r="C336" t="str">
        <f>TEXT(Sheet1!B336,"YYYY-MM")</f>
        <v>2025-04</v>
      </c>
      <c r="D336" t="str">
        <f>Sheet1!D336</f>
        <v>Mumbai</v>
      </c>
      <c r="E336" t="str">
        <f>Sheet1!F336</f>
        <v>Furniture</v>
      </c>
      <c r="F336" t="str">
        <f>Sheet1!H336</f>
        <v>Ajay</v>
      </c>
      <c r="G336">
        <f>Sheet1!K336</f>
        <v>185649</v>
      </c>
      <c r="H336">
        <f>Sheet1!N336</f>
        <v>27958.99</v>
      </c>
      <c r="I336">
        <f t="shared" si="8"/>
        <v>1</v>
      </c>
    </row>
    <row r="337" spans="1:9" x14ac:dyDescent="0.3">
      <c r="A337">
        <f>Sheet1!A337</f>
        <v>1336</v>
      </c>
      <c r="B337" t="str">
        <f>Sheet1!B337</f>
        <v>2025-04-06</v>
      </c>
      <c r="C337" t="str">
        <f>TEXT(Sheet1!B337,"YYYY-MM")</f>
        <v>2025-04</v>
      </c>
      <c r="D337" t="str">
        <f>Sheet1!D337</f>
        <v>Pune</v>
      </c>
      <c r="E337" t="str">
        <f>Sheet1!F337</f>
        <v>Clothing</v>
      </c>
      <c r="F337" t="str">
        <f>Sheet1!H337</f>
        <v>Ajay</v>
      </c>
      <c r="G337">
        <f>Sheet1!K337</f>
        <v>52703.4</v>
      </c>
      <c r="H337">
        <f>Sheet1!N337</f>
        <v>5878.36</v>
      </c>
      <c r="I337">
        <f t="shared" si="8"/>
        <v>1</v>
      </c>
    </row>
    <row r="338" spans="1:9" x14ac:dyDescent="0.3">
      <c r="A338">
        <f>Sheet1!A338</f>
        <v>1337</v>
      </c>
      <c r="B338" t="str">
        <f>Sheet1!B338</f>
        <v>2025-04-06</v>
      </c>
      <c r="C338" t="str">
        <f>TEXT(Sheet1!B338,"YYYY-MM")</f>
        <v>2025-04</v>
      </c>
      <c r="D338" t="str">
        <f>Sheet1!D338</f>
        <v>Bangalore</v>
      </c>
      <c r="E338" t="str">
        <f>Sheet1!F338</f>
        <v>Electronics</v>
      </c>
      <c r="F338" t="str">
        <f>Sheet1!H338</f>
        <v>Pooja</v>
      </c>
      <c r="G338">
        <f>Sheet1!K338</f>
        <v>22976</v>
      </c>
      <c r="H338">
        <f>Sheet1!N338</f>
        <v>4460.6499999999996</v>
      </c>
      <c r="I338">
        <f t="shared" si="8"/>
        <v>1</v>
      </c>
    </row>
    <row r="339" spans="1:9" x14ac:dyDescent="0.3">
      <c r="A339">
        <f>Sheet1!A339</f>
        <v>1338</v>
      </c>
      <c r="B339" t="str">
        <f>Sheet1!B339</f>
        <v>2025-04-06</v>
      </c>
      <c r="C339" t="str">
        <f>TEXT(Sheet1!B339,"YYYY-MM")</f>
        <v>2025-04</v>
      </c>
      <c r="D339" t="str">
        <f>Sheet1!D339</f>
        <v>Bangalore</v>
      </c>
      <c r="E339" t="str">
        <f>Sheet1!F339</f>
        <v>Electronics</v>
      </c>
      <c r="F339" t="str">
        <f>Sheet1!H339</f>
        <v>Ajay</v>
      </c>
      <c r="G339">
        <f>Sheet1!K339</f>
        <v>214771.25</v>
      </c>
      <c r="H339">
        <f>Sheet1!N339</f>
        <v>32626.01</v>
      </c>
      <c r="I339">
        <f t="shared" si="8"/>
        <v>1</v>
      </c>
    </row>
    <row r="340" spans="1:9" x14ac:dyDescent="0.3">
      <c r="A340">
        <f>Sheet1!A340</f>
        <v>1339</v>
      </c>
      <c r="B340" t="str">
        <f>Sheet1!B340</f>
        <v>2025-04-07</v>
      </c>
      <c r="C340" t="str">
        <f>TEXT(Sheet1!B340,"YYYY-MM")</f>
        <v>2025-04</v>
      </c>
      <c r="D340" t="str">
        <f>Sheet1!D340</f>
        <v>Mumbai</v>
      </c>
      <c r="E340" t="str">
        <f>Sheet1!F340</f>
        <v>Furniture</v>
      </c>
      <c r="F340" t="str">
        <f>Sheet1!H340</f>
        <v>Ajay</v>
      </c>
      <c r="G340">
        <f>Sheet1!K340</f>
        <v>76471.100000000006</v>
      </c>
      <c r="H340">
        <f>Sheet1!N340</f>
        <v>15597.52</v>
      </c>
      <c r="I340">
        <f t="shared" si="8"/>
        <v>1</v>
      </c>
    </row>
    <row r="341" spans="1:9" x14ac:dyDescent="0.3">
      <c r="A341">
        <f>Sheet1!A341</f>
        <v>1340</v>
      </c>
      <c r="B341" t="str">
        <f>Sheet1!B341</f>
        <v>2025-04-07</v>
      </c>
      <c r="C341" t="str">
        <f>TEXT(Sheet1!B341,"YYYY-MM")</f>
        <v>2025-04</v>
      </c>
      <c r="D341" t="str">
        <f>Sheet1!D341</f>
        <v>Hyderabad</v>
      </c>
      <c r="E341" t="str">
        <f>Sheet1!F341</f>
        <v>Furniture</v>
      </c>
      <c r="F341" t="str">
        <f>Sheet1!H341</f>
        <v>Ajay</v>
      </c>
      <c r="G341">
        <f>Sheet1!K341</f>
        <v>1456.35</v>
      </c>
      <c r="H341">
        <f>Sheet1!N341</f>
        <v>397.1</v>
      </c>
      <c r="I341">
        <f t="shared" si="8"/>
        <v>1</v>
      </c>
    </row>
    <row r="342" spans="1:9" x14ac:dyDescent="0.3">
      <c r="A342">
        <f>Sheet1!A342</f>
        <v>1341</v>
      </c>
      <c r="B342" t="str">
        <f>Sheet1!B342</f>
        <v>2025-04-07</v>
      </c>
      <c r="C342" t="str">
        <f>TEXT(Sheet1!B342,"YYYY-MM")</f>
        <v>2025-04</v>
      </c>
      <c r="D342" t="str">
        <f>Sheet1!D342</f>
        <v>Delhi</v>
      </c>
      <c r="E342" t="str">
        <f>Sheet1!F342</f>
        <v>Electronics</v>
      </c>
      <c r="F342" t="str">
        <f>Sheet1!H342</f>
        <v>Ajay</v>
      </c>
      <c r="G342">
        <f>Sheet1!K342</f>
        <v>38871</v>
      </c>
      <c r="H342">
        <f>Sheet1!N342</f>
        <v>8947.82</v>
      </c>
      <c r="I342">
        <f t="shared" si="8"/>
        <v>1</v>
      </c>
    </row>
    <row r="343" spans="1:9" x14ac:dyDescent="0.3">
      <c r="A343">
        <f>Sheet1!A343</f>
        <v>1342</v>
      </c>
      <c r="B343" t="str">
        <f>Sheet1!B343</f>
        <v>2025-04-07</v>
      </c>
      <c r="C343" t="str">
        <f>TEXT(Sheet1!B343,"YYYY-MM")</f>
        <v>2025-04</v>
      </c>
      <c r="D343" t="str">
        <f>Sheet1!D343</f>
        <v>Hyderabad</v>
      </c>
      <c r="E343" t="str">
        <f>Sheet1!F343</f>
        <v>Clothing</v>
      </c>
      <c r="F343" t="str">
        <f>Sheet1!H343</f>
        <v>Sneha</v>
      </c>
      <c r="G343">
        <f>Sheet1!K343</f>
        <v>143917.4</v>
      </c>
      <c r="H343">
        <f>Sheet1!N343</f>
        <v>24423.72</v>
      </c>
      <c r="I343">
        <f t="shared" si="8"/>
        <v>1</v>
      </c>
    </row>
    <row r="344" spans="1:9" x14ac:dyDescent="0.3">
      <c r="A344">
        <f>Sheet1!A344</f>
        <v>1343</v>
      </c>
      <c r="B344" t="str">
        <f>Sheet1!B344</f>
        <v>2025-04-07</v>
      </c>
      <c r="C344" t="str">
        <f>TEXT(Sheet1!B344,"YYYY-MM")</f>
        <v>2025-04</v>
      </c>
      <c r="D344" t="str">
        <f>Sheet1!D344</f>
        <v>Mumbai</v>
      </c>
      <c r="E344" t="str">
        <f>Sheet1!F344</f>
        <v>Furniture</v>
      </c>
      <c r="F344" t="str">
        <f>Sheet1!H344</f>
        <v>Ajay</v>
      </c>
      <c r="G344">
        <f>Sheet1!K344</f>
        <v>89478</v>
      </c>
      <c r="H344">
        <f>Sheet1!N344</f>
        <v>25018.21</v>
      </c>
      <c r="I344">
        <f t="shared" si="8"/>
        <v>1</v>
      </c>
    </row>
    <row r="345" spans="1:9" x14ac:dyDescent="0.3">
      <c r="A345">
        <f>Sheet1!A345</f>
        <v>1344</v>
      </c>
      <c r="B345" t="str">
        <f>Sheet1!B345</f>
        <v>2025-04-08</v>
      </c>
      <c r="C345" t="str">
        <f>TEXT(Sheet1!B345,"YYYY-MM")</f>
        <v>2025-04</v>
      </c>
      <c r="D345" t="str">
        <f>Sheet1!D345</f>
        <v>Bangalore</v>
      </c>
      <c r="E345" t="str">
        <f>Sheet1!F345</f>
        <v>Electronics</v>
      </c>
      <c r="F345" t="str">
        <f>Sheet1!H345</f>
        <v>Rahul</v>
      </c>
      <c r="G345">
        <f>Sheet1!K345</f>
        <v>38448</v>
      </c>
      <c r="H345">
        <f>Sheet1!N345</f>
        <v>5454.6</v>
      </c>
      <c r="I345">
        <f t="shared" si="8"/>
        <v>1</v>
      </c>
    </row>
    <row r="346" spans="1:9" x14ac:dyDescent="0.3">
      <c r="A346">
        <f>Sheet1!A346</f>
        <v>1345</v>
      </c>
      <c r="B346" t="str">
        <f>Sheet1!B346</f>
        <v>2025-04-08</v>
      </c>
      <c r="C346" t="str">
        <f>TEXT(Sheet1!B346,"YYYY-MM")</f>
        <v>2025-04</v>
      </c>
      <c r="D346" t="str">
        <f>Sheet1!D346</f>
        <v>Pune</v>
      </c>
      <c r="E346" t="str">
        <f>Sheet1!F346</f>
        <v>Electronics</v>
      </c>
      <c r="F346" t="str">
        <f>Sheet1!H346</f>
        <v>Sneha</v>
      </c>
      <c r="G346">
        <f>Sheet1!K346</f>
        <v>128404.4</v>
      </c>
      <c r="H346">
        <f>Sheet1!N346</f>
        <v>24396.73</v>
      </c>
      <c r="I346">
        <f t="shared" si="8"/>
        <v>1</v>
      </c>
    </row>
    <row r="347" spans="1:9" x14ac:dyDescent="0.3">
      <c r="A347">
        <f>Sheet1!A347</f>
        <v>1346</v>
      </c>
      <c r="B347" t="str">
        <f>Sheet1!B347</f>
        <v>2025-04-08</v>
      </c>
      <c r="C347" t="str">
        <f>TEXT(Sheet1!B347,"YYYY-MM")</f>
        <v>2025-04</v>
      </c>
      <c r="D347" t="str">
        <f>Sheet1!D347</f>
        <v>Mumbai</v>
      </c>
      <c r="E347" t="str">
        <f>Sheet1!F347</f>
        <v>Furniture</v>
      </c>
      <c r="F347" t="str">
        <f>Sheet1!H347</f>
        <v>Ajay</v>
      </c>
      <c r="G347">
        <f>Sheet1!K347</f>
        <v>28988</v>
      </c>
      <c r="H347">
        <f>Sheet1!N347</f>
        <v>5411.44</v>
      </c>
      <c r="I347">
        <f t="shared" si="8"/>
        <v>1</v>
      </c>
    </row>
    <row r="348" spans="1:9" x14ac:dyDescent="0.3">
      <c r="A348">
        <f>Sheet1!A348</f>
        <v>1347</v>
      </c>
      <c r="B348" t="str">
        <f>Sheet1!B348</f>
        <v>2025-04-09</v>
      </c>
      <c r="C348" t="str">
        <f>TEXT(Sheet1!B348,"YYYY-MM")</f>
        <v>2025-04</v>
      </c>
      <c r="D348" t="str">
        <f>Sheet1!D348</f>
        <v>Pune</v>
      </c>
      <c r="E348" t="str">
        <f>Sheet1!F348</f>
        <v>Electronics</v>
      </c>
      <c r="F348" t="str">
        <f>Sheet1!H348</f>
        <v>Ajay</v>
      </c>
      <c r="G348">
        <f>Sheet1!K348</f>
        <v>55806.75</v>
      </c>
      <c r="H348">
        <f>Sheet1!N348</f>
        <v>6369.37</v>
      </c>
      <c r="I348">
        <f t="shared" si="8"/>
        <v>1</v>
      </c>
    </row>
    <row r="349" spans="1:9" x14ac:dyDescent="0.3">
      <c r="A349">
        <f>Sheet1!A349</f>
        <v>1348</v>
      </c>
      <c r="B349" t="str">
        <f>Sheet1!B349</f>
        <v>2025-04-09</v>
      </c>
      <c r="C349" t="str">
        <f>TEXT(Sheet1!B349,"YYYY-MM")</f>
        <v>2025-04</v>
      </c>
      <c r="D349" t="str">
        <f>Sheet1!D349</f>
        <v>Mumbai</v>
      </c>
      <c r="E349" t="str">
        <f>Sheet1!F349</f>
        <v>Electronics</v>
      </c>
      <c r="F349" t="str">
        <f>Sheet1!H349</f>
        <v>Pooja</v>
      </c>
      <c r="G349">
        <f>Sheet1!K349</f>
        <v>127503</v>
      </c>
      <c r="H349">
        <f>Sheet1!N349</f>
        <v>36616.559999999998</v>
      </c>
      <c r="I349">
        <f t="shared" si="8"/>
        <v>1</v>
      </c>
    </row>
    <row r="350" spans="1:9" x14ac:dyDescent="0.3">
      <c r="A350">
        <f>Sheet1!A350</f>
        <v>1349</v>
      </c>
      <c r="B350" t="str">
        <f>Sheet1!B350</f>
        <v>2025-04-09</v>
      </c>
      <c r="C350" t="str">
        <f>TEXT(Sheet1!B350,"YYYY-MM")</f>
        <v>2025-04</v>
      </c>
      <c r="D350" t="str">
        <f>Sheet1!D350</f>
        <v>Hyderabad</v>
      </c>
      <c r="E350" t="str">
        <f>Sheet1!F350</f>
        <v>Clothing</v>
      </c>
      <c r="F350" t="str">
        <f>Sheet1!H350</f>
        <v>Sneha</v>
      </c>
      <c r="G350">
        <f>Sheet1!K350</f>
        <v>1606.5</v>
      </c>
      <c r="H350">
        <f>Sheet1!N350</f>
        <v>259.07</v>
      </c>
      <c r="I350">
        <f t="shared" si="8"/>
        <v>1</v>
      </c>
    </row>
    <row r="351" spans="1:9" x14ac:dyDescent="0.3">
      <c r="A351">
        <f>Sheet1!A351</f>
        <v>1350</v>
      </c>
      <c r="B351" t="str">
        <f>Sheet1!B351</f>
        <v>2025-04-09</v>
      </c>
      <c r="C351" t="str">
        <f>TEXT(Sheet1!B351,"YYYY-MM")</f>
        <v>2025-04</v>
      </c>
      <c r="D351" t="str">
        <f>Sheet1!D351</f>
        <v>Bangalore</v>
      </c>
      <c r="E351" t="str">
        <f>Sheet1!F351</f>
        <v>Clothing</v>
      </c>
      <c r="F351" t="str">
        <f>Sheet1!H351</f>
        <v>Sneha</v>
      </c>
      <c r="G351">
        <f>Sheet1!K351</f>
        <v>94642.8</v>
      </c>
      <c r="H351">
        <f>Sheet1!N351</f>
        <v>20965.97</v>
      </c>
      <c r="I351">
        <f t="shared" si="8"/>
        <v>1</v>
      </c>
    </row>
    <row r="352" spans="1:9" x14ac:dyDescent="0.3">
      <c r="A352">
        <f>Sheet1!A352</f>
        <v>1351</v>
      </c>
      <c r="B352" t="str">
        <f>Sheet1!B352</f>
        <v>2025-04-10</v>
      </c>
      <c r="C352" t="str">
        <f>TEXT(Sheet1!B352,"YYYY-MM")</f>
        <v>2025-04</v>
      </c>
      <c r="D352" t="str">
        <f>Sheet1!D352</f>
        <v>Mumbai</v>
      </c>
      <c r="E352" t="str">
        <f>Sheet1!F352</f>
        <v>Electronics</v>
      </c>
      <c r="F352" t="str">
        <f>Sheet1!H352</f>
        <v>Ajay</v>
      </c>
      <c r="G352">
        <f>Sheet1!K352</f>
        <v>123561.75</v>
      </c>
      <c r="H352">
        <f>Sheet1!N352</f>
        <v>34698.1</v>
      </c>
      <c r="I352">
        <f t="shared" si="8"/>
        <v>1</v>
      </c>
    </row>
    <row r="353" spans="1:9" x14ac:dyDescent="0.3">
      <c r="A353">
        <f>Sheet1!A353</f>
        <v>1352</v>
      </c>
      <c r="B353" t="str">
        <f>Sheet1!B353</f>
        <v>2025-04-10</v>
      </c>
      <c r="C353" t="str">
        <f>TEXT(Sheet1!B353,"YYYY-MM")</f>
        <v>2025-04</v>
      </c>
      <c r="D353" t="str">
        <f>Sheet1!D353</f>
        <v>Delhi</v>
      </c>
      <c r="E353" t="str">
        <f>Sheet1!F353</f>
        <v>Electronics</v>
      </c>
      <c r="F353" t="str">
        <f>Sheet1!H353</f>
        <v>Pooja</v>
      </c>
      <c r="G353">
        <f>Sheet1!K353</f>
        <v>127397.85</v>
      </c>
      <c r="H353">
        <f>Sheet1!N353</f>
        <v>12885.33</v>
      </c>
      <c r="I353">
        <f t="shared" si="8"/>
        <v>1</v>
      </c>
    </row>
    <row r="354" spans="1:9" x14ac:dyDescent="0.3">
      <c r="A354">
        <f>Sheet1!A354</f>
        <v>1353</v>
      </c>
      <c r="B354" t="str">
        <f>Sheet1!B354</f>
        <v>2025-04-10</v>
      </c>
      <c r="C354" t="str">
        <f>TEXT(Sheet1!B354,"YYYY-MM")</f>
        <v>2025-04</v>
      </c>
      <c r="D354" t="str">
        <f>Sheet1!D354</f>
        <v>Mumbai</v>
      </c>
      <c r="E354" t="str">
        <f>Sheet1!F354</f>
        <v>Clothing</v>
      </c>
      <c r="F354" t="str">
        <f>Sheet1!H354</f>
        <v>Ajay</v>
      </c>
      <c r="G354">
        <f>Sheet1!K354</f>
        <v>98965</v>
      </c>
      <c r="H354">
        <f>Sheet1!N354</f>
        <v>22080.65</v>
      </c>
      <c r="I354">
        <f t="shared" si="8"/>
        <v>1</v>
      </c>
    </row>
    <row r="355" spans="1:9" x14ac:dyDescent="0.3">
      <c r="A355">
        <f>Sheet1!A355</f>
        <v>1354</v>
      </c>
      <c r="B355" t="str">
        <f>Sheet1!B355</f>
        <v>2025-04-10</v>
      </c>
      <c r="C355" t="str">
        <f>TEXT(Sheet1!B355,"YYYY-MM")</f>
        <v>2025-04</v>
      </c>
      <c r="D355" t="str">
        <f>Sheet1!D355</f>
        <v>Mumbai</v>
      </c>
      <c r="E355" t="str">
        <f>Sheet1!F355</f>
        <v>Furniture</v>
      </c>
      <c r="F355" t="str">
        <f>Sheet1!H355</f>
        <v>Ajay</v>
      </c>
      <c r="G355">
        <f>Sheet1!K355</f>
        <v>85185</v>
      </c>
      <c r="H355">
        <f>Sheet1!N355</f>
        <v>10519.04</v>
      </c>
      <c r="I355">
        <f t="shared" si="8"/>
        <v>1</v>
      </c>
    </row>
    <row r="356" spans="1:9" x14ac:dyDescent="0.3">
      <c r="A356">
        <f>Sheet1!A356</f>
        <v>1355</v>
      </c>
      <c r="B356" t="str">
        <f>Sheet1!B356</f>
        <v>2025-04-11</v>
      </c>
      <c r="C356" t="str">
        <f>TEXT(Sheet1!B356,"YYYY-MM")</f>
        <v>2025-04</v>
      </c>
      <c r="D356" t="str">
        <f>Sheet1!D356</f>
        <v>Hyderabad</v>
      </c>
      <c r="E356" t="str">
        <f>Sheet1!F356</f>
        <v>Clothing</v>
      </c>
      <c r="F356" t="str">
        <f>Sheet1!H356</f>
        <v>Sneha</v>
      </c>
      <c r="G356">
        <f>Sheet1!K356</f>
        <v>53319.6</v>
      </c>
      <c r="H356">
        <f>Sheet1!N356</f>
        <v>15120.2</v>
      </c>
      <c r="I356">
        <f t="shared" si="8"/>
        <v>1</v>
      </c>
    </row>
    <row r="357" spans="1:9" x14ac:dyDescent="0.3">
      <c r="A357">
        <f>Sheet1!A357</f>
        <v>1356</v>
      </c>
      <c r="B357" t="str">
        <f>Sheet1!B357</f>
        <v>2025-04-11</v>
      </c>
      <c r="C357" t="str">
        <f>TEXT(Sheet1!B357,"YYYY-MM")</f>
        <v>2025-04</v>
      </c>
      <c r="D357" t="str">
        <f>Sheet1!D357</f>
        <v>Delhi</v>
      </c>
      <c r="E357" t="str">
        <f>Sheet1!F357</f>
        <v>Furniture</v>
      </c>
      <c r="F357" t="str">
        <f>Sheet1!H357</f>
        <v>Rahul</v>
      </c>
      <c r="G357">
        <f>Sheet1!K357</f>
        <v>53530.2</v>
      </c>
      <c r="H357">
        <f>Sheet1!N357</f>
        <v>9447.23</v>
      </c>
      <c r="I357">
        <f t="shared" si="8"/>
        <v>1</v>
      </c>
    </row>
    <row r="358" spans="1:9" x14ac:dyDescent="0.3">
      <c r="A358">
        <f>Sheet1!A358</f>
        <v>1357</v>
      </c>
      <c r="B358" t="str">
        <f>Sheet1!B358</f>
        <v>2025-04-11</v>
      </c>
      <c r="C358" t="str">
        <f>TEXT(Sheet1!B358,"YYYY-MM")</f>
        <v>2025-04</v>
      </c>
      <c r="D358" t="str">
        <f>Sheet1!D358</f>
        <v>Hyderabad</v>
      </c>
      <c r="E358" t="str">
        <f>Sheet1!F358</f>
        <v>Electronics</v>
      </c>
      <c r="F358" t="str">
        <f>Sheet1!H358</f>
        <v>Pooja</v>
      </c>
      <c r="G358">
        <f>Sheet1!K358</f>
        <v>129905.5</v>
      </c>
      <c r="H358">
        <f>Sheet1!N358</f>
        <v>14955.23</v>
      </c>
      <c r="I358">
        <f t="shared" si="8"/>
        <v>1</v>
      </c>
    </row>
    <row r="359" spans="1:9" x14ac:dyDescent="0.3">
      <c r="A359">
        <f>Sheet1!A359</f>
        <v>1358</v>
      </c>
      <c r="B359" t="str">
        <f>Sheet1!B359</f>
        <v>2025-04-11</v>
      </c>
      <c r="C359" t="str">
        <f>TEXT(Sheet1!B359,"YYYY-MM")</f>
        <v>2025-04</v>
      </c>
      <c r="D359" t="str">
        <f>Sheet1!D359</f>
        <v>Mumbai</v>
      </c>
      <c r="E359" t="str">
        <f>Sheet1!F359</f>
        <v>Clothing</v>
      </c>
      <c r="F359" t="str">
        <f>Sheet1!H359</f>
        <v>Pooja</v>
      </c>
      <c r="G359">
        <f>Sheet1!K359</f>
        <v>10691.3</v>
      </c>
      <c r="H359">
        <f>Sheet1!N359</f>
        <v>2557.65</v>
      </c>
      <c r="I359">
        <f t="shared" si="8"/>
        <v>1</v>
      </c>
    </row>
    <row r="360" spans="1:9" x14ac:dyDescent="0.3">
      <c r="A360">
        <f>Sheet1!A360</f>
        <v>1359</v>
      </c>
      <c r="B360" t="str">
        <f>Sheet1!B360</f>
        <v>2025-04-12</v>
      </c>
      <c r="C360" t="str">
        <f>TEXT(Sheet1!B360,"YYYY-MM")</f>
        <v>2025-04</v>
      </c>
      <c r="D360" t="str">
        <f>Sheet1!D360</f>
        <v>Hyderabad</v>
      </c>
      <c r="E360" t="str">
        <f>Sheet1!F360</f>
        <v>Electronics</v>
      </c>
      <c r="F360" t="str">
        <f>Sheet1!H360</f>
        <v>Rahul</v>
      </c>
      <c r="G360">
        <f>Sheet1!K360</f>
        <v>2076.3000000000002</v>
      </c>
      <c r="H360">
        <f>Sheet1!N360</f>
        <v>591.17999999999995</v>
      </c>
      <c r="I360">
        <f t="shared" si="8"/>
        <v>1</v>
      </c>
    </row>
    <row r="361" spans="1:9" x14ac:dyDescent="0.3">
      <c r="A361">
        <f>Sheet1!A361</f>
        <v>1360</v>
      </c>
      <c r="B361" t="str">
        <f>Sheet1!B361</f>
        <v>2025-04-12</v>
      </c>
      <c r="C361" t="str">
        <f>TEXT(Sheet1!B361,"YYYY-MM")</f>
        <v>2025-04</v>
      </c>
      <c r="D361" t="str">
        <f>Sheet1!D361</f>
        <v>Delhi</v>
      </c>
      <c r="E361" t="str">
        <f>Sheet1!F361</f>
        <v>Electronics</v>
      </c>
      <c r="F361" t="str">
        <f>Sheet1!H361</f>
        <v>Pooja</v>
      </c>
      <c r="G361">
        <f>Sheet1!K361</f>
        <v>192845.25</v>
      </c>
      <c r="H361">
        <f>Sheet1!N361</f>
        <v>28941.37</v>
      </c>
      <c r="I361">
        <f t="shared" si="8"/>
        <v>1</v>
      </c>
    </row>
    <row r="362" spans="1:9" x14ac:dyDescent="0.3">
      <c r="A362">
        <f>Sheet1!A362</f>
        <v>1361</v>
      </c>
      <c r="B362" t="str">
        <f>Sheet1!B362</f>
        <v>2025-04-13</v>
      </c>
      <c r="C362" t="str">
        <f>TEXT(Sheet1!B362,"YYYY-MM")</f>
        <v>2025-04</v>
      </c>
      <c r="D362" t="str">
        <f>Sheet1!D362</f>
        <v>Delhi</v>
      </c>
      <c r="E362" t="str">
        <f>Sheet1!F362</f>
        <v>Clothing</v>
      </c>
      <c r="F362" t="str">
        <f>Sheet1!H362</f>
        <v>Pooja</v>
      </c>
      <c r="G362">
        <f>Sheet1!K362</f>
        <v>39999.75</v>
      </c>
      <c r="H362">
        <f>Sheet1!N362</f>
        <v>6646.27</v>
      </c>
      <c r="I362">
        <f t="shared" si="8"/>
        <v>1</v>
      </c>
    </row>
    <row r="363" spans="1:9" x14ac:dyDescent="0.3">
      <c r="A363">
        <f>Sheet1!A363</f>
        <v>1362</v>
      </c>
      <c r="B363" t="str">
        <f>Sheet1!B363</f>
        <v>2025-04-13</v>
      </c>
      <c r="C363" t="str">
        <f>TEXT(Sheet1!B363,"YYYY-MM")</f>
        <v>2025-04</v>
      </c>
      <c r="D363" t="str">
        <f>Sheet1!D363</f>
        <v>Pune</v>
      </c>
      <c r="E363" t="str">
        <f>Sheet1!F363</f>
        <v>Furniture</v>
      </c>
      <c r="F363" t="str">
        <f>Sheet1!H363</f>
        <v>Ajay</v>
      </c>
      <c r="G363">
        <f>Sheet1!K363</f>
        <v>102768.15</v>
      </c>
      <c r="H363">
        <f>Sheet1!N363</f>
        <v>29784.35</v>
      </c>
      <c r="I363">
        <f t="shared" si="8"/>
        <v>1</v>
      </c>
    </row>
    <row r="364" spans="1:9" x14ac:dyDescent="0.3">
      <c r="A364">
        <f>Sheet1!A364</f>
        <v>1363</v>
      </c>
      <c r="B364" t="str">
        <f>Sheet1!B364</f>
        <v>2025-04-13</v>
      </c>
      <c r="C364" t="str">
        <f>TEXT(Sheet1!B364,"YYYY-MM")</f>
        <v>2025-04</v>
      </c>
      <c r="D364" t="str">
        <f>Sheet1!D364</f>
        <v>Pune</v>
      </c>
      <c r="E364" t="str">
        <f>Sheet1!F364</f>
        <v>Clothing</v>
      </c>
      <c r="F364" t="str">
        <f>Sheet1!H364</f>
        <v>Rahul</v>
      </c>
      <c r="G364">
        <f>Sheet1!K364</f>
        <v>4221.1000000000004</v>
      </c>
      <c r="H364">
        <f>Sheet1!N364</f>
        <v>1078.08</v>
      </c>
      <c r="I364">
        <f t="shared" si="8"/>
        <v>1</v>
      </c>
    </row>
    <row r="365" spans="1:9" x14ac:dyDescent="0.3">
      <c r="A365">
        <f>Sheet1!A365</f>
        <v>1364</v>
      </c>
      <c r="B365" t="str">
        <f>Sheet1!B365</f>
        <v>2025-04-14</v>
      </c>
      <c r="C365" t="str">
        <f>TEXT(Sheet1!B365,"YYYY-MM")</f>
        <v>2025-04</v>
      </c>
      <c r="D365" t="str">
        <f>Sheet1!D365</f>
        <v>Hyderabad</v>
      </c>
      <c r="E365" t="str">
        <f>Sheet1!F365</f>
        <v>Furniture</v>
      </c>
      <c r="F365" t="str">
        <f>Sheet1!H365</f>
        <v>Sneha</v>
      </c>
      <c r="G365">
        <f>Sheet1!K365</f>
        <v>13599.9</v>
      </c>
      <c r="H365">
        <f>Sheet1!N365</f>
        <v>2216.7600000000002</v>
      </c>
      <c r="I365">
        <f t="shared" si="8"/>
        <v>1</v>
      </c>
    </row>
    <row r="366" spans="1:9" x14ac:dyDescent="0.3">
      <c r="A366">
        <f>Sheet1!A366</f>
        <v>1365</v>
      </c>
      <c r="B366" t="str">
        <f>Sheet1!B366</f>
        <v>2025-04-14</v>
      </c>
      <c r="C366" t="str">
        <f>TEXT(Sheet1!B366,"YYYY-MM")</f>
        <v>2025-04</v>
      </c>
      <c r="D366" t="str">
        <f>Sheet1!D366</f>
        <v>Delhi</v>
      </c>
      <c r="E366" t="str">
        <f>Sheet1!F366</f>
        <v>Clothing</v>
      </c>
      <c r="F366" t="str">
        <f>Sheet1!H366</f>
        <v>Ajay</v>
      </c>
      <c r="G366">
        <f>Sheet1!K366</f>
        <v>64011</v>
      </c>
      <c r="H366">
        <f>Sheet1!N366</f>
        <v>13258.68</v>
      </c>
      <c r="I366">
        <f t="shared" si="8"/>
        <v>1</v>
      </c>
    </row>
    <row r="367" spans="1:9" x14ac:dyDescent="0.3">
      <c r="A367">
        <f>Sheet1!A367</f>
        <v>1366</v>
      </c>
      <c r="B367" t="str">
        <f>Sheet1!B367</f>
        <v>2025-04-14</v>
      </c>
      <c r="C367" t="str">
        <f>TEXT(Sheet1!B367,"YYYY-MM")</f>
        <v>2025-04</v>
      </c>
      <c r="D367" t="str">
        <f>Sheet1!D367</f>
        <v>Delhi</v>
      </c>
      <c r="E367" t="str">
        <f>Sheet1!F367</f>
        <v>Furniture</v>
      </c>
      <c r="F367" t="str">
        <f>Sheet1!H367</f>
        <v>Pooja</v>
      </c>
      <c r="G367">
        <f>Sheet1!K367</f>
        <v>190195</v>
      </c>
      <c r="H367">
        <f>Sheet1!N367</f>
        <v>33524.6</v>
      </c>
      <c r="I367">
        <f t="shared" si="8"/>
        <v>1</v>
      </c>
    </row>
    <row r="368" spans="1:9" x14ac:dyDescent="0.3">
      <c r="A368">
        <f>Sheet1!A368</f>
        <v>1367</v>
      </c>
      <c r="B368" t="str">
        <f>Sheet1!B368</f>
        <v>2025-04-15</v>
      </c>
      <c r="C368" t="str">
        <f>TEXT(Sheet1!B368,"YYYY-MM")</f>
        <v>2025-04</v>
      </c>
      <c r="D368" t="str">
        <f>Sheet1!D368</f>
        <v>Hyderabad</v>
      </c>
      <c r="E368" t="str">
        <f>Sheet1!F368</f>
        <v>Furniture</v>
      </c>
      <c r="F368" t="str">
        <f>Sheet1!H368</f>
        <v>Ajay</v>
      </c>
      <c r="G368">
        <f>Sheet1!K368</f>
        <v>51951</v>
      </c>
      <c r="H368">
        <f>Sheet1!N368</f>
        <v>12594.92</v>
      </c>
      <c r="I368">
        <f t="shared" si="8"/>
        <v>1</v>
      </c>
    </row>
    <row r="369" spans="1:9" x14ac:dyDescent="0.3">
      <c r="A369">
        <f>Sheet1!A369</f>
        <v>1368</v>
      </c>
      <c r="B369" t="str">
        <f>Sheet1!B369</f>
        <v>2025-04-15</v>
      </c>
      <c r="C369" t="str">
        <f>TEXT(Sheet1!B369,"YYYY-MM")</f>
        <v>2025-04</v>
      </c>
      <c r="D369" t="str">
        <f>Sheet1!D369</f>
        <v>Pune</v>
      </c>
      <c r="E369" t="str">
        <f>Sheet1!F369</f>
        <v>Clothing</v>
      </c>
      <c r="F369" t="str">
        <f>Sheet1!H369</f>
        <v>Sneha</v>
      </c>
      <c r="G369">
        <f>Sheet1!K369</f>
        <v>35932.050000000003</v>
      </c>
      <c r="H369">
        <f>Sheet1!N369</f>
        <v>6789.95</v>
      </c>
      <c r="I369">
        <f t="shared" si="8"/>
        <v>1</v>
      </c>
    </row>
    <row r="370" spans="1:9" x14ac:dyDescent="0.3">
      <c r="A370">
        <f>Sheet1!A370</f>
        <v>1369</v>
      </c>
      <c r="B370" t="str">
        <f>Sheet1!B370</f>
        <v>2025-04-15</v>
      </c>
      <c r="C370" t="str">
        <f>TEXT(Sheet1!B370,"YYYY-MM")</f>
        <v>2025-04</v>
      </c>
      <c r="D370" t="str">
        <f>Sheet1!D370</f>
        <v>Hyderabad</v>
      </c>
      <c r="E370" t="str">
        <f>Sheet1!F370</f>
        <v>Furniture</v>
      </c>
      <c r="F370" t="str">
        <f>Sheet1!H370</f>
        <v>Sneha</v>
      </c>
      <c r="G370">
        <f>Sheet1!K370</f>
        <v>30625.200000000001</v>
      </c>
      <c r="H370">
        <f>Sheet1!N370</f>
        <v>5555.16</v>
      </c>
      <c r="I370">
        <f t="shared" si="8"/>
        <v>1</v>
      </c>
    </row>
    <row r="371" spans="1:9" x14ac:dyDescent="0.3">
      <c r="A371">
        <f>Sheet1!A371</f>
        <v>1370</v>
      </c>
      <c r="B371" t="str">
        <f>Sheet1!B371</f>
        <v>2025-04-15</v>
      </c>
      <c r="C371" t="str">
        <f>TEXT(Sheet1!B371,"YYYY-MM")</f>
        <v>2025-04</v>
      </c>
      <c r="D371" t="str">
        <f>Sheet1!D371</f>
        <v>Hyderabad</v>
      </c>
      <c r="E371" t="str">
        <f>Sheet1!F371</f>
        <v>Electronics</v>
      </c>
      <c r="F371" t="str">
        <f>Sheet1!H371</f>
        <v>Pooja</v>
      </c>
      <c r="G371">
        <f>Sheet1!K371</f>
        <v>19434.599999999999</v>
      </c>
      <c r="H371">
        <f>Sheet1!N371</f>
        <v>5475.8</v>
      </c>
      <c r="I371">
        <f t="shared" si="8"/>
        <v>1</v>
      </c>
    </row>
    <row r="372" spans="1:9" x14ac:dyDescent="0.3">
      <c r="A372">
        <f>Sheet1!A372</f>
        <v>1371</v>
      </c>
      <c r="B372" t="str">
        <f>Sheet1!B372</f>
        <v>2025-04-16</v>
      </c>
      <c r="C372" t="str">
        <f>TEXT(Sheet1!B372,"YYYY-MM")</f>
        <v>2025-04</v>
      </c>
      <c r="D372" t="str">
        <f>Sheet1!D372</f>
        <v>Mumbai</v>
      </c>
      <c r="E372" t="str">
        <f>Sheet1!F372</f>
        <v>Electronics</v>
      </c>
      <c r="F372" t="str">
        <f>Sheet1!H372</f>
        <v>Pooja</v>
      </c>
      <c r="G372">
        <f>Sheet1!K372</f>
        <v>32313.599999999999</v>
      </c>
      <c r="H372">
        <f>Sheet1!N372</f>
        <v>7970.71</v>
      </c>
      <c r="I372">
        <f t="shared" si="8"/>
        <v>1</v>
      </c>
    </row>
    <row r="373" spans="1:9" x14ac:dyDescent="0.3">
      <c r="A373">
        <f>Sheet1!A373</f>
        <v>1372</v>
      </c>
      <c r="B373" t="str">
        <f>Sheet1!B373</f>
        <v>2025-04-16</v>
      </c>
      <c r="C373" t="str">
        <f>TEXT(Sheet1!B373,"YYYY-MM")</f>
        <v>2025-04</v>
      </c>
      <c r="D373" t="str">
        <f>Sheet1!D373</f>
        <v>Bangalore</v>
      </c>
      <c r="E373" t="str">
        <f>Sheet1!F373</f>
        <v>Furniture</v>
      </c>
      <c r="F373" t="str">
        <f>Sheet1!H373</f>
        <v>Sneha</v>
      </c>
      <c r="G373">
        <f>Sheet1!K373</f>
        <v>62339.85</v>
      </c>
      <c r="H373">
        <f>Sheet1!N373</f>
        <v>16119.06</v>
      </c>
      <c r="I373">
        <f t="shared" si="8"/>
        <v>1</v>
      </c>
    </row>
    <row r="374" spans="1:9" x14ac:dyDescent="0.3">
      <c r="A374">
        <f>Sheet1!A374</f>
        <v>1373</v>
      </c>
      <c r="B374" t="str">
        <f>Sheet1!B374</f>
        <v>2025-04-16</v>
      </c>
      <c r="C374" t="str">
        <f>TEXT(Sheet1!B374,"YYYY-MM")</f>
        <v>2025-04</v>
      </c>
      <c r="D374" t="str">
        <f>Sheet1!D374</f>
        <v>Hyderabad</v>
      </c>
      <c r="E374" t="str">
        <f>Sheet1!F374</f>
        <v>Electronics</v>
      </c>
      <c r="F374" t="str">
        <f>Sheet1!H374</f>
        <v>Pooja</v>
      </c>
      <c r="G374">
        <f>Sheet1!K374</f>
        <v>96662.85</v>
      </c>
      <c r="H374">
        <f>Sheet1!N374</f>
        <v>10200.77</v>
      </c>
      <c r="I374">
        <f t="shared" si="8"/>
        <v>1</v>
      </c>
    </row>
    <row r="375" spans="1:9" x14ac:dyDescent="0.3">
      <c r="A375">
        <f>Sheet1!A375</f>
        <v>1374</v>
      </c>
      <c r="B375" t="str">
        <f>Sheet1!B375</f>
        <v>2025-04-16</v>
      </c>
      <c r="C375" t="str">
        <f>TEXT(Sheet1!B375,"YYYY-MM")</f>
        <v>2025-04</v>
      </c>
      <c r="D375" t="str">
        <f>Sheet1!D375</f>
        <v>Delhi</v>
      </c>
      <c r="E375" t="str">
        <f>Sheet1!F375</f>
        <v>Clothing</v>
      </c>
      <c r="F375" t="str">
        <f>Sheet1!H375</f>
        <v>Pooja</v>
      </c>
      <c r="G375">
        <f>Sheet1!K375</f>
        <v>101271.6</v>
      </c>
      <c r="H375">
        <f>Sheet1!N375</f>
        <v>28970.04</v>
      </c>
      <c r="I375">
        <f t="shared" si="8"/>
        <v>1</v>
      </c>
    </row>
    <row r="376" spans="1:9" x14ac:dyDescent="0.3">
      <c r="A376">
        <f>Sheet1!A376</f>
        <v>1375</v>
      </c>
      <c r="B376" t="str">
        <f>Sheet1!B376</f>
        <v>2025-04-16</v>
      </c>
      <c r="C376" t="str">
        <f>TEXT(Sheet1!B376,"YYYY-MM")</f>
        <v>2025-04</v>
      </c>
      <c r="D376" t="str">
        <f>Sheet1!D376</f>
        <v>Delhi</v>
      </c>
      <c r="E376" t="str">
        <f>Sheet1!F376</f>
        <v>Electronics</v>
      </c>
      <c r="F376" t="str">
        <f>Sheet1!H376</f>
        <v>Pooja</v>
      </c>
      <c r="G376">
        <f>Sheet1!K376</f>
        <v>100380</v>
      </c>
      <c r="H376">
        <f>Sheet1!N376</f>
        <v>26137.74</v>
      </c>
      <c r="I376">
        <f t="shared" si="8"/>
        <v>1</v>
      </c>
    </row>
    <row r="377" spans="1:9" x14ac:dyDescent="0.3">
      <c r="A377">
        <f>Sheet1!A377</f>
        <v>1376</v>
      </c>
      <c r="B377" t="str">
        <f>Sheet1!B377</f>
        <v>2025-04-17</v>
      </c>
      <c r="C377" t="str">
        <f>TEXT(Sheet1!B377,"YYYY-MM")</f>
        <v>2025-04</v>
      </c>
      <c r="D377" t="str">
        <f>Sheet1!D377</f>
        <v>Pune</v>
      </c>
      <c r="E377" t="str">
        <f>Sheet1!F377</f>
        <v>Furniture</v>
      </c>
      <c r="F377" t="str">
        <f>Sheet1!H377</f>
        <v>Sneha</v>
      </c>
      <c r="G377">
        <f>Sheet1!K377</f>
        <v>7401.6</v>
      </c>
      <c r="H377">
        <f>Sheet1!N377</f>
        <v>2131.98</v>
      </c>
      <c r="I377">
        <f t="shared" si="8"/>
        <v>1</v>
      </c>
    </row>
    <row r="378" spans="1:9" x14ac:dyDescent="0.3">
      <c r="A378">
        <f>Sheet1!A378</f>
        <v>1377</v>
      </c>
      <c r="B378" t="str">
        <f>Sheet1!B378</f>
        <v>2025-04-17</v>
      </c>
      <c r="C378" t="str">
        <f>TEXT(Sheet1!B378,"YYYY-MM")</f>
        <v>2025-04</v>
      </c>
      <c r="D378" t="str">
        <f>Sheet1!D378</f>
        <v>Hyderabad</v>
      </c>
      <c r="E378" t="str">
        <f>Sheet1!F378</f>
        <v>Clothing</v>
      </c>
      <c r="F378" t="str">
        <f>Sheet1!H378</f>
        <v>Sneha</v>
      </c>
      <c r="G378">
        <f>Sheet1!K378</f>
        <v>83181</v>
      </c>
      <c r="H378">
        <f>Sheet1!N378</f>
        <v>20989.82</v>
      </c>
      <c r="I378">
        <f t="shared" si="8"/>
        <v>1</v>
      </c>
    </row>
    <row r="379" spans="1:9" x14ac:dyDescent="0.3">
      <c r="A379">
        <f>Sheet1!A379</f>
        <v>1378</v>
      </c>
      <c r="B379" t="str">
        <f>Sheet1!B379</f>
        <v>2025-04-17</v>
      </c>
      <c r="C379" t="str">
        <f>TEXT(Sheet1!B379,"YYYY-MM")</f>
        <v>2025-04</v>
      </c>
      <c r="D379" t="str">
        <f>Sheet1!D379</f>
        <v>Mumbai</v>
      </c>
      <c r="E379" t="str">
        <f>Sheet1!F379</f>
        <v>Furniture</v>
      </c>
      <c r="F379" t="str">
        <f>Sheet1!H379</f>
        <v>Rahul</v>
      </c>
      <c r="G379">
        <f>Sheet1!K379</f>
        <v>16959.599999999999</v>
      </c>
      <c r="H379">
        <f>Sheet1!N379</f>
        <v>4259.93</v>
      </c>
      <c r="I379">
        <f t="shared" si="8"/>
        <v>1</v>
      </c>
    </row>
    <row r="380" spans="1:9" x14ac:dyDescent="0.3">
      <c r="A380">
        <f>Sheet1!A380</f>
        <v>1379</v>
      </c>
      <c r="B380" t="str">
        <f>Sheet1!B380</f>
        <v>2025-04-17</v>
      </c>
      <c r="C380" t="str">
        <f>TEXT(Sheet1!B380,"YYYY-MM")</f>
        <v>2025-04</v>
      </c>
      <c r="D380" t="str">
        <f>Sheet1!D380</f>
        <v>Pune</v>
      </c>
      <c r="E380" t="str">
        <f>Sheet1!F380</f>
        <v>Electronics</v>
      </c>
      <c r="F380" t="str">
        <f>Sheet1!H380</f>
        <v>Pooja</v>
      </c>
      <c r="G380">
        <f>Sheet1!K380</f>
        <v>75794.5</v>
      </c>
      <c r="H380">
        <f>Sheet1!N380</f>
        <v>16250.24</v>
      </c>
      <c r="I380">
        <f t="shared" si="8"/>
        <v>1</v>
      </c>
    </row>
    <row r="381" spans="1:9" x14ac:dyDescent="0.3">
      <c r="A381">
        <f>Sheet1!A381</f>
        <v>1380</v>
      </c>
      <c r="B381" t="str">
        <f>Sheet1!B381</f>
        <v>2025-04-18</v>
      </c>
      <c r="C381" t="str">
        <f>TEXT(Sheet1!B381,"YYYY-MM")</f>
        <v>2025-04</v>
      </c>
      <c r="D381" t="str">
        <f>Sheet1!D381</f>
        <v>Pune</v>
      </c>
      <c r="E381" t="str">
        <f>Sheet1!F381</f>
        <v>Clothing</v>
      </c>
      <c r="F381" t="str">
        <f>Sheet1!H381</f>
        <v>Pooja</v>
      </c>
      <c r="G381">
        <f>Sheet1!K381</f>
        <v>16161.9</v>
      </c>
      <c r="H381">
        <f>Sheet1!N381</f>
        <v>4385.5200000000004</v>
      </c>
      <c r="I381">
        <f t="shared" si="8"/>
        <v>1</v>
      </c>
    </row>
    <row r="382" spans="1:9" x14ac:dyDescent="0.3">
      <c r="A382">
        <f>Sheet1!A382</f>
        <v>1381</v>
      </c>
      <c r="B382" t="str">
        <f>Sheet1!B382</f>
        <v>2025-04-18</v>
      </c>
      <c r="C382" t="str">
        <f>TEXT(Sheet1!B382,"YYYY-MM")</f>
        <v>2025-04</v>
      </c>
      <c r="D382" t="str">
        <f>Sheet1!D382</f>
        <v>Mumbai</v>
      </c>
      <c r="E382" t="str">
        <f>Sheet1!F382</f>
        <v>Electronics</v>
      </c>
      <c r="F382" t="str">
        <f>Sheet1!H382</f>
        <v>Ajay</v>
      </c>
      <c r="G382">
        <f>Sheet1!K382</f>
        <v>24065.4</v>
      </c>
      <c r="H382">
        <f>Sheet1!N382</f>
        <v>6699.21</v>
      </c>
      <c r="I382">
        <f t="shared" si="8"/>
        <v>1</v>
      </c>
    </row>
    <row r="383" spans="1:9" x14ac:dyDescent="0.3">
      <c r="A383">
        <f>Sheet1!A383</f>
        <v>1382</v>
      </c>
      <c r="B383" t="str">
        <f>Sheet1!B383</f>
        <v>2025-04-19</v>
      </c>
      <c r="C383" t="str">
        <f>TEXT(Sheet1!B383,"YYYY-MM")</f>
        <v>2025-04</v>
      </c>
      <c r="D383" t="str">
        <f>Sheet1!D383</f>
        <v>Bangalore</v>
      </c>
      <c r="E383" t="str">
        <f>Sheet1!F383</f>
        <v>Clothing</v>
      </c>
      <c r="F383" t="str">
        <f>Sheet1!H383</f>
        <v>Rahul</v>
      </c>
      <c r="G383">
        <f>Sheet1!K383</f>
        <v>166824</v>
      </c>
      <c r="H383">
        <f>Sheet1!N383</f>
        <v>19172.21</v>
      </c>
      <c r="I383">
        <f t="shared" si="8"/>
        <v>1</v>
      </c>
    </row>
    <row r="384" spans="1:9" x14ac:dyDescent="0.3">
      <c r="A384">
        <f>Sheet1!A384</f>
        <v>1383</v>
      </c>
      <c r="B384" t="str">
        <f>Sheet1!B384</f>
        <v>2025-04-19</v>
      </c>
      <c r="C384" t="str">
        <f>TEXT(Sheet1!B384,"YYYY-MM")</f>
        <v>2025-04</v>
      </c>
      <c r="D384" t="str">
        <f>Sheet1!D384</f>
        <v>Bangalore</v>
      </c>
      <c r="E384" t="str">
        <f>Sheet1!F384</f>
        <v>Electronics</v>
      </c>
      <c r="F384" t="str">
        <f>Sheet1!H384</f>
        <v>Ajay</v>
      </c>
      <c r="G384">
        <f>Sheet1!K384</f>
        <v>90934.95</v>
      </c>
      <c r="H384">
        <f>Sheet1!N384</f>
        <v>21611.64</v>
      </c>
      <c r="I384">
        <f t="shared" si="8"/>
        <v>1</v>
      </c>
    </row>
    <row r="385" spans="1:9" x14ac:dyDescent="0.3">
      <c r="A385">
        <f>Sheet1!A385</f>
        <v>1384</v>
      </c>
      <c r="B385" t="str">
        <f>Sheet1!B385</f>
        <v>2025-04-19</v>
      </c>
      <c r="C385" t="str">
        <f>TEXT(Sheet1!B385,"YYYY-MM")</f>
        <v>2025-04</v>
      </c>
      <c r="D385" t="str">
        <f>Sheet1!D385</f>
        <v>Bangalore</v>
      </c>
      <c r="E385" t="str">
        <f>Sheet1!F385</f>
        <v>Electronics</v>
      </c>
      <c r="F385" t="str">
        <f>Sheet1!H385</f>
        <v>Pooja</v>
      </c>
      <c r="G385">
        <f>Sheet1!K385</f>
        <v>84450.9</v>
      </c>
      <c r="H385">
        <f>Sheet1!N385</f>
        <v>20621.36</v>
      </c>
      <c r="I385">
        <f t="shared" si="8"/>
        <v>1</v>
      </c>
    </row>
    <row r="386" spans="1:9" x14ac:dyDescent="0.3">
      <c r="A386">
        <f>Sheet1!A386</f>
        <v>1385</v>
      </c>
      <c r="B386" t="str">
        <f>Sheet1!B386</f>
        <v>2025-04-20</v>
      </c>
      <c r="C386" t="str">
        <f>TEXT(Sheet1!B386,"YYYY-MM")</f>
        <v>2025-04</v>
      </c>
      <c r="D386" t="str">
        <f>Sheet1!D386</f>
        <v>Mumbai</v>
      </c>
      <c r="E386" t="str">
        <f>Sheet1!F386</f>
        <v>Clothing</v>
      </c>
      <c r="F386" t="str">
        <f>Sheet1!H386</f>
        <v>Ajay</v>
      </c>
      <c r="G386">
        <f>Sheet1!K386</f>
        <v>59406</v>
      </c>
      <c r="H386">
        <f>Sheet1!N386</f>
        <v>15176.11</v>
      </c>
      <c r="I386">
        <f t="shared" ref="I386:I449" si="9">IF(AND(OR(FilterCity="All",D386=FilterCity),OR(FilterCategory="All",E386=FilterCategory),OR(FilterRep="All",F386=FilterRep),C386&gt;=FilterMonthFrom,C386&lt;=FilterMonthTo),1,0)</f>
        <v>1</v>
      </c>
    </row>
    <row r="387" spans="1:9" x14ac:dyDescent="0.3">
      <c r="A387">
        <f>Sheet1!A387</f>
        <v>1386</v>
      </c>
      <c r="B387" t="str">
        <f>Sheet1!B387</f>
        <v>2025-04-20</v>
      </c>
      <c r="C387" t="str">
        <f>TEXT(Sheet1!B387,"YYYY-MM")</f>
        <v>2025-04</v>
      </c>
      <c r="D387" t="str">
        <f>Sheet1!D387</f>
        <v>Hyderabad</v>
      </c>
      <c r="E387" t="str">
        <f>Sheet1!F387</f>
        <v>Clothing</v>
      </c>
      <c r="F387" t="str">
        <f>Sheet1!H387</f>
        <v>Pooja</v>
      </c>
      <c r="G387">
        <f>Sheet1!K387</f>
        <v>1026</v>
      </c>
      <c r="H387">
        <f>Sheet1!N387</f>
        <v>131.38</v>
      </c>
      <c r="I387">
        <f t="shared" si="9"/>
        <v>1</v>
      </c>
    </row>
    <row r="388" spans="1:9" x14ac:dyDescent="0.3">
      <c r="A388">
        <f>Sheet1!A388</f>
        <v>1387</v>
      </c>
      <c r="B388" t="str">
        <f>Sheet1!B388</f>
        <v>2025-04-20</v>
      </c>
      <c r="C388" t="str">
        <f>TEXT(Sheet1!B388,"YYYY-MM")</f>
        <v>2025-04</v>
      </c>
      <c r="D388" t="str">
        <f>Sheet1!D388</f>
        <v>Bangalore</v>
      </c>
      <c r="E388" t="str">
        <f>Sheet1!F388</f>
        <v>Clothing</v>
      </c>
      <c r="F388" t="str">
        <f>Sheet1!H388</f>
        <v>Pooja</v>
      </c>
      <c r="G388">
        <f>Sheet1!K388</f>
        <v>54094.5</v>
      </c>
      <c r="H388">
        <f>Sheet1!N388</f>
        <v>8422.99</v>
      </c>
      <c r="I388">
        <f t="shared" si="9"/>
        <v>1</v>
      </c>
    </row>
    <row r="389" spans="1:9" x14ac:dyDescent="0.3">
      <c r="A389">
        <f>Sheet1!A389</f>
        <v>1388</v>
      </c>
      <c r="B389" t="str">
        <f>Sheet1!B389</f>
        <v>2025-04-20</v>
      </c>
      <c r="C389" t="str">
        <f>TEXT(Sheet1!B389,"YYYY-MM")</f>
        <v>2025-04</v>
      </c>
      <c r="D389" t="str">
        <f>Sheet1!D389</f>
        <v>Mumbai</v>
      </c>
      <c r="E389" t="str">
        <f>Sheet1!F389</f>
        <v>Furniture</v>
      </c>
      <c r="F389" t="str">
        <f>Sheet1!H389</f>
        <v>Sneha</v>
      </c>
      <c r="G389">
        <f>Sheet1!K389</f>
        <v>45896.4</v>
      </c>
      <c r="H389">
        <f>Sheet1!N389</f>
        <v>8995.7099999999991</v>
      </c>
      <c r="I389">
        <f t="shared" si="9"/>
        <v>1</v>
      </c>
    </row>
    <row r="390" spans="1:9" x14ac:dyDescent="0.3">
      <c r="A390">
        <f>Sheet1!A390</f>
        <v>1389</v>
      </c>
      <c r="B390" t="str">
        <f>Sheet1!B390</f>
        <v>2025-04-21</v>
      </c>
      <c r="C390" t="str">
        <f>TEXT(Sheet1!B390,"YYYY-MM")</f>
        <v>2025-04</v>
      </c>
      <c r="D390" t="str">
        <f>Sheet1!D390</f>
        <v>Hyderabad</v>
      </c>
      <c r="E390" t="str">
        <f>Sheet1!F390</f>
        <v>Electronics</v>
      </c>
      <c r="F390" t="str">
        <f>Sheet1!H390</f>
        <v>Sneha</v>
      </c>
      <c r="G390">
        <f>Sheet1!K390</f>
        <v>13983</v>
      </c>
      <c r="H390">
        <f>Sheet1!N390</f>
        <v>1562.21</v>
      </c>
      <c r="I390">
        <f t="shared" si="9"/>
        <v>1</v>
      </c>
    </row>
    <row r="391" spans="1:9" x14ac:dyDescent="0.3">
      <c r="A391">
        <f>Sheet1!A391</f>
        <v>1390</v>
      </c>
      <c r="B391" t="str">
        <f>Sheet1!B391</f>
        <v>2025-04-21</v>
      </c>
      <c r="C391" t="str">
        <f>TEXT(Sheet1!B391,"YYYY-MM")</f>
        <v>2025-04</v>
      </c>
      <c r="D391" t="str">
        <f>Sheet1!D391</f>
        <v>Mumbai</v>
      </c>
      <c r="E391" t="str">
        <f>Sheet1!F391</f>
        <v>Clothing</v>
      </c>
      <c r="F391" t="str">
        <f>Sheet1!H391</f>
        <v>Sneha</v>
      </c>
      <c r="G391">
        <f>Sheet1!K391</f>
        <v>46289.7</v>
      </c>
      <c r="H391">
        <f>Sheet1!N391</f>
        <v>5402.58</v>
      </c>
      <c r="I391">
        <f t="shared" si="9"/>
        <v>1</v>
      </c>
    </row>
    <row r="392" spans="1:9" x14ac:dyDescent="0.3">
      <c r="A392">
        <f>Sheet1!A392</f>
        <v>1391</v>
      </c>
      <c r="B392" t="str">
        <f>Sheet1!B392</f>
        <v>2025-04-21</v>
      </c>
      <c r="C392" t="str">
        <f>TEXT(Sheet1!B392,"YYYY-MM")</f>
        <v>2025-04</v>
      </c>
      <c r="D392" t="str">
        <f>Sheet1!D392</f>
        <v>Pune</v>
      </c>
      <c r="E392" t="str">
        <f>Sheet1!F392</f>
        <v>Clothing</v>
      </c>
      <c r="F392" t="str">
        <f>Sheet1!H392</f>
        <v>Rahul</v>
      </c>
      <c r="G392">
        <f>Sheet1!K392</f>
        <v>111896</v>
      </c>
      <c r="H392">
        <f>Sheet1!N392</f>
        <v>29982.06</v>
      </c>
      <c r="I392">
        <f t="shared" si="9"/>
        <v>1</v>
      </c>
    </row>
    <row r="393" spans="1:9" x14ac:dyDescent="0.3">
      <c r="A393">
        <f>Sheet1!A393</f>
        <v>1392</v>
      </c>
      <c r="B393" t="str">
        <f>Sheet1!B393</f>
        <v>2025-04-21</v>
      </c>
      <c r="C393" t="str">
        <f>TEXT(Sheet1!B393,"YYYY-MM")</f>
        <v>2025-04</v>
      </c>
      <c r="D393" t="str">
        <f>Sheet1!D393</f>
        <v>Delhi</v>
      </c>
      <c r="E393" t="str">
        <f>Sheet1!F393</f>
        <v>Furniture</v>
      </c>
      <c r="F393" t="str">
        <f>Sheet1!H393</f>
        <v>Pooja</v>
      </c>
      <c r="G393">
        <f>Sheet1!K393</f>
        <v>154778.75</v>
      </c>
      <c r="H393">
        <f>Sheet1!N393</f>
        <v>46179.839999999997</v>
      </c>
      <c r="I393">
        <f t="shared" si="9"/>
        <v>1</v>
      </c>
    </row>
    <row r="394" spans="1:9" x14ac:dyDescent="0.3">
      <c r="A394">
        <f>Sheet1!A394</f>
        <v>1393</v>
      </c>
      <c r="B394" t="str">
        <f>Sheet1!B394</f>
        <v>2025-04-22</v>
      </c>
      <c r="C394" t="str">
        <f>TEXT(Sheet1!B394,"YYYY-MM")</f>
        <v>2025-04</v>
      </c>
      <c r="D394" t="str">
        <f>Sheet1!D394</f>
        <v>Bangalore</v>
      </c>
      <c r="E394" t="str">
        <f>Sheet1!F394</f>
        <v>Electronics</v>
      </c>
      <c r="F394" t="str">
        <f>Sheet1!H394</f>
        <v>Pooja</v>
      </c>
      <c r="G394">
        <f>Sheet1!K394</f>
        <v>42251.25</v>
      </c>
      <c r="H394">
        <f>Sheet1!N394</f>
        <v>10902.5</v>
      </c>
      <c r="I394">
        <f t="shared" si="9"/>
        <v>1</v>
      </c>
    </row>
    <row r="395" spans="1:9" x14ac:dyDescent="0.3">
      <c r="A395">
        <f>Sheet1!A395</f>
        <v>1394</v>
      </c>
      <c r="B395" t="str">
        <f>Sheet1!B395</f>
        <v>2025-04-22</v>
      </c>
      <c r="C395" t="str">
        <f>TEXT(Sheet1!B395,"YYYY-MM")</f>
        <v>2025-04</v>
      </c>
      <c r="D395" t="str">
        <f>Sheet1!D395</f>
        <v>Delhi</v>
      </c>
      <c r="E395" t="str">
        <f>Sheet1!F395</f>
        <v>Clothing</v>
      </c>
      <c r="F395" t="str">
        <f>Sheet1!H395</f>
        <v>Sneha</v>
      </c>
      <c r="G395">
        <f>Sheet1!K395</f>
        <v>30920</v>
      </c>
      <c r="H395">
        <f>Sheet1!N395</f>
        <v>8050.68</v>
      </c>
      <c r="I395">
        <f t="shared" si="9"/>
        <v>1</v>
      </c>
    </row>
    <row r="396" spans="1:9" x14ac:dyDescent="0.3">
      <c r="A396">
        <f>Sheet1!A396</f>
        <v>1395</v>
      </c>
      <c r="B396" t="str">
        <f>Sheet1!B396</f>
        <v>2025-04-22</v>
      </c>
      <c r="C396" t="str">
        <f>TEXT(Sheet1!B396,"YYYY-MM")</f>
        <v>2025-04</v>
      </c>
      <c r="D396" t="str">
        <f>Sheet1!D396</f>
        <v>Mumbai</v>
      </c>
      <c r="E396" t="str">
        <f>Sheet1!F396</f>
        <v>Furniture</v>
      </c>
      <c r="F396" t="str">
        <f>Sheet1!H396</f>
        <v>Ajay</v>
      </c>
      <c r="G396">
        <f>Sheet1!K396</f>
        <v>63404</v>
      </c>
      <c r="H396">
        <f>Sheet1!N396</f>
        <v>14572.95</v>
      </c>
      <c r="I396">
        <f t="shared" si="9"/>
        <v>1</v>
      </c>
    </row>
    <row r="397" spans="1:9" x14ac:dyDescent="0.3">
      <c r="A397">
        <f>Sheet1!A397</f>
        <v>1396</v>
      </c>
      <c r="B397" t="str">
        <f>Sheet1!B397</f>
        <v>2025-04-22</v>
      </c>
      <c r="C397" t="str">
        <f>TEXT(Sheet1!B397,"YYYY-MM")</f>
        <v>2025-04</v>
      </c>
      <c r="D397" t="str">
        <f>Sheet1!D397</f>
        <v>Pune</v>
      </c>
      <c r="E397" t="str">
        <f>Sheet1!F397</f>
        <v>Furniture</v>
      </c>
      <c r="F397" t="str">
        <f>Sheet1!H397</f>
        <v>Pooja</v>
      </c>
      <c r="G397">
        <f>Sheet1!K397</f>
        <v>165307.5</v>
      </c>
      <c r="H397">
        <f>Sheet1!N397</f>
        <v>26879.84</v>
      </c>
      <c r="I397">
        <f t="shared" si="9"/>
        <v>1</v>
      </c>
    </row>
    <row r="398" spans="1:9" x14ac:dyDescent="0.3">
      <c r="A398">
        <f>Sheet1!A398</f>
        <v>1397</v>
      </c>
      <c r="B398" t="str">
        <f>Sheet1!B398</f>
        <v>2025-04-22</v>
      </c>
      <c r="C398" t="str">
        <f>TEXT(Sheet1!B398,"YYYY-MM")</f>
        <v>2025-04</v>
      </c>
      <c r="D398" t="str">
        <f>Sheet1!D398</f>
        <v>Delhi</v>
      </c>
      <c r="E398" t="str">
        <f>Sheet1!F398</f>
        <v>Clothing</v>
      </c>
      <c r="F398" t="str">
        <f>Sheet1!H398</f>
        <v>Pooja</v>
      </c>
      <c r="G398">
        <f>Sheet1!K398</f>
        <v>48619.8</v>
      </c>
      <c r="H398">
        <f>Sheet1!N398</f>
        <v>11462.68</v>
      </c>
      <c r="I398">
        <f t="shared" si="9"/>
        <v>1</v>
      </c>
    </row>
    <row r="399" spans="1:9" x14ac:dyDescent="0.3">
      <c r="A399">
        <f>Sheet1!A399</f>
        <v>1398</v>
      </c>
      <c r="B399" t="str">
        <f>Sheet1!B399</f>
        <v>2025-04-23</v>
      </c>
      <c r="C399" t="str">
        <f>TEXT(Sheet1!B399,"YYYY-MM")</f>
        <v>2025-04</v>
      </c>
      <c r="D399" t="str">
        <f>Sheet1!D399</f>
        <v>Hyderabad</v>
      </c>
      <c r="E399" t="str">
        <f>Sheet1!F399</f>
        <v>Furniture</v>
      </c>
      <c r="F399" t="str">
        <f>Sheet1!H399</f>
        <v>Rahul</v>
      </c>
      <c r="G399">
        <f>Sheet1!K399</f>
        <v>15044.2</v>
      </c>
      <c r="H399">
        <f>Sheet1!N399</f>
        <v>2800.18</v>
      </c>
      <c r="I399">
        <f t="shared" si="9"/>
        <v>1</v>
      </c>
    </row>
    <row r="400" spans="1:9" x14ac:dyDescent="0.3">
      <c r="A400">
        <f>Sheet1!A400</f>
        <v>1399</v>
      </c>
      <c r="B400" t="str">
        <f>Sheet1!B400</f>
        <v>2025-04-23</v>
      </c>
      <c r="C400" t="str">
        <f>TEXT(Sheet1!B400,"YYYY-MM")</f>
        <v>2025-04</v>
      </c>
      <c r="D400" t="str">
        <f>Sheet1!D400</f>
        <v>Bangalore</v>
      </c>
      <c r="E400" t="str">
        <f>Sheet1!F400</f>
        <v>Electronics</v>
      </c>
      <c r="F400" t="str">
        <f>Sheet1!H400</f>
        <v>Sneha</v>
      </c>
      <c r="G400">
        <f>Sheet1!K400</f>
        <v>107551.8</v>
      </c>
      <c r="H400">
        <f>Sheet1!N400</f>
        <v>26993.19</v>
      </c>
      <c r="I400">
        <f t="shared" si="9"/>
        <v>1</v>
      </c>
    </row>
    <row r="401" spans="1:9" x14ac:dyDescent="0.3">
      <c r="A401">
        <f>Sheet1!A401</f>
        <v>1400</v>
      </c>
      <c r="B401" t="str">
        <f>Sheet1!B401</f>
        <v>2025-04-24</v>
      </c>
      <c r="C401" t="str">
        <f>TEXT(Sheet1!B401,"YYYY-MM")</f>
        <v>2025-04</v>
      </c>
      <c r="D401" t="str">
        <f>Sheet1!D401</f>
        <v>Delhi</v>
      </c>
      <c r="E401" t="str">
        <f>Sheet1!F401</f>
        <v>Electronics</v>
      </c>
      <c r="F401" t="str">
        <f>Sheet1!H401</f>
        <v>Rahul</v>
      </c>
      <c r="G401">
        <f>Sheet1!K401</f>
        <v>11302.2</v>
      </c>
      <c r="H401">
        <f>Sheet1!N401</f>
        <v>3008.39</v>
      </c>
      <c r="I401">
        <f t="shared" si="9"/>
        <v>1</v>
      </c>
    </row>
    <row r="402" spans="1:9" x14ac:dyDescent="0.3">
      <c r="A402">
        <f>Sheet1!A402</f>
        <v>1401</v>
      </c>
      <c r="B402" t="str">
        <f>Sheet1!B402</f>
        <v>2025-04-24</v>
      </c>
      <c r="C402" t="str">
        <f>TEXT(Sheet1!B402,"YYYY-MM")</f>
        <v>2025-04</v>
      </c>
      <c r="D402" t="str">
        <f>Sheet1!D402</f>
        <v>Bangalore</v>
      </c>
      <c r="E402" t="str">
        <f>Sheet1!F402</f>
        <v>Furniture</v>
      </c>
      <c r="F402" t="str">
        <f>Sheet1!H402</f>
        <v>Pooja</v>
      </c>
      <c r="G402">
        <f>Sheet1!K402</f>
        <v>27263.7</v>
      </c>
      <c r="H402">
        <f>Sheet1!N402</f>
        <v>5332.6</v>
      </c>
      <c r="I402">
        <f t="shared" si="9"/>
        <v>1</v>
      </c>
    </row>
    <row r="403" spans="1:9" x14ac:dyDescent="0.3">
      <c r="A403">
        <f>Sheet1!A403</f>
        <v>1402</v>
      </c>
      <c r="B403" t="str">
        <f>Sheet1!B403</f>
        <v>2025-04-24</v>
      </c>
      <c r="C403" t="str">
        <f>TEXT(Sheet1!B403,"YYYY-MM")</f>
        <v>2025-04</v>
      </c>
      <c r="D403" t="str">
        <f>Sheet1!D403</f>
        <v>Pune</v>
      </c>
      <c r="E403" t="str">
        <f>Sheet1!F403</f>
        <v>Furniture</v>
      </c>
      <c r="F403" t="str">
        <f>Sheet1!H403</f>
        <v>Rahul</v>
      </c>
      <c r="G403">
        <f>Sheet1!K403</f>
        <v>48937</v>
      </c>
      <c r="H403">
        <f>Sheet1!N403</f>
        <v>11601.6</v>
      </c>
      <c r="I403">
        <f t="shared" si="9"/>
        <v>1</v>
      </c>
    </row>
    <row r="404" spans="1:9" x14ac:dyDescent="0.3">
      <c r="A404">
        <f>Sheet1!A404</f>
        <v>1403</v>
      </c>
      <c r="B404" t="str">
        <f>Sheet1!B404</f>
        <v>2025-04-25</v>
      </c>
      <c r="C404" t="str">
        <f>TEXT(Sheet1!B404,"YYYY-MM")</f>
        <v>2025-04</v>
      </c>
      <c r="D404" t="str">
        <f>Sheet1!D404</f>
        <v>Pune</v>
      </c>
      <c r="E404" t="str">
        <f>Sheet1!F404</f>
        <v>Electronics</v>
      </c>
      <c r="F404" t="str">
        <f>Sheet1!H404</f>
        <v>Sneha</v>
      </c>
      <c r="G404">
        <f>Sheet1!K404</f>
        <v>125874.8</v>
      </c>
      <c r="H404">
        <f>Sheet1!N404</f>
        <v>30876.25</v>
      </c>
      <c r="I404">
        <f t="shared" si="9"/>
        <v>1</v>
      </c>
    </row>
    <row r="405" spans="1:9" x14ac:dyDescent="0.3">
      <c r="A405">
        <f>Sheet1!A405</f>
        <v>1404</v>
      </c>
      <c r="B405" t="str">
        <f>Sheet1!B405</f>
        <v>2025-04-25</v>
      </c>
      <c r="C405" t="str">
        <f>TEXT(Sheet1!B405,"YYYY-MM")</f>
        <v>2025-04</v>
      </c>
      <c r="D405" t="str">
        <f>Sheet1!D405</f>
        <v>Mumbai</v>
      </c>
      <c r="E405" t="str">
        <f>Sheet1!F405</f>
        <v>Clothing</v>
      </c>
      <c r="F405" t="str">
        <f>Sheet1!H405</f>
        <v>Rahul</v>
      </c>
      <c r="G405">
        <f>Sheet1!K405</f>
        <v>30991.85</v>
      </c>
      <c r="H405">
        <f>Sheet1!N405</f>
        <v>4199.6899999999996</v>
      </c>
      <c r="I405">
        <f t="shared" si="9"/>
        <v>1</v>
      </c>
    </row>
    <row r="406" spans="1:9" x14ac:dyDescent="0.3">
      <c r="A406">
        <f>Sheet1!A406</f>
        <v>1405</v>
      </c>
      <c r="B406" t="str">
        <f>Sheet1!B406</f>
        <v>2025-04-25</v>
      </c>
      <c r="C406" t="str">
        <f>TEXT(Sheet1!B406,"YYYY-MM")</f>
        <v>2025-04</v>
      </c>
      <c r="D406" t="str">
        <f>Sheet1!D406</f>
        <v>Mumbai</v>
      </c>
      <c r="E406" t="str">
        <f>Sheet1!F406</f>
        <v>Electronics</v>
      </c>
      <c r="F406" t="str">
        <f>Sheet1!H406</f>
        <v>Sneha</v>
      </c>
      <c r="G406">
        <f>Sheet1!K406</f>
        <v>28834.400000000001</v>
      </c>
      <c r="H406">
        <f>Sheet1!N406</f>
        <v>5805.06</v>
      </c>
      <c r="I406">
        <f t="shared" si="9"/>
        <v>1</v>
      </c>
    </row>
    <row r="407" spans="1:9" x14ac:dyDescent="0.3">
      <c r="A407">
        <f>Sheet1!A407</f>
        <v>1406</v>
      </c>
      <c r="B407" t="str">
        <f>Sheet1!B407</f>
        <v>2025-04-26</v>
      </c>
      <c r="C407" t="str">
        <f>TEXT(Sheet1!B407,"YYYY-MM")</f>
        <v>2025-04</v>
      </c>
      <c r="D407" t="str">
        <f>Sheet1!D407</f>
        <v>Mumbai</v>
      </c>
      <c r="E407" t="str">
        <f>Sheet1!F407</f>
        <v>Clothing</v>
      </c>
      <c r="F407" t="str">
        <f>Sheet1!H407</f>
        <v>Rahul</v>
      </c>
      <c r="G407">
        <f>Sheet1!K407</f>
        <v>22658.45</v>
      </c>
      <c r="H407">
        <f>Sheet1!N407</f>
        <v>2430.33</v>
      </c>
      <c r="I407">
        <f t="shared" si="9"/>
        <v>1</v>
      </c>
    </row>
    <row r="408" spans="1:9" x14ac:dyDescent="0.3">
      <c r="A408">
        <f>Sheet1!A408</f>
        <v>1407</v>
      </c>
      <c r="B408" t="str">
        <f>Sheet1!B408</f>
        <v>2025-04-26</v>
      </c>
      <c r="C408" t="str">
        <f>TEXT(Sheet1!B408,"YYYY-MM")</f>
        <v>2025-04</v>
      </c>
      <c r="D408" t="str">
        <f>Sheet1!D408</f>
        <v>Bangalore</v>
      </c>
      <c r="E408" t="str">
        <f>Sheet1!F408</f>
        <v>Clothing</v>
      </c>
      <c r="F408" t="str">
        <f>Sheet1!H408</f>
        <v>Pooja</v>
      </c>
      <c r="G408">
        <f>Sheet1!K408</f>
        <v>60786.9</v>
      </c>
      <c r="H408">
        <f>Sheet1!N408</f>
        <v>14412.25</v>
      </c>
      <c r="I408">
        <f t="shared" si="9"/>
        <v>1</v>
      </c>
    </row>
    <row r="409" spans="1:9" x14ac:dyDescent="0.3">
      <c r="A409">
        <f>Sheet1!A409</f>
        <v>1408</v>
      </c>
      <c r="B409" t="str">
        <f>Sheet1!B409</f>
        <v>2025-04-27</v>
      </c>
      <c r="C409" t="str">
        <f>TEXT(Sheet1!B409,"YYYY-MM")</f>
        <v>2025-04</v>
      </c>
      <c r="D409" t="str">
        <f>Sheet1!D409</f>
        <v>Pune</v>
      </c>
      <c r="E409" t="str">
        <f>Sheet1!F409</f>
        <v>Electronics</v>
      </c>
      <c r="F409" t="str">
        <f>Sheet1!H409</f>
        <v>Rahul</v>
      </c>
      <c r="G409">
        <f>Sheet1!K409</f>
        <v>160518.25</v>
      </c>
      <c r="H409">
        <f>Sheet1!N409</f>
        <v>36222.019999999997</v>
      </c>
      <c r="I409">
        <f t="shared" si="9"/>
        <v>1</v>
      </c>
    </row>
    <row r="410" spans="1:9" x14ac:dyDescent="0.3">
      <c r="A410">
        <f>Sheet1!A410</f>
        <v>1409</v>
      </c>
      <c r="B410" t="str">
        <f>Sheet1!B410</f>
        <v>2025-04-27</v>
      </c>
      <c r="C410" t="str">
        <f>TEXT(Sheet1!B410,"YYYY-MM")</f>
        <v>2025-04</v>
      </c>
      <c r="D410" t="str">
        <f>Sheet1!D410</f>
        <v>Bangalore</v>
      </c>
      <c r="E410" t="str">
        <f>Sheet1!F410</f>
        <v>Furniture</v>
      </c>
      <c r="F410" t="str">
        <f>Sheet1!H410</f>
        <v>Rahul</v>
      </c>
      <c r="G410">
        <f>Sheet1!K410</f>
        <v>84254.399999999994</v>
      </c>
      <c r="H410">
        <f>Sheet1!N410</f>
        <v>14655.3</v>
      </c>
      <c r="I410">
        <f t="shared" si="9"/>
        <v>1</v>
      </c>
    </row>
    <row r="411" spans="1:9" x14ac:dyDescent="0.3">
      <c r="A411">
        <f>Sheet1!A411</f>
        <v>1410</v>
      </c>
      <c r="B411" t="str">
        <f>Sheet1!B411</f>
        <v>2025-04-27</v>
      </c>
      <c r="C411" t="str">
        <f>TEXT(Sheet1!B411,"YYYY-MM")</f>
        <v>2025-04</v>
      </c>
      <c r="D411" t="str">
        <f>Sheet1!D411</f>
        <v>Mumbai</v>
      </c>
      <c r="E411" t="str">
        <f>Sheet1!F411</f>
        <v>Electronics</v>
      </c>
      <c r="F411" t="str">
        <f>Sheet1!H411</f>
        <v>Sneha</v>
      </c>
      <c r="G411">
        <f>Sheet1!K411</f>
        <v>61351</v>
      </c>
      <c r="H411">
        <f>Sheet1!N411</f>
        <v>16374.45</v>
      </c>
      <c r="I411">
        <f t="shared" si="9"/>
        <v>1</v>
      </c>
    </row>
    <row r="412" spans="1:9" x14ac:dyDescent="0.3">
      <c r="A412">
        <f>Sheet1!A412</f>
        <v>1411</v>
      </c>
      <c r="B412" t="str">
        <f>Sheet1!B412</f>
        <v>2025-04-28</v>
      </c>
      <c r="C412" t="str">
        <f>TEXT(Sheet1!B412,"YYYY-MM")</f>
        <v>2025-04</v>
      </c>
      <c r="D412" t="str">
        <f>Sheet1!D412</f>
        <v>Mumbai</v>
      </c>
      <c r="E412" t="str">
        <f>Sheet1!F412</f>
        <v>Electronics</v>
      </c>
      <c r="F412" t="str">
        <f>Sheet1!H412</f>
        <v>Ajay</v>
      </c>
      <c r="G412">
        <f>Sheet1!K412</f>
        <v>70050.600000000006</v>
      </c>
      <c r="H412">
        <f>Sheet1!N412</f>
        <v>11209.7</v>
      </c>
      <c r="I412">
        <f t="shared" si="9"/>
        <v>1</v>
      </c>
    </row>
    <row r="413" spans="1:9" x14ac:dyDescent="0.3">
      <c r="A413">
        <f>Sheet1!A413</f>
        <v>1412</v>
      </c>
      <c r="B413" t="str">
        <f>Sheet1!B413</f>
        <v>2025-04-28</v>
      </c>
      <c r="C413" t="str">
        <f>TEXT(Sheet1!B413,"YYYY-MM")</f>
        <v>2025-04</v>
      </c>
      <c r="D413" t="str">
        <f>Sheet1!D413</f>
        <v>Bangalore</v>
      </c>
      <c r="E413" t="str">
        <f>Sheet1!F413</f>
        <v>Furniture</v>
      </c>
      <c r="F413" t="str">
        <f>Sheet1!H413</f>
        <v>Ajay</v>
      </c>
      <c r="G413">
        <f>Sheet1!K413</f>
        <v>59877.9</v>
      </c>
      <c r="H413">
        <f>Sheet1!N413</f>
        <v>11611.09</v>
      </c>
      <c r="I413">
        <f t="shared" si="9"/>
        <v>1</v>
      </c>
    </row>
    <row r="414" spans="1:9" x14ac:dyDescent="0.3">
      <c r="A414">
        <f>Sheet1!A414</f>
        <v>1413</v>
      </c>
      <c r="B414" t="str">
        <f>Sheet1!B414</f>
        <v>2025-04-28</v>
      </c>
      <c r="C414" t="str">
        <f>TEXT(Sheet1!B414,"YYYY-MM")</f>
        <v>2025-04</v>
      </c>
      <c r="D414" t="str">
        <f>Sheet1!D414</f>
        <v>Pune</v>
      </c>
      <c r="E414" t="str">
        <f>Sheet1!F414</f>
        <v>Electronics</v>
      </c>
      <c r="F414" t="str">
        <f>Sheet1!H414</f>
        <v>Rahul</v>
      </c>
      <c r="G414">
        <f>Sheet1!K414</f>
        <v>97822.25</v>
      </c>
      <c r="H414">
        <f>Sheet1!N414</f>
        <v>18583.68</v>
      </c>
      <c r="I414">
        <f t="shared" si="9"/>
        <v>1</v>
      </c>
    </row>
    <row r="415" spans="1:9" x14ac:dyDescent="0.3">
      <c r="A415">
        <f>Sheet1!A415</f>
        <v>1414</v>
      </c>
      <c r="B415" t="str">
        <f>Sheet1!B415</f>
        <v>2025-04-28</v>
      </c>
      <c r="C415" t="str">
        <f>TEXT(Sheet1!B415,"YYYY-MM")</f>
        <v>2025-04</v>
      </c>
      <c r="D415" t="str">
        <f>Sheet1!D415</f>
        <v>Mumbai</v>
      </c>
      <c r="E415" t="str">
        <f>Sheet1!F415</f>
        <v>Electronics</v>
      </c>
      <c r="F415" t="str">
        <f>Sheet1!H415</f>
        <v>Rahul</v>
      </c>
      <c r="G415">
        <f>Sheet1!K415</f>
        <v>16997.400000000001</v>
      </c>
      <c r="H415">
        <f>Sheet1!N415</f>
        <v>2141.98</v>
      </c>
      <c r="I415">
        <f t="shared" si="9"/>
        <v>1</v>
      </c>
    </row>
    <row r="416" spans="1:9" x14ac:dyDescent="0.3">
      <c r="A416">
        <f>Sheet1!A416</f>
        <v>1415</v>
      </c>
      <c r="B416" t="str">
        <f>Sheet1!B416</f>
        <v>2025-04-29</v>
      </c>
      <c r="C416" t="str">
        <f>TEXT(Sheet1!B416,"YYYY-MM")</f>
        <v>2025-04</v>
      </c>
      <c r="D416" t="str">
        <f>Sheet1!D416</f>
        <v>Pune</v>
      </c>
      <c r="E416" t="str">
        <f>Sheet1!F416</f>
        <v>Furniture</v>
      </c>
      <c r="F416" t="str">
        <f>Sheet1!H416</f>
        <v>Sneha</v>
      </c>
      <c r="G416">
        <f>Sheet1!K416</f>
        <v>105320.1</v>
      </c>
      <c r="H416">
        <f>Sheet1!N416</f>
        <v>30747.77</v>
      </c>
      <c r="I416">
        <f t="shared" si="9"/>
        <v>1</v>
      </c>
    </row>
    <row r="417" spans="1:9" x14ac:dyDescent="0.3">
      <c r="A417">
        <f>Sheet1!A417</f>
        <v>1416</v>
      </c>
      <c r="B417" t="str">
        <f>Sheet1!B417</f>
        <v>2025-04-29</v>
      </c>
      <c r="C417" t="str">
        <f>TEXT(Sheet1!B417,"YYYY-MM")</f>
        <v>2025-04</v>
      </c>
      <c r="D417" t="str">
        <f>Sheet1!D417</f>
        <v>Bangalore</v>
      </c>
      <c r="E417" t="str">
        <f>Sheet1!F417</f>
        <v>Furniture</v>
      </c>
      <c r="F417" t="str">
        <f>Sheet1!H417</f>
        <v>Rahul</v>
      </c>
      <c r="G417">
        <f>Sheet1!K417</f>
        <v>32070.6</v>
      </c>
      <c r="H417">
        <f>Sheet1!N417</f>
        <v>3696.88</v>
      </c>
      <c r="I417">
        <f t="shared" si="9"/>
        <v>1</v>
      </c>
    </row>
    <row r="418" spans="1:9" x14ac:dyDescent="0.3">
      <c r="A418">
        <f>Sheet1!A418</f>
        <v>1417</v>
      </c>
      <c r="B418" t="str">
        <f>Sheet1!B418</f>
        <v>2025-04-29</v>
      </c>
      <c r="C418" t="str">
        <f>TEXT(Sheet1!B418,"YYYY-MM")</f>
        <v>2025-04</v>
      </c>
      <c r="D418" t="str">
        <f>Sheet1!D418</f>
        <v>Delhi</v>
      </c>
      <c r="E418" t="str">
        <f>Sheet1!F418</f>
        <v>Clothing</v>
      </c>
      <c r="F418" t="str">
        <f>Sheet1!H418</f>
        <v>Sneha</v>
      </c>
      <c r="G418">
        <f>Sheet1!K418</f>
        <v>77514.899999999994</v>
      </c>
      <c r="H418">
        <f>Sheet1!N418</f>
        <v>19293.849999999999</v>
      </c>
      <c r="I418">
        <f t="shared" si="9"/>
        <v>1</v>
      </c>
    </row>
    <row r="419" spans="1:9" x14ac:dyDescent="0.3">
      <c r="A419">
        <f>Sheet1!A419</f>
        <v>1418</v>
      </c>
      <c r="B419" t="str">
        <f>Sheet1!B419</f>
        <v>2025-04-29</v>
      </c>
      <c r="C419" t="str">
        <f>TEXT(Sheet1!B419,"YYYY-MM")</f>
        <v>2025-04</v>
      </c>
      <c r="D419" t="str">
        <f>Sheet1!D419</f>
        <v>Bangalore</v>
      </c>
      <c r="E419" t="str">
        <f>Sheet1!F419</f>
        <v>Clothing</v>
      </c>
      <c r="F419" t="str">
        <f>Sheet1!H419</f>
        <v>Ajay</v>
      </c>
      <c r="G419">
        <f>Sheet1!K419</f>
        <v>11804</v>
      </c>
      <c r="H419">
        <f>Sheet1!N419</f>
        <v>1946.64</v>
      </c>
      <c r="I419">
        <f t="shared" si="9"/>
        <v>1</v>
      </c>
    </row>
    <row r="420" spans="1:9" x14ac:dyDescent="0.3">
      <c r="A420">
        <f>Sheet1!A420</f>
        <v>1419</v>
      </c>
      <c r="B420" t="str">
        <f>Sheet1!B420</f>
        <v>2025-04-30</v>
      </c>
      <c r="C420" t="str">
        <f>TEXT(Sheet1!B420,"YYYY-MM")</f>
        <v>2025-04</v>
      </c>
      <c r="D420" t="str">
        <f>Sheet1!D420</f>
        <v>Bangalore</v>
      </c>
      <c r="E420" t="str">
        <f>Sheet1!F420</f>
        <v>Electronics</v>
      </c>
      <c r="F420" t="str">
        <f>Sheet1!H420</f>
        <v>Sneha</v>
      </c>
      <c r="G420">
        <f>Sheet1!K420</f>
        <v>166599.6</v>
      </c>
      <c r="H420">
        <f>Sheet1!N420</f>
        <v>17176.16</v>
      </c>
      <c r="I420">
        <f t="shared" si="9"/>
        <v>1</v>
      </c>
    </row>
    <row r="421" spans="1:9" x14ac:dyDescent="0.3">
      <c r="A421">
        <f>Sheet1!A421</f>
        <v>1420</v>
      </c>
      <c r="B421" t="str">
        <f>Sheet1!B421</f>
        <v>2025-04-30</v>
      </c>
      <c r="C421" t="str">
        <f>TEXT(Sheet1!B421,"YYYY-MM")</f>
        <v>2025-04</v>
      </c>
      <c r="D421" t="str">
        <f>Sheet1!D421</f>
        <v>Bangalore</v>
      </c>
      <c r="E421" t="str">
        <f>Sheet1!F421</f>
        <v>Clothing</v>
      </c>
      <c r="F421" t="str">
        <f>Sheet1!H421</f>
        <v>Ajay</v>
      </c>
      <c r="G421">
        <f>Sheet1!K421</f>
        <v>95320</v>
      </c>
      <c r="H421">
        <f>Sheet1!N421</f>
        <v>10894.01</v>
      </c>
      <c r="I421">
        <f t="shared" si="9"/>
        <v>1</v>
      </c>
    </row>
    <row r="422" spans="1:9" x14ac:dyDescent="0.3">
      <c r="A422">
        <f>Sheet1!A422</f>
        <v>1421</v>
      </c>
      <c r="B422" t="str">
        <f>Sheet1!B422</f>
        <v>2025-05-01</v>
      </c>
      <c r="C422" t="str">
        <f>TEXT(Sheet1!B422,"YYYY-MM")</f>
        <v>2025-05</v>
      </c>
      <c r="D422" t="str">
        <f>Sheet1!D422</f>
        <v>Bangalore</v>
      </c>
      <c r="E422" t="str">
        <f>Sheet1!F422</f>
        <v>Clothing</v>
      </c>
      <c r="F422" t="str">
        <f>Sheet1!H422</f>
        <v>Pooja</v>
      </c>
      <c r="G422">
        <f>Sheet1!K422</f>
        <v>22879.8</v>
      </c>
      <c r="H422">
        <f>Sheet1!N422</f>
        <v>2337.84</v>
      </c>
      <c r="I422">
        <f t="shared" si="9"/>
        <v>1</v>
      </c>
    </row>
    <row r="423" spans="1:9" x14ac:dyDescent="0.3">
      <c r="A423">
        <f>Sheet1!A423</f>
        <v>1422</v>
      </c>
      <c r="B423" t="str">
        <f>Sheet1!B423</f>
        <v>2025-05-01</v>
      </c>
      <c r="C423" t="str">
        <f>TEXT(Sheet1!B423,"YYYY-MM")</f>
        <v>2025-05</v>
      </c>
      <c r="D423" t="str">
        <f>Sheet1!D423</f>
        <v>Bangalore</v>
      </c>
      <c r="E423" t="str">
        <f>Sheet1!F423</f>
        <v>Clothing</v>
      </c>
      <c r="F423" t="str">
        <f>Sheet1!H423</f>
        <v>Ajay</v>
      </c>
      <c r="G423">
        <f>Sheet1!K423</f>
        <v>46760.9</v>
      </c>
      <c r="H423">
        <f>Sheet1!N423</f>
        <v>12141.69</v>
      </c>
      <c r="I423">
        <f t="shared" si="9"/>
        <v>1</v>
      </c>
    </row>
    <row r="424" spans="1:9" x14ac:dyDescent="0.3">
      <c r="A424">
        <f>Sheet1!A424</f>
        <v>1423</v>
      </c>
      <c r="B424" t="str">
        <f>Sheet1!B424</f>
        <v>2025-05-02</v>
      </c>
      <c r="C424" t="str">
        <f>TEXT(Sheet1!B424,"YYYY-MM")</f>
        <v>2025-05</v>
      </c>
      <c r="D424" t="str">
        <f>Sheet1!D424</f>
        <v>Bangalore</v>
      </c>
      <c r="E424" t="str">
        <f>Sheet1!F424</f>
        <v>Clothing</v>
      </c>
      <c r="F424" t="str">
        <f>Sheet1!H424</f>
        <v>Pooja</v>
      </c>
      <c r="G424">
        <f>Sheet1!K424</f>
        <v>28500</v>
      </c>
      <c r="H424">
        <f>Sheet1!N424</f>
        <v>6254.15</v>
      </c>
      <c r="I424">
        <f t="shared" si="9"/>
        <v>1</v>
      </c>
    </row>
    <row r="425" spans="1:9" x14ac:dyDescent="0.3">
      <c r="A425">
        <f>Sheet1!A425</f>
        <v>1424</v>
      </c>
      <c r="B425" t="str">
        <f>Sheet1!B425</f>
        <v>2025-05-02</v>
      </c>
      <c r="C425" t="str">
        <f>TEXT(Sheet1!B425,"YYYY-MM")</f>
        <v>2025-05</v>
      </c>
      <c r="D425" t="str">
        <f>Sheet1!D425</f>
        <v>Mumbai</v>
      </c>
      <c r="E425" t="str">
        <f>Sheet1!F425</f>
        <v>Furniture</v>
      </c>
      <c r="F425" t="str">
        <f>Sheet1!H425</f>
        <v>Ajay</v>
      </c>
      <c r="G425">
        <f>Sheet1!K425</f>
        <v>5186.7</v>
      </c>
      <c r="H425">
        <f>Sheet1!N425</f>
        <v>1313.89</v>
      </c>
      <c r="I425">
        <f t="shared" si="9"/>
        <v>1</v>
      </c>
    </row>
    <row r="426" spans="1:9" x14ac:dyDescent="0.3">
      <c r="A426">
        <f>Sheet1!A426</f>
        <v>1425</v>
      </c>
      <c r="B426" t="str">
        <f>Sheet1!B426</f>
        <v>2025-05-02</v>
      </c>
      <c r="C426" t="str">
        <f>TEXT(Sheet1!B426,"YYYY-MM")</f>
        <v>2025-05</v>
      </c>
      <c r="D426" t="str">
        <f>Sheet1!D426</f>
        <v>Pune</v>
      </c>
      <c r="E426" t="str">
        <f>Sheet1!F426</f>
        <v>Clothing</v>
      </c>
      <c r="F426" t="str">
        <f>Sheet1!H426</f>
        <v>Rahul</v>
      </c>
      <c r="G426">
        <f>Sheet1!K426</f>
        <v>120617.1</v>
      </c>
      <c r="H426">
        <f>Sheet1!N426</f>
        <v>34188.82</v>
      </c>
      <c r="I426">
        <f t="shared" si="9"/>
        <v>1</v>
      </c>
    </row>
    <row r="427" spans="1:9" x14ac:dyDescent="0.3">
      <c r="A427">
        <f>Sheet1!A427</f>
        <v>1426</v>
      </c>
      <c r="B427" t="str">
        <f>Sheet1!B427</f>
        <v>2025-05-03</v>
      </c>
      <c r="C427" t="str">
        <f>TEXT(Sheet1!B427,"YYYY-MM")</f>
        <v>2025-05</v>
      </c>
      <c r="D427" t="str">
        <f>Sheet1!D427</f>
        <v>Bangalore</v>
      </c>
      <c r="E427" t="str">
        <f>Sheet1!F427</f>
        <v>Clothing</v>
      </c>
      <c r="F427" t="str">
        <f>Sheet1!H427</f>
        <v>Rahul</v>
      </c>
      <c r="G427">
        <f>Sheet1!K427</f>
        <v>37788.15</v>
      </c>
      <c r="H427">
        <f>Sheet1!N427</f>
        <v>6444.37</v>
      </c>
      <c r="I427">
        <f t="shared" si="9"/>
        <v>1</v>
      </c>
    </row>
    <row r="428" spans="1:9" x14ac:dyDescent="0.3">
      <c r="A428">
        <f>Sheet1!A428</f>
        <v>1427</v>
      </c>
      <c r="B428" t="str">
        <f>Sheet1!B428</f>
        <v>2025-05-03</v>
      </c>
      <c r="C428" t="str">
        <f>TEXT(Sheet1!B428,"YYYY-MM")</f>
        <v>2025-05</v>
      </c>
      <c r="D428" t="str">
        <f>Sheet1!D428</f>
        <v>Bangalore</v>
      </c>
      <c r="E428" t="str">
        <f>Sheet1!F428</f>
        <v>Furniture</v>
      </c>
      <c r="F428" t="str">
        <f>Sheet1!H428</f>
        <v>Ajay</v>
      </c>
      <c r="G428">
        <f>Sheet1!K428</f>
        <v>14504.4</v>
      </c>
      <c r="H428">
        <f>Sheet1!N428</f>
        <v>1526.05</v>
      </c>
      <c r="I428">
        <f t="shared" si="9"/>
        <v>1</v>
      </c>
    </row>
    <row r="429" spans="1:9" x14ac:dyDescent="0.3">
      <c r="A429">
        <f>Sheet1!A429</f>
        <v>1428</v>
      </c>
      <c r="B429" t="str">
        <f>Sheet1!B429</f>
        <v>2025-05-03</v>
      </c>
      <c r="C429" t="str">
        <f>TEXT(Sheet1!B429,"YYYY-MM")</f>
        <v>2025-05</v>
      </c>
      <c r="D429" t="str">
        <f>Sheet1!D429</f>
        <v>Bangalore</v>
      </c>
      <c r="E429" t="str">
        <f>Sheet1!F429</f>
        <v>Furniture</v>
      </c>
      <c r="F429" t="str">
        <f>Sheet1!H429</f>
        <v>Sneha</v>
      </c>
      <c r="G429">
        <f>Sheet1!K429</f>
        <v>47356.05</v>
      </c>
      <c r="H429">
        <f>Sheet1!N429</f>
        <v>12248.93</v>
      </c>
      <c r="I429">
        <f t="shared" si="9"/>
        <v>1</v>
      </c>
    </row>
    <row r="430" spans="1:9" x14ac:dyDescent="0.3">
      <c r="A430">
        <f>Sheet1!A430</f>
        <v>1429</v>
      </c>
      <c r="B430" t="str">
        <f>Sheet1!B430</f>
        <v>2025-05-03</v>
      </c>
      <c r="C430" t="str">
        <f>TEXT(Sheet1!B430,"YYYY-MM")</f>
        <v>2025-05</v>
      </c>
      <c r="D430" t="str">
        <f>Sheet1!D430</f>
        <v>Hyderabad</v>
      </c>
      <c r="E430" t="str">
        <f>Sheet1!F430</f>
        <v>Furniture</v>
      </c>
      <c r="F430" t="str">
        <f>Sheet1!H430</f>
        <v>Sneha</v>
      </c>
      <c r="G430">
        <f>Sheet1!K430</f>
        <v>36655.199999999997</v>
      </c>
      <c r="H430">
        <f>Sheet1!N430</f>
        <v>6720.76</v>
      </c>
      <c r="I430">
        <f t="shared" si="9"/>
        <v>1</v>
      </c>
    </row>
    <row r="431" spans="1:9" x14ac:dyDescent="0.3">
      <c r="A431">
        <f>Sheet1!A431</f>
        <v>1430</v>
      </c>
      <c r="B431" t="str">
        <f>Sheet1!B431</f>
        <v>2025-05-04</v>
      </c>
      <c r="C431" t="str">
        <f>TEXT(Sheet1!B431,"YYYY-MM")</f>
        <v>2025-05</v>
      </c>
      <c r="D431" t="str">
        <f>Sheet1!D431</f>
        <v>Mumbai</v>
      </c>
      <c r="E431" t="str">
        <f>Sheet1!F431</f>
        <v>Furniture</v>
      </c>
      <c r="F431" t="str">
        <f>Sheet1!H431</f>
        <v>Sneha</v>
      </c>
      <c r="G431">
        <f>Sheet1!K431</f>
        <v>37825.199999999997</v>
      </c>
      <c r="H431">
        <f>Sheet1!N431</f>
        <v>5835.59</v>
      </c>
      <c r="I431">
        <f t="shared" si="9"/>
        <v>1</v>
      </c>
    </row>
    <row r="432" spans="1:9" x14ac:dyDescent="0.3">
      <c r="A432">
        <f>Sheet1!A432</f>
        <v>1431</v>
      </c>
      <c r="B432" t="str">
        <f>Sheet1!B432</f>
        <v>2025-05-04</v>
      </c>
      <c r="C432" t="str">
        <f>TEXT(Sheet1!B432,"YYYY-MM")</f>
        <v>2025-05</v>
      </c>
      <c r="D432" t="str">
        <f>Sheet1!D432</f>
        <v>Delhi</v>
      </c>
      <c r="E432" t="str">
        <f>Sheet1!F432</f>
        <v>Clothing</v>
      </c>
      <c r="F432" t="str">
        <f>Sheet1!H432</f>
        <v>Sneha</v>
      </c>
      <c r="G432">
        <f>Sheet1!K432</f>
        <v>29142</v>
      </c>
      <c r="H432">
        <f>Sheet1!N432</f>
        <v>5000.83</v>
      </c>
      <c r="I432">
        <f t="shared" si="9"/>
        <v>1</v>
      </c>
    </row>
    <row r="433" spans="1:9" x14ac:dyDescent="0.3">
      <c r="A433">
        <f>Sheet1!A433</f>
        <v>1432</v>
      </c>
      <c r="B433" t="str">
        <f>Sheet1!B433</f>
        <v>2025-05-04</v>
      </c>
      <c r="C433" t="str">
        <f>TEXT(Sheet1!B433,"YYYY-MM")</f>
        <v>2025-05</v>
      </c>
      <c r="D433" t="str">
        <f>Sheet1!D433</f>
        <v>Pune</v>
      </c>
      <c r="E433" t="str">
        <f>Sheet1!F433</f>
        <v>Furniture</v>
      </c>
      <c r="F433" t="str">
        <f>Sheet1!H433</f>
        <v>Pooja</v>
      </c>
      <c r="G433">
        <f>Sheet1!K433</f>
        <v>4477.8</v>
      </c>
      <c r="H433">
        <f>Sheet1!N433</f>
        <v>718.9</v>
      </c>
      <c r="I433">
        <f t="shared" si="9"/>
        <v>1</v>
      </c>
    </row>
    <row r="434" spans="1:9" x14ac:dyDescent="0.3">
      <c r="A434">
        <f>Sheet1!A434</f>
        <v>1433</v>
      </c>
      <c r="B434" t="str">
        <f>Sheet1!B434</f>
        <v>2025-05-04</v>
      </c>
      <c r="C434" t="str">
        <f>TEXT(Sheet1!B434,"YYYY-MM")</f>
        <v>2025-05</v>
      </c>
      <c r="D434" t="str">
        <f>Sheet1!D434</f>
        <v>Delhi</v>
      </c>
      <c r="E434" t="str">
        <f>Sheet1!F434</f>
        <v>Furniture</v>
      </c>
      <c r="F434" t="str">
        <f>Sheet1!H434</f>
        <v>Sneha</v>
      </c>
      <c r="G434">
        <f>Sheet1!K434</f>
        <v>58900.5</v>
      </c>
      <c r="H434">
        <f>Sheet1!N434</f>
        <v>8987.3700000000008</v>
      </c>
      <c r="I434">
        <f t="shared" si="9"/>
        <v>1</v>
      </c>
    </row>
    <row r="435" spans="1:9" x14ac:dyDescent="0.3">
      <c r="A435">
        <f>Sheet1!A435</f>
        <v>1434</v>
      </c>
      <c r="B435" t="str">
        <f>Sheet1!B435</f>
        <v>2025-05-04</v>
      </c>
      <c r="C435" t="str">
        <f>TEXT(Sheet1!B435,"YYYY-MM")</f>
        <v>2025-05</v>
      </c>
      <c r="D435" t="str">
        <f>Sheet1!D435</f>
        <v>Bangalore</v>
      </c>
      <c r="E435" t="str">
        <f>Sheet1!F435</f>
        <v>Furniture</v>
      </c>
      <c r="F435" t="str">
        <f>Sheet1!H435</f>
        <v>Sneha</v>
      </c>
      <c r="G435">
        <f>Sheet1!K435</f>
        <v>31579.200000000001</v>
      </c>
      <c r="H435">
        <f>Sheet1!N435</f>
        <v>3627.38</v>
      </c>
      <c r="I435">
        <f t="shared" si="9"/>
        <v>1</v>
      </c>
    </row>
    <row r="436" spans="1:9" x14ac:dyDescent="0.3">
      <c r="A436">
        <f>Sheet1!A436</f>
        <v>1435</v>
      </c>
      <c r="B436" t="str">
        <f>Sheet1!B436</f>
        <v>2025-05-05</v>
      </c>
      <c r="C436" t="str">
        <f>TEXT(Sheet1!B436,"YYYY-MM")</f>
        <v>2025-05</v>
      </c>
      <c r="D436" t="str">
        <f>Sheet1!D436</f>
        <v>Delhi</v>
      </c>
      <c r="E436" t="str">
        <f>Sheet1!F436</f>
        <v>Electronics</v>
      </c>
      <c r="F436" t="str">
        <f>Sheet1!H436</f>
        <v>Pooja</v>
      </c>
      <c r="G436">
        <f>Sheet1!K436</f>
        <v>177865</v>
      </c>
      <c r="H436">
        <f>Sheet1!N436</f>
        <v>25722.02</v>
      </c>
      <c r="I436">
        <f t="shared" si="9"/>
        <v>1</v>
      </c>
    </row>
    <row r="437" spans="1:9" x14ac:dyDescent="0.3">
      <c r="A437">
        <f>Sheet1!A437</f>
        <v>1436</v>
      </c>
      <c r="B437" t="str">
        <f>Sheet1!B437</f>
        <v>2025-05-05</v>
      </c>
      <c r="C437" t="str">
        <f>TEXT(Sheet1!B437,"YYYY-MM")</f>
        <v>2025-05</v>
      </c>
      <c r="D437" t="str">
        <f>Sheet1!D437</f>
        <v>Hyderabad</v>
      </c>
      <c r="E437" t="str">
        <f>Sheet1!F437</f>
        <v>Furniture</v>
      </c>
      <c r="F437" t="str">
        <f>Sheet1!H437</f>
        <v>Rahul</v>
      </c>
      <c r="G437">
        <f>Sheet1!K437</f>
        <v>1371.9</v>
      </c>
      <c r="H437">
        <f>Sheet1!N437</f>
        <v>333.42</v>
      </c>
      <c r="I437">
        <f t="shared" si="9"/>
        <v>1</v>
      </c>
    </row>
    <row r="438" spans="1:9" x14ac:dyDescent="0.3">
      <c r="A438">
        <f>Sheet1!A438</f>
        <v>1437</v>
      </c>
      <c r="B438" t="str">
        <f>Sheet1!B438</f>
        <v>2025-05-06</v>
      </c>
      <c r="C438" t="str">
        <f>TEXT(Sheet1!B438,"YYYY-MM")</f>
        <v>2025-05</v>
      </c>
      <c r="D438" t="str">
        <f>Sheet1!D438</f>
        <v>Pune</v>
      </c>
      <c r="E438" t="str">
        <f>Sheet1!F438</f>
        <v>Clothing</v>
      </c>
      <c r="F438" t="str">
        <f>Sheet1!H438</f>
        <v>Sneha</v>
      </c>
      <c r="G438">
        <f>Sheet1!K438</f>
        <v>2287.6</v>
      </c>
      <c r="H438">
        <f>Sheet1!N438</f>
        <v>681.81</v>
      </c>
      <c r="I438">
        <f t="shared" si="9"/>
        <v>1</v>
      </c>
    </row>
    <row r="439" spans="1:9" x14ac:dyDescent="0.3">
      <c r="A439">
        <f>Sheet1!A439</f>
        <v>1438</v>
      </c>
      <c r="B439" t="str">
        <f>Sheet1!B439</f>
        <v>2025-05-06</v>
      </c>
      <c r="C439" t="str">
        <f>TEXT(Sheet1!B439,"YYYY-MM")</f>
        <v>2025-05</v>
      </c>
      <c r="D439" t="str">
        <f>Sheet1!D439</f>
        <v>Hyderabad</v>
      </c>
      <c r="E439" t="str">
        <f>Sheet1!F439</f>
        <v>Electronics</v>
      </c>
      <c r="F439" t="str">
        <f>Sheet1!H439</f>
        <v>Pooja</v>
      </c>
      <c r="G439">
        <f>Sheet1!K439</f>
        <v>146352</v>
      </c>
      <c r="H439">
        <f>Sheet1!N439</f>
        <v>29096.080000000002</v>
      </c>
      <c r="I439">
        <f t="shared" si="9"/>
        <v>1</v>
      </c>
    </row>
    <row r="440" spans="1:9" x14ac:dyDescent="0.3">
      <c r="A440">
        <f>Sheet1!A440</f>
        <v>1439</v>
      </c>
      <c r="B440" t="str">
        <f>Sheet1!B440</f>
        <v>2025-05-06</v>
      </c>
      <c r="C440" t="str">
        <f>TEXT(Sheet1!B440,"YYYY-MM")</f>
        <v>2025-05</v>
      </c>
      <c r="D440" t="str">
        <f>Sheet1!D440</f>
        <v>Mumbai</v>
      </c>
      <c r="E440" t="str">
        <f>Sheet1!F440</f>
        <v>Electronics</v>
      </c>
      <c r="F440" t="str">
        <f>Sheet1!H440</f>
        <v>Rahul</v>
      </c>
      <c r="G440">
        <f>Sheet1!K440</f>
        <v>89233.2</v>
      </c>
      <c r="H440">
        <f>Sheet1!N440</f>
        <v>22182.26</v>
      </c>
      <c r="I440">
        <f t="shared" si="9"/>
        <v>1</v>
      </c>
    </row>
    <row r="441" spans="1:9" x14ac:dyDescent="0.3">
      <c r="A441">
        <f>Sheet1!A441</f>
        <v>1440</v>
      </c>
      <c r="B441" t="str">
        <f>Sheet1!B441</f>
        <v>2025-05-07</v>
      </c>
      <c r="C441" t="str">
        <f>TEXT(Sheet1!B441,"YYYY-MM")</f>
        <v>2025-05</v>
      </c>
      <c r="D441" t="str">
        <f>Sheet1!D441</f>
        <v>Delhi</v>
      </c>
      <c r="E441" t="str">
        <f>Sheet1!F441</f>
        <v>Furniture</v>
      </c>
      <c r="F441" t="str">
        <f>Sheet1!H441</f>
        <v>Rahul</v>
      </c>
      <c r="G441">
        <f>Sheet1!K441</f>
        <v>249830</v>
      </c>
      <c r="H441">
        <f>Sheet1!N441</f>
        <v>56661.33</v>
      </c>
      <c r="I441">
        <f t="shared" si="9"/>
        <v>1</v>
      </c>
    </row>
    <row r="442" spans="1:9" x14ac:dyDescent="0.3">
      <c r="A442">
        <f>Sheet1!A442</f>
        <v>1441</v>
      </c>
      <c r="B442" t="str">
        <f>Sheet1!B442</f>
        <v>2025-05-07</v>
      </c>
      <c r="C442" t="str">
        <f>TEXT(Sheet1!B442,"YYYY-MM")</f>
        <v>2025-05</v>
      </c>
      <c r="D442" t="str">
        <f>Sheet1!D442</f>
        <v>Pune</v>
      </c>
      <c r="E442" t="str">
        <f>Sheet1!F442</f>
        <v>Electronics</v>
      </c>
      <c r="F442" t="str">
        <f>Sheet1!H442</f>
        <v>Ajay</v>
      </c>
      <c r="G442">
        <f>Sheet1!K442</f>
        <v>49368</v>
      </c>
      <c r="H442">
        <f>Sheet1!N442</f>
        <v>11713.39</v>
      </c>
      <c r="I442">
        <f t="shared" si="9"/>
        <v>1</v>
      </c>
    </row>
    <row r="443" spans="1:9" x14ac:dyDescent="0.3">
      <c r="A443">
        <f>Sheet1!A443</f>
        <v>1442</v>
      </c>
      <c r="B443" t="str">
        <f>Sheet1!B443</f>
        <v>2025-05-07</v>
      </c>
      <c r="C443" t="str">
        <f>TEXT(Sheet1!B443,"YYYY-MM")</f>
        <v>2025-05</v>
      </c>
      <c r="D443" t="str">
        <f>Sheet1!D443</f>
        <v>Bangalore</v>
      </c>
      <c r="E443" t="str">
        <f>Sheet1!F443</f>
        <v>Electronics</v>
      </c>
      <c r="F443" t="str">
        <f>Sheet1!H443</f>
        <v>Ajay</v>
      </c>
      <c r="G443">
        <f>Sheet1!K443</f>
        <v>179607.6</v>
      </c>
      <c r="H443">
        <f>Sheet1!N443</f>
        <v>53662.69</v>
      </c>
      <c r="I443">
        <f t="shared" si="9"/>
        <v>1</v>
      </c>
    </row>
    <row r="444" spans="1:9" x14ac:dyDescent="0.3">
      <c r="A444">
        <f>Sheet1!A444</f>
        <v>1443</v>
      </c>
      <c r="B444" t="str">
        <f>Sheet1!B444</f>
        <v>2025-05-07</v>
      </c>
      <c r="C444" t="str">
        <f>TEXT(Sheet1!B444,"YYYY-MM")</f>
        <v>2025-05</v>
      </c>
      <c r="D444" t="str">
        <f>Sheet1!D444</f>
        <v>Bangalore</v>
      </c>
      <c r="E444" t="str">
        <f>Sheet1!F444</f>
        <v>Clothing</v>
      </c>
      <c r="F444" t="str">
        <f>Sheet1!H444</f>
        <v>Pooja</v>
      </c>
      <c r="G444">
        <f>Sheet1!K444</f>
        <v>17860.5</v>
      </c>
      <c r="H444">
        <f>Sheet1!N444</f>
        <v>5342.84</v>
      </c>
      <c r="I444">
        <f t="shared" si="9"/>
        <v>1</v>
      </c>
    </row>
    <row r="445" spans="1:9" x14ac:dyDescent="0.3">
      <c r="A445">
        <f>Sheet1!A445</f>
        <v>1444</v>
      </c>
      <c r="B445" t="str">
        <f>Sheet1!B445</f>
        <v>2025-05-07</v>
      </c>
      <c r="C445" t="str">
        <f>TEXT(Sheet1!B445,"YYYY-MM")</f>
        <v>2025-05</v>
      </c>
      <c r="D445" t="str">
        <f>Sheet1!D445</f>
        <v>Bangalore</v>
      </c>
      <c r="E445" t="str">
        <f>Sheet1!F445</f>
        <v>Furniture</v>
      </c>
      <c r="F445" t="str">
        <f>Sheet1!H445</f>
        <v>Rahul</v>
      </c>
      <c r="G445">
        <f>Sheet1!K445</f>
        <v>37408</v>
      </c>
      <c r="H445">
        <f>Sheet1!N445</f>
        <v>8155.95</v>
      </c>
      <c r="I445">
        <f t="shared" si="9"/>
        <v>1</v>
      </c>
    </row>
    <row r="446" spans="1:9" x14ac:dyDescent="0.3">
      <c r="A446">
        <f>Sheet1!A446</f>
        <v>1445</v>
      </c>
      <c r="B446" t="str">
        <f>Sheet1!B446</f>
        <v>2025-05-08</v>
      </c>
      <c r="C446" t="str">
        <f>TEXT(Sheet1!B446,"YYYY-MM")</f>
        <v>2025-05</v>
      </c>
      <c r="D446" t="str">
        <f>Sheet1!D446</f>
        <v>Delhi</v>
      </c>
      <c r="E446" t="str">
        <f>Sheet1!F446</f>
        <v>Electronics</v>
      </c>
      <c r="F446" t="str">
        <f>Sheet1!H446</f>
        <v>Pooja</v>
      </c>
      <c r="G446">
        <f>Sheet1!K446</f>
        <v>37490.400000000001</v>
      </c>
      <c r="H446">
        <f>Sheet1!N446</f>
        <v>9972.5400000000009</v>
      </c>
      <c r="I446">
        <f t="shared" si="9"/>
        <v>1</v>
      </c>
    </row>
    <row r="447" spans="1:9" x14ac:dyDescent="0.3">
      <c r="A447">
        <f>Sheet1!A447</f>
        <v>1446</v>
      </c>
      <c r="B447" t="str">
        <f>Sheet1!B447</f>
        <v>2025-05-08</v>
      </c>
      <c r="C447" t="str">
        <f>TEXT(Sheet1!B447,"YYYY-MM")</f>
        <v>2025-05</v>
      </c>
      <c r="D447" t="str">
        <f>Sheet1!D447</f>
        <v>Delhi</v>
      </c>
      <c r="E447" t="str">
        <f>Sheet1!F447</f>
        <v>Electronics</v>
      </c>
      <c r="F447" t="str">
        <f>Sheet1!H447</f>
        <v>Sneha</v>
      </c>
      <c r="G447">
        <f>Sheet1!K447</f>
        <v>20934</v>
      </c>
      <c r="H447">
        <f>Sheet1!N447</f>
        <v>3819.22</v>
      </c>
      <c r="I447">
        <f t="shared" si="9"/>
        <v>1</v>
      </c>
    </row>
    <row r="448" spans="1:9" x14ac:dyDescent="0.3">
      <c r="A448">
        <f>Sheet1!A448</f>
        <v>1447</v>
      </c>
      <c r="B448" t="str">
        <f>Sheet1!B448</f>
        <v>2025-05-08</v>
      </c>
      <c r="C448" t="str">
        <f>TEXT(Sheet1!B448,"YYYY-MM")</f>
        <v>2025-05</v>
      </c>
      <c r="D448" t="str">
        <f>Sheet1!D448</f>
        <v>Delhi</v>
      </c>
      <c r="E448" t="str">
        <f>Sheet1!F448</f>
        <v>Clothing</v>
      </c>
      <c r="F448" t="str">
        <f>Sheet1!H448</f>
        <v>Ajay</v>
      </c>
      <c r="G448">
        <f>Sheet1!K448</f>
        <v>35499</v>
      </c>
      <c r="H448">
        <f>Sheet1!N448</f>
        <v>4078.78</v>
      </c>
      <c r="I448">
        <f t="shared" si="9"/>
        <v>1</v>
      </c>
    </row>
    <row r="449" spans="1:9" x14ac:dyDescent="0.3">
      <c r="A449">
        <f>Sheet1!A449</f>
        <v>1448</v>
      </c>
      <c r="B449" t="str">
        <f>Sheet1!B449</f>
        <v>2025-05-09</v>
      </c>
      <c r="C449" t="str">
        <f>TEXT(Sheet1!B449,"YYYY-MM")</f>
        <v>2025-05</v>
      </c>
      <c r="D449" t="str">
        <f>Sheet1!D449</f>
        <v>Hyderabad</v>
      </c>
      <c r="E449" t="str">
        <f>Sheet1!F449</f>
        <v>Furniture</v>
      </c>
      <c r="F449" t="str">
        <f>Sheet1!H449</f>
        <v>Pooja</v>
      </c>
      <c r="G449">
        <f>Sheet1!K449</f>
        <v>25563.75</v>
      </c>
      <c r="H449">
        <f>Sheet1!N449</f>
        <v>4325.95</v>
      </c>
      <c r="I449">
        <f t="shared" si="9"/>
        <v>1</v>
      </c>
    </row>
    <row r="450" spans="1:9" x14ac:dyDescent="0.3">
      <c r="A450">
        <f>Sheet1!A450</f>
        <v>1449</v>
      </c>
      <c r="B450" t="str">
        <f>Sheet1!B450</f>
        <v>2025-05-09</v>
      </c>
      <c r="C450" t="str">
        <f>TEXT(Sheet1!B450,"YYYY-MM")</f>
        <v>2025-05</v>
      </c>
      <c r="D450" t="str">
        <f>Sheet1!D450</f>
        <v>Pune</v>
      </c>
      <c r="E450" t="str">
        <f>Sheet1!F450</f>
        <v>Furniture</v>
      </c>
      <c r="F450" t="str">
        <f>Sheet1!H450</f>
        <v>Sneha</v>
      </c>
      <c r="G450">
        <f>Sheet1!K450</f>
        <v>63219.6</v>
      </c>
      <c r="H450">
        <f>Sheet1!N450</f>
        <v>6556.94</v>
      </c>
      <c r="I450">
        <f t="shared" ref="I450:I513" si="10">IF(AND(OR(FilterCity="All",D450=FilterCity),OR(FilterCategory="All",E450=FilterCategory),OR(FilterRep="All",F450=FilterRep),C450&gt;=FilterMonthFrom,C450&lt;=FilterMonthTo),1,0)</f>
        <v>1</v>
      </c>
    </row>
    <row r="451" spans="1:9" x14ac:dyDescent="0.3">
      <c r="A451">
        <f>Sheet1!A451</f>
        <v>1450</v>
      </c>
      <c r="B451" t="str">
        <f>Sheet1!B451</f>
        <v>2025-05-09</v>
      </c>
      <c r="C451" t="str">
        <f>TEXT(Sheet1!B451,"YYYY-MM")</f>
        <v>2025-05</v>
      </c>
      <c r="D451" t="str">
        <f>Sheet1!D451</f>
        <v>Hyderabad</v>
      </c>
      <c r="E451" t="str">
        <f>Sheet1!F451</f>
        <v>Clothing</v>
      </c>
      <c r="F451" t="str">
        <f>Sheet1!H451</f>
        <v>Sneha</v>
      </c>
      <c r="G451">
        <f>Sheet1!K451</f>
        <v>35581.300000000003</v>
      </c>
      <c r="H451">
        <f>Sheet1!N451</f>
        <v>10446.969999999999</v>
      </c>
      <c r="I451">
        <f t="shared" si="10"/>
        <v>1</v>
      </c>
    </row>
    <row r="452" spans="1:9" x14ac:dyDescent="0.3">
      <c r="A452">
        <f>Sheet1!A452</f>
        <v>1451</v>
      </c>
      <c r="B452" t="str">
        <f>Sheet1!B452</f>
        <v>2025-05-10</v>
      </c>
      <c r="C452" t="str">
        <f>TEXT(Sheet1!B452,"YYYY-MM")</f>
        <v>2025-05</v>
      </c>
      <c r="D452" t="str">
        <f>Sheet1!D452</f>
        <v>Hyderabad</v>
      </c>
      <c r="E452" t="str">
        <f>Sheet1!F452</f>
        <v>Electronics</v>
      </c>
      <c r="F452" t="str">
        <f>Sheet1!H452</f>
        <v>Rahul</v>
      </c>
      <c r="G452">
        <f>Sheet1!K452</f>
        <v>23974</v>
      </c>
      <c r="H452">
        <f>Sheet1!N452</f>
        <v>6517.24</v>
      </c>
      <c r="I452">
        <f t="shared" si="10"/>
        <v>1</v>
      </c>
    </row>
    <row r="453" spans="1:9" x14ac:dyDescent="0.3">
      <c r="A453">
        <f>Sheet1!A453</f>
        <v>1452</v>
      </c>
      <c r="B453" t="str">
        <f>Sheet1!B453</f>
        <v>2025-05-10</v>
      </c>
      <c r="C453" t="str">
        <f>TEXT(Sheet1!B453,"YYYY-MM")</f>
        <v>2025-05</v>
      </c>
      <c r="D453" t="str">
        <f>Sheet1!D453</f>
        <v>Mumbai</v>
      </c>
      <c r="E453" t="str">
        <f>Sheet1!F453</f>
        <v>Clothing</v>
      </c>
      <c r="F453" t="str">
        <f>Sheet1!H453</f>
        <v>Rahul</v>
      </c>
      <c r="G453">
        <f>Sheet1!K453</f>
        <v>127181.25</v>
      </c>
      <c r="H453">
        <f>Sheet1!N453</f>
        <v>31821.05</v>
      </c>
      <c r="I453">
        <f t="shared" si="10"/>
        <v>1</v>
      </c>
    </row>
    <row r="454" spans="1:9" x14ac:dyDescent="0.3">
      <c r="A454">
        <f>Sheet1!A454</f>
        <v>1453</v>
      </c>
      <c r="B454" t="str">
        <f>Sheet1!B454</f>
        <v>2025-05-10</v>
      </c>
      <c r="C454" t="str">
        <f>TEXT(Sheet1!B454,"YYYY-MM")</f>
        <v>2025-05</v>
      </c>
      <c r="D454" t="str">
        <f>Sheet1!D454</f>
        <v>Delhi</v>
      </c>
      <c r="E454" t="str">
        <f>Sheet1!F454</f>
        <v>Electronics</v>
      </c>
      <c r="F454" t="str">
        <f>Sheet1!H454</f>
        <v>Pooja</v>
      </c>
      <c r="G454">
        <f>Sheet1!K454</f>
        <v>11632.5</v>
      </c>
      <c r="H454">
        <f>Sheet1!N454</f>
        <v>1444.77</v>
      </c>
      <c r="I454">
        <f t="shared" si="10"/>
        <v>1</v>
      </c>
    </row>
    <row r="455" spans="1:9" x14ac:dyDescent="0.3">
      <c r="A455">
        <f>Sheet1!A455</f>
        <v>1454</v>
      </c>
      <c r="B455" t="str">
        <f>Sheet1!B455</f>
        <v>2025-05-11</v>
      </c>
      <c r="C455" t="str">
        <f>TEXT(Sheet1!B455,"YYYY-MM")</f>
        <v>2025-05</v>
      </c>
      <c r="D455" t="str">
        <f>Sheet1!D455</f>
        <v>Bangalore</v>
      </c>
      <c r="E455" t="str">
        <f>Sheet1!F455</f>
        <v>Clothing</v>
      </c>
      <c r="F455" t="str">
        <f>Sheet1!H455</f>
        <v>Rahul</v>
      </c>
      <c r="G455">
        <f>Sheet1!K455</f>
        <v>24583.5</v>
      </c>
      <c r="H455">
        <f>Sheet1!N455</f>
        <v>3040.33</v>
      </c>
      <c r="I455">
        <f t="shared" si="10"/>
        <v>1</v>
      </c>
    </row>
    <row r="456" spans="1:9" x14ac:dyDescent="0.3">
      <c r="A456">
        <f>Sheet1!A456</f>
        <v>1455</v>
      </c>
      <c r="B456" t="str">
        <f>Sheet1!B456</f>
        <v>2025-05-11</v>
      </c>
      <c r="C456" t="str">
        <f>TEXT(Sheet1!B456,"YYYY-MM")</f>
        <v>2025-05</v>
      </c>
      <c r="D456" t="str">
        <f>Sheet1!D456</f>
        <v>Pune</v>
      </c>
      <c r="E456" t="str">
        <f>Sheet1!F456</f>
        <v>Furniture</v>
      </c>
      <c r="F456" t="str">
        <f>Sheet1!H456</f>
        <v>Pooja</v>
      </c>
      <c r="G456">
        <f>Sheet1!K456</f>
        <v>13104</v>
      </c>
      <c r="H456">
        <f>Sheet1!N456</f>
        <v>2474.21</v>
      </c>
      <c r="I456">
        <f t="shared" si="10"/>
        <v>1</v>
      </c>
    </row>
    <row r="457" spans="1:9" x14ac:dyDescent="0.3">
      <c r="A457">
        <f>Sheet1!A457</f>
        <v>1456</v>
      </c>
      <c r="B457" t="str">
        <f>Sheet1!B457</f>
        <v>2025-05-11</v>
      </c>
      <c r="C457" t="str">
        <f>TEXT(Sheet1!B457,"YYYY-MM")</f>
        <v>2025-05</v>
      </c>
      <c r="D457" t="str">
        <f>Sheet1!D457</f>
        <v>Hyderabad</v>
      </c>
      <c r="E457" t="str">
        <f>Sheet1!F457</f>
        <v>Electronics</v>
      </c>
      <c r="F457" t="str">
        <f>Sheet1!H457</f>
        <v>Pooja</v>
      </c>
      <c r="G457">
        <f>Sheet1!K457</f>
        <v>16318</v>
      </c>
      <c r="H457">
        <f>Sheet1!N457</f>
        <v>2871.43</v>
      </c>
      <c r="I457">
        <f t="shared" si="10"/>
        <v>1</v>
      </c>
    </row>
    <row r="458" spans="1:9" x14ac:dyDescent="0.3">
      <c r="A458">
        <f>Sheet1!A458</f>
        <v>1457</v>
      </c>
      <c r="B458" t="str">
        <f>Sheet1!B458</f>
        <v>2025-05-12</v>
      </c>
      <c r="C458" t="str">
        <f>TEXT(Sheet1!B458,"YYYY-MM")</f>
        <v>2025-05</v>
      </c>
      <c r="D458" t="str">
        <f>Sheet1!D458</f>
        <v>Delhi</v>
      </c>
      <c r="E458" t="str">
        <f>Sheet1!F458</f>
        <v>Furniture</v>
      </c>
      <c r="F458" t="str">
        <f>Sheet1!H458</f>
        <v>Ajay</v>
      </c>
      <c r="G458">
        <f>Sheet1!K458</f>
        <v>6255</v>
      </c>
      <c r="H458">
        <f>Sheet1!N458</f>
        <v>1148.18</v>
      </c>
      <c r="I458">
        <f t="shared" si="10"/>
        <v>1</v>
      </c>
    </row>
    <row r="459" spans="1:9" x14ac:dyDescent="0.3">
      <c r="A459">
        <f>Sheet1!A459</f>
        <v>1458</v>
      </c>
      <c r="B459" t="str">
        <f>Sheet1!B459</f>
        <v>2025-05-12</v>
      </c>
      <c r="C459" t="str">
        <f>TEXT(Sheet1!B459,"YYYY-MM")</f>
        <v>2025-05</v>
      </c>
      <c r="D459" t="str">
        <f>Sheet1!D459</f>
        <v>Pune</v>
      </c>
      <c r="E459" t="str">
        <f>Sheet1!F459</f>
        <v>Clothing</v>
      </c>
      <c r="F459" t="str">
        <f>Sheet1!H459</f>
        <v>Ajay</v>
      </c>
      <c r="G459">
        <f>Sheet1!K459</f>
        <v>6465</v>
      </c>
      <c r="H459">
        <f>Sheet1!N459</f>
        <v>1523.37</v>
      </c>
      <c r="I459">
        <f t="shared" si="10"/>
        <v>1</v>
      </c>
    </row>
    <row r="460" spans="1:9" x14ac:dyDescent="0.3">
      <c r="A460">
        <f>Sheet1!A460</f>
        <v>1459</v>
      </c>
      <c r="B460" t="str">
        <f>Sheet1!B460</f>
        <v>2025-05-12</v>
      </c>
      <c r="C460" t="str">
        <f>TEXT(Sheet1!B460,"YYYY-MM")</f>
        <v>2025-05</v>
      </c>
      <c r="D460" t="str">
        <f>Sheet1!D460</f>
        <v>Bangalore</v>
      </c>
      <c r="E460" t="str">
        <f>Sheet1!F460</f>
        <v>Clothing</v>
      </c>
      <c r="F460" t="str">
        <f>Sheet1!H460</f>
        <v>Ajay</v>
      </c>
      <c r="G460">
        <f>Sheet1!K460</f>
        <v>32009.3</v>
      </c>
      <c r="H460">
        <f>Sheet1!N460</f>
        <v>6756</v>
      </c>
      <c r="I460">
        <f t="shared" si="10"/>
        <v>1</v>
      </c>
    </row>
    <row r="461" spans="1:9" x14ac:dyDescent="0.3">
      <c r="A461">
        <f>Sheet1!A461</f>
        <v>1460</v>
      </c>
      <c r="B461" t="str">
        <f>Sheet1!B461</f>
        <v>2025-05-12</v>
      </c>
      <c r="C461" t="str">
        <f>TEXT(Sheet1!B461,"YYYY-MM")</f>
        <v>2025-05</v>
      </c>
      <c r="D461" t="str">
        <f>Sheet1!D461</f>
        <v>Mumbai</v>
      </c>
      <c r="E461" t="str">
        <f>Sheet1!F461</f>
        <v>Clothing</v>
      </c>
      <c r="F461" t="str">
        <f>Sheet1!H461</f>
        <v>Ajay</v>
      </c>
      <c r="G461">
        <f>Sheet1!K461</f>
        <v>1644.45</v>
      </c>
      <c r="H461">
        <f>Sheet1!N461</f>
        <v>301.88</v>
      </c>
      <c r="I461">
        <f t="shared" si="10"/>
        <v>1</v>
      </c>
    </row>
    <row r="462" spans="1:9" x14ac:dyDescent="0.3">
      <c r="A462">
        <f>Sheet1!A462</f>
        <v>1461</v>
      </c>
      <c r="B462" t="str">
        <f>Sheet1!B462</f>
        <v>2025-05-12</v>
      </c>
      <c r="C462" t="str">
        <f>TEXT(Sheet1!B462,"YYYY-MM")</f>
        <v>2025-05</v>
      </c>
      <c r="D462" t="str">
        <f>Sheet1!D462</f>
        <v>Bangalore</v>
      </c>
      <c r="E462" t="str">
        <f>Sheet1!F462</f>
        <v>Furniture</v>
      </c>
      <c r="F462" t="str">
        <f>Sheet1!H462</f>
        <v>Ajay</v>
      </c>
      <c r="G462">
        <f>Sheet1!K462</f>
        <v>37123.199999999997</v>
      </c>
      <c r="H462">
        <f>Sheet1!N462</f>
        <v>3944.01</v>
      </c>
      <c r="I462">
        <f t="shared" si="10"/>
        <v>1</v>
      </c>
    </row>
    <row r="463" spans="1:9" x14ac:dyDescent="0.3">
      <c r="A463">
        <f>Sheet1!A463</f>
        <v>1462</v>
      </c>
      <c r="B463" t="str">
        <f>Sheet1!B463</f>
        <v>2025-05-13</v>
      </c>
      <c r="C463" t="str">
        <f>TEXT(Sheet1!B463,"YYYY-MM")</f>
        <v>2025-05</v>
      </c>
      <c r="D463" t="str">
        <f>Sheet1!D463</f>
        <v>Mumbai</v>
      </c>
      <c r="E463" t="str">
        <f>Sheet1!F463</f>
        <v>Furniture</v>
      </c>
      <c r="F463" t="str">
        <f>Sheet1!H463</f>
        <v>Pooja</v>
      </c>
      <c r="G463">
        <f>Sheet1!K463</f>
        <v>25550.25</v>
      </c>
      <c r="H463">
        <f>Sheet1!N463</f>
        <v>6644.58</v>
      </c>
      <c r="I463">
        <f t="shared" si="10"/>
        <v>1</v>
      </c>
    </row>
    <row r="464" spans="1:9" x14ac:dyDescent="0.3">
      <c r="A464">
        <f>Sheet1!A464</f>
        <v>1463</v>
      </c>
      <c r="B464" t="str">
        <f>Sheet1!B464</f>
        <v>2025-05-13</v>
      </c>
      <c r="C464" t="str">
        <f>TEXT(Sheet1!B464,"YYYY-MM")</f>
        <v>2025-05</v>
      </c>
      <c r="D464" t="str">
        <f>Sheet1!D464</f>
        <v>Bangalore</v>
      </c>
      <c r="E464" t="str">
        <f>Sheet1!F464</f>
        <v>Electronics</v>
      </c>
      <c r="F464" t="str">
        <f>Sheet1!H464</f>
        <v>Pooja</v>
      </c>
      <c r="G464">
        <f>Sheet1!K464</f>
        <v>167906.8</v>
      </c>
      <c r="H464">
        <f>Sheet1!N464</f>
        <v>48319.9</v>
      </c>
      <c r="I464">
        <f t="shared" si="10"/>
        <v>1</v>
      </c>
    </row>
    <row r="465" spans="1:9" x14ac:dyDescent="0.3">
      <c r="A465">
        <f>Sheet1!A465</f>
        <v>1464</v>
      </c>
      <c r="B465" t="str">
        <f>Sheet1!B465</f>
        <v>2025-05-13</v>
      </c>
      <c r="C465" t="str">
        <f>TEXT(Sheet1!B465,"YYYY-MM")</f>
        <v>2025-05</v>
      </c>
      <c r="D465" t="str">
        <f>Sheet1!D465</f>
        <v>Hyderabad</v>
      </c>
      <c r="E465" t="str">
        <f>Sheet1!F465</f>
        <v>Furniture</v>
      </c>
      <c r="F465" t="str">
        <f>Sheet1!H465</f>
        <v>Rahul</v>
      </c>
      <c r="G465">
        <f>Sheet1!K465</f>
        <v>37884.5</v>
      </c>
      <c r="H465">
        <f>Sheet1!N465</f>
        <v>8001.07</v>
      </c>
      <c r="I465">
        <f t="shared" si="10"/>
        <v>1</v>
      </c>
    </row>
    <row r="466" spans="1:9" x14ac:dyDescent="0.3">
      <c r="A466">
        <f>Sheet1!A466</f>
        <v>1465</v>
      </c>
      <c r="B466" t="str">
        <f>Sheet1!B466</f>
        <v>2025-05-14</v>
      </c>
      <c r="C466" t="str">
        <f>TEXT(Sheet1!B466,"YYYY-MM")</f>
        <v>2025-05</v>
      </c>
      <c r="D466" t="str">
        <f>Sheet1!D466</f>
        <v>Hyderabad</v>
      </c>
      <c r="E466" t="str">
        <f>Sheet1!F466</f>
        <v>Electronics</v>
      </c>
      <c r="F466" t="str">
        <f>Sheet1!H466</f>
        <v>Rahul</v>
      </c>
      <c r="G466">
        <f>Sheet1!K466</f>
        <v>2880</v>
      </c>
      <c r="H466">
        <f>Sheet1!N466</f>
        <v>794.29</v>
      </c>
      <c r="I466">
        <f t="shared" si="10"/>
        <v>1</v>
      </c>
    </row>
    <row r="467" spans="1:9" x14ac:dyDescent="0.3">
      <c r="A467">
        <f>Sheet1!A467</f>
        <v>1466</v>
      </c>
      <c r="B467" t="str">
        <f>Sheet1!B467</f>
        <v>2025-05-14</v>
      </c>
      <c r="C467" t="str">
        <f>TEXT(Sheet1!B467,"YYYY-MM")</f>
        <v>2025-05</v>
      </c>
      <c r="D467" t="str">
        <f>Sheet1!D467</f>
        <v>Delhi</v>
      </c>
      <c r="E467" t="str">
        <f>Sheet1!F467</f>
        <v>Furniture</v>
      </c>
      <c r="F467" t="str">
        <f>Sheet1!H467</f>
        <v>Rahul</v>
      </c>
      <c r="G467">
        <f>Sheet1!K467</f>
        <v>37576.800000000003</v>
      </c>
      <c r="H467">
        <f>Sheet1!N467</f>
        <v>6963.91</v>
      </c>
      <c r="I467">
        <f t="shared" si="10"/>
        <v>1</v>
      </c>
    </row>
    <row r="468" spans="1:9" x14ac:dyDescent="0.3">
      <c r="A468">
        <f>Sheet1!A468</f>
        <v>1467</v>
      </c>
      <c r="B468" t="str">
        <f>Sheet1!B468</f>
        <v>2025-05-14</v>
      </c>
      <c r="C468" t="str">
        <f>TEXT(Sheet1!B468,"YYYY-MM")</f>
        <v>2025-05</v>
      </c>
      <c r="D468" t="str">
        <f>Sheet1!D468</f>
        <v>Hyderabad</v>
      </c>
      <c r="E468" t="str">
        <f>Sheet1!F468</f>
        <v>Clothing</v>
      </c>
      <c r="F468" t="str">
        <f>Sheet1!H468</f>
        <v>Sneha</v>
      </c>
      <c r="G468">
        <f>Sheet1!K468</f>
        <v>62206</v>
      </c>
      <c r="H468">
        <f>Sheet1!N468</f>
        <v>8833.58</v>
      </c>
      <c r="I468">
        <f t="shared" si="10"/>
        <v>1</v>
      </c>
    </row>
    <row r="469" spans="1:9" x14ac:dyDescent="0.3">
      <c r="A469">
        <f>Sheet1!A469</f>
        <v>1468</v>
      </c>
      <c r="B469" t="str">
        <f>Sheet1!B469</f>
        <v>2025-05-15</v>
      </c>
      <c r="C469" t="str">
        <f>TEXT(Sheet1!B469,"YYYY-MM")</f>
        <v>2025-05</v>
      </c>
      <c r="D469" t="str">
        <f>Sheet1!D469</f>
        <v>Hyderabad</v>
      </c>
      <c r="E469" t="str">
        <f>Sheet1!F469</f>
        <v>Electronics</v>
      </c>
      <c r="F469" t="str">
        <f>Sheet1!H469</f>
        <v>Pooja</v>
      </c>
      <c r="G469">
        <f>Sheet1!K469</f>
        <v>16316.25</v>
      </c>
      <c r="H469">
        <f>Sheet1!N469</f>
        <v>2996.59</v>
      </c>
      <c r="I469">
        <f t="shared" si="10"/>
        <v>1</v>
      </c>
    </row>
    <row r="470" spans="1:9" x14ac:dyDescent="0.3">
      <c r="A470">
        <f>Sheet1!A470</f>
        <v>1469</v>
      </c>
      <c r="B470" t="str">
        <f>Sheet1!B470</f>
        <v>2025-05-15</v>
      </c>
      <c r="C470" t="str">
        <f>TEXT(Sheet1!B470,"YYYY-MM")</f>
        <v>2025-05</v>
      </c>
      <c r="D470" t="str">
        <f>Sheet1!D470</f>
        <v>Hyderabad</v>
      </c>
      <c r="E470" t="str">
        <f>Sheet1!F470</f>
        <v>Clothing</v>
      </c>
      <c r="F470" t="str">
        <f>Sheet1!H470</f>
        <v>Sneha</v>
      </c>
      <c r="G470">
        <f>Sheet1!K470</f>
        <v>52196</v>
      </c>
      <c r="H470">
        <f>Sheet1!N470</f>
        <v>9683.5400000000009</v>
      </c>
      <c r="I470">
        <f t="shared" si="10"/>
        <v>1</v>
      </c>
    </row>
    <row r="471" spans="1:9" x14ac:dyDescent="0.3">
      <c r="A471">
        <f>Sheet1!A471</f>
        <v>1470</v>
      </c>
      <c r="B471" t="str">
        <f>Sheet1!B471</f>
        <v>2025-05-15</v>
      </c>
      <c r="C471" t="str">
        <f>TEXT(Sheet1!B471,"YYYY-MM")</f>
        <v>2025-05</v>
      </c>
      <c r="D471" t="str">
        <f>Sheet1!D471</f>
        <v>Delhi</v>
      </c>
      <c r="E471" t="str">
        <f>Sheet1!F471</f>
        <v>Furniture</v>
      </c>
      <c r="F471" t="str">
        <f>Sheet1!H471</f>
        <v>Ajay</v>
      </c>
      <c r="G471">
        <f>Sheet1!K471</f>
        <v>84974.399999999994</v>
      </c>
      <c r="H471">
        <f>Sheet1!N471</f>
        <v>13940.19</v>
      </c>
      <c r="I471">
        <f t="shared" si="10"/>
        <v>1</v>
      </c>
    </row>
    <row r="472" spans="1:9" x14ac:dyDescent="0.3">
      <c r="A472">
        <f>Sheet1!A472</f>
        <v>1471</v>
      </c>
      <c r="B472" t="str">
        <f>Sheet1!B472</f>
        <v>2025-05-15</v>
      </c>
      <c r="C472" t="str">
        <f>TEXT(Sheet1!B472,"YYYY-MM")</f>
        <v>2025-05</v>
      </c>
      <c r="D472" t="str">
        <f>Sheet1!D472</f>
        <v>Delhi</v>
      </c>
      <c r="E472" t="str">
        <f>Sheet1!F472</f>
        <v>Furniture</v>
      </c>
      <c r="F472" t="str">
        <f>Sheet1!H472</f>
        <v>Ajay</v>
      </c>
      <c r="G472">
        <f>Sheet1!K472</f>
        <v>60612.3</v>
      </c>
      <c r="H472">
        <f>Sheet1!N472</f>
        <v>9010.86</v>
      </c>
      <c r="I472">
        <f t="shared" si="10"/>
        <v>1</v>
      </c>
    </row>
    <row r="473" spans="1:9" x14ac:dyDescent="0.3">
      <c r="A473">
        <f>Sheet1!A473</f>
        <v>1472</v>
      </c>
      <c r="B473" t="str">
        <f>Sheet1!B473</f>
        <v>2025-05-15</v>
      </c>
      <c r="C473" t="str">
        <f>TEXT(Sheet1!B473,"YYYY-MM")</f>
        <v>2025-05</v>
      </c>
      <c r="D473" t="str">
        <f>Sheet1!D473</f>
        <v>Delhi</v>
      </c>
      <c r="E473" t="str">
        <f>Sheet1!F473</f>
        <v>Furniture</v>
      </c>
      <c r="F473" t="str">
        <f>Sheet1!H473</f>
        <v>Pooja</v>
      </c>
      <c r="G473">
        <f>Sheet1!K473</f>
        <v>45390</v>
      </c>
      <c r="H473">
        <f>Sheet1!N473</f>
        <v>5868.95</v>
      </c>
      <c r="I473">
        <f t="shared" si="10"/>
        <v>1</v>
      </c>
    </row>
    <row r="474" spans="1:9" x14ac:dyDescent="0.3">
      <c r="A474">
        <f>Sheet1!A474</f>
        <v>1473</v>
      </c>
      <c r="B474" t="str">
        <f>Sheet1!B474</f>
        <v>2025-05-16</v>
      </c>
      <c r="C474" t="str">
        <f>TEXT(Sheet1!B474,"YYYY-MM")</f>
        <v>2025-05</v>
      </c>
      <c r="D474" t="str">
        <f>Sheet1!D474</f>
        <v>Delhi</v>
      </c>
      <c r="E474" t="str">
        <f>Sheet1!F474</f>
        <v>Clothing</v>
      </c>
      <c r="F474" t="str">
        <f>Sheet1!H474</f>
        <v>Sneha</v>
      </c>
      <c r="G474">
        <f>Sheet1!K474</f>
        <v>92718.1</v>
      </c>
      <c r="H474">
        <f>Sheet1!N474</f>
        <v>23357.9</v>
      </c>
      <c r="I474">
        <f t="shared" si="10"/>
        <v>1</v>
      </c>
    </row>
    <row r="475" spans="1:9" x14ac:dyDescent="0.3">
      <c r="A475">
        <f>Sheet1!A475</f>
        <v>1474</v>
      </c>
      <c r="B475" t="str">
        <f>Sheet1!B475</f>
        <v>2025-05-16</v>
      </c>
      <c r="C475" t="str">
        <f>TEXT(Sheet1!B475,"YYYY-MM")</f>
        <v>2025-05</v>
      </c>
      <c r="D475" t="str">
        <f>Sheet1!D475</f>
        <v>Bangalore</v>
      </c>
      <c r="E475" t="str">
        <f>Sheet1!F475</f>
        <v>Electronics</v>
      </c>
      <c r="F475" t="str">
        <f>Sheet1!H475</f>
        <v>Pooja</v>
      </c>
      <c r="G475">
        <f>Sheet1!K475</f>
        <v>95722</v>
      </c>
      <c r="H475">
        <f>Sheet1!N475</f>
        <v>11312.53</v>
      </c>
      <c r="I475">
        <f t="shared" si="10"/>
        <v>1</v>
      </c>
    </row>
    <row r="476" spans="1:9" x14ac:dyDescent="0.3">
      <c r="A476">
        <f>Sheet1!A476</f>
        <v>1475</v>
      </c>
      <c r="B476" t="str">
        <f>Sheet1!B476</f>
        <v>2025-05-16</v>
      </c>
      <c r="C476" t="str">
        <f>TEXT(Sheet1!B476,"YYYY-MM")</f>
        <v>2025-05</v>
      </c>
      <c r="D476" t="str">
        <f>Sheet1!D476</f>
        <v>Pune</v>
      </c>
      <c r="E476" t="str">
        <f>Sheet1!F476</f>
        <v>Furniture</v>
      </c>
      <c r="F476" t="str">
        <f>Sheet1!H476</f>
        <v>Sneha</v>
      </c>
      <c r="G476">
        <f>Sheet1!K476</f>
        <v>18594</v>
      </c>
      <c r="H476">
        <f>Sheet1!N476</f>
        <v>2101.15</v>
      </c>
      <c r="I476">
        <f t="shared" si="10"/>
        <v>1</v>
      </c>
    </row>
    <row r="477" spans="1:9" x14ac:dyDescent="0.3">
      <c r="A477">
        <f>Sheet1!A477</f>
        <v>1476</v>
      </c>
      <c r="B477" t="str">
        <f>Sheet1!B477</f>
        <v>2025-05-17</v>
      </c>
      <c r="C477" t="str">
        <f>TEXT(Sheet1!B477,"YYYY-MM")</f>
        <v>2025-05</v>
      </c>
      <c r="D477" t="str">
        <f>Sheet1!D477</f>
        <v>Pune</v>
      </c>
      <c r="E477" t="str">
        <f>Sheet1!F477</f>
        <v>Furniture</v>
      </c>
      <c r="F477" t="str">
        <f>Sheet1!H477</f>
        <v>Pooja</v>
      </c>
      <c r="G477">
        <f>Sheet1!K477</f>
        <v>119763</v>
      </c>
      <c r="H477">
        <f>Sheet1!N477</f>
        <v>19875.849999999999</v>
      </c>
      <c r="I477">
        <f t="shared" si="10"/>
        <v>1</v>
      </c>
    </row>
    <row r="478" spans="1:9" x14ac:dyDescent="0.3">
      <c r="A478">
        <f>Sheet1!A478</f>
        <v>1477</v>
      </c>
      <c r="B478" t="str">
        <f>Sheet1!B478</f>
        <v>2025-05-17</v>
      </c>
      <c r="C478" t="str">
        <f>TEXT(Sheet1!B478,"YYYY-MM")</f>
        <v>2025-05</v>
      </c>
      <c r="D478" t="str">
        <f>Sheet1!D478</f>
        <v>Delhi</v>
      </c>
      <c r="E478" t="str">
        <f>Sheet1!F478</f>
        <v>Furniture</v>
      </c>
      <c r="F478" t="str">
        <f>Sheet1!H478</f>
        <v>Rahul</v>
      </c>
      <c r="G478">
        <f>Sheet1!K478</f>
        <v>64910</v>
      </c>
      <c r="H478">
        <f>Sheet1!N478</f>
        <v>11839.65</v>
      </c>
      <c r="I478">
        <f t="shared" si="10"/>
        <v>1</v>
      </c>
    </row>
    <row r="479" spans="1:9" x14ac:dyDescent="0.3">
      <c r="A479">
        <f>Sheet1!A479</f>
        <v>1478</v>
      </c>
      <c r="B479" t="str">
        <f>Sheet1!B479</f>
        <v>2025-05-17</v>
      </c>
      <c r="C479" t="str">
        <f>TEXT(Sheet1!B479,"YYYY-MM")</f>
        <v>2025-05</v>
      </c>
      <c r="D479" t="str">
        <f>Sheet1!D479</f>
        <v>Bangalore</v>
      </c>
      <c r="E479" t="str">
        <f>Sheet1!F479</f>
        <v>Electronics</v>
      </c>
      <c r="F479" t="str">
        <f>Sheet1!H479</f>
        <v>Ajay</v>
      </c>
      <c r="G479">
        <f>Sheet1!K479</f>
        <v>35139</v>
      </c>
      <c r="H479">
        <f>Sheet1!N479</f>
        <v>3653.73</v>
      </c>
      <c r="I479">
        <f t="shared" si="10"/>
        <v>1</v>
      </c>
    </row>
    <row r="480" spans="1:9" x14ac:dyDescent="0.3">
      <c r="A480">
        <f>Sheet1!A480</f>
        <v>1479</v>
      </c>
      <c r="B480" t="str">
        <f>Sheet1!B480</f>
        <v>2025-05-18</v>
      </c>
      <c r="C480" t="str">
        <f>TEXT(Sheet1!B480,"YYYY-MM")</f>
        <v>2025-05</v>
      </c>
      <c r="D480" t="str">
        <f>Sheet1!D480</f>
        <v>Bangalore</v>
      </c>
      <c r="E480" t="str">
        <f>Sheet1!F480</f>
        <v>Furniture</v>
      </c>
      <c r="F480" t="str">
        <f>Sheet1!H480</f>
        <v>Pooja</v>
      </c>
      <c r="G480">
        <f>Sheet1!K480</f>
        <v>42927.3</v>
      </c>
      <c r="H480">
        <f>Sheet1!N480</f>
        <v>11013.99</v>
      </c>
      <c r="I480">
        <f t="shared" si="10"/>
        <v>1</v>
      </c>
    </row>
    <row r="481" spans="1:9" x14ac:dyDescent="0.3">
      <c r="A481">
        <f>Sheet1!A481</f>
        <v>1480</v>
      </c>
      <c r="B481" t="str">
        <f>Sheet1!B481</f>
        <v>2025-05-18</v>
      </c>
      <c r="C481" t="str">
        <f>TEXT(Sheet1!B481,"YYYY-MM")</f>
        <v>2025-05</v>
      </c>
      <c r="D481" t="str">
        <f>Sheet1!D481</f>
        <v>Hyderabad</v>
      </c>
      <c r="E481" t="str">
        <f>Sheet1!F481</f>
        <v>Clothing</v>
      </c>
      <c r="F481" t="str">
        <f>Sheet1!H481</f>
        <v>Pooja</v>
      </c>
      <c r="G481">
        <f>Sheet1!K481</f>
        <v>84204.9</v>
      </c>
      <c r="H481">
        <f>Sheet1!N481</f>
        <v>11848.3</v>
      </c>
      <c r="I481">
        <f t="shared" si="10"/>
        <v>1</v>
      </c>
    </row>
    <row r="482" spans="1:9" x14ac:dyDescent="0.3">
      <c r="A482">
        <f>Sheet1!A482</f>
        <v>1481</v>
      </c>
      <c r="B482" t="str">
        <f>Sheet1!B482</f>
        <v>2025-05-18</v>
      </c>
      <c r="C482" t="str">
        <f>TEXT(Sheet1!B482,"YYYY-MM")</f>
        <v>2025-05</v>
      </c>
      <c r="D482" t="str">
        <f>Sheet1!D482</f>
        <v>Pune</v>
      </c>
      <c r="E482" t="str">
        <f>Sheet1!F482</f>
        <v>Clothing</v>
      </c>
      <c r="F482" t="str">
        <f>Sheet1!H482</f>
        <v>Ajay</v>
      </c>
      <c r="G482">
        <f>Sheet1!K482</f>
        <v>52110</v>
      </c>
      <c r="H482">
        <f>Sheet1!N482</f>
        <v>14547.04</v>
      </c>
      <c r="I482">
        <f t="shared" si="10"/>
        <v>1</v>
      </c>
    </row>
    <row r="483" spans="1:9" x14ac:dyDescent="0.3">
      <c r="A483">
        <f>Sheet1!A483</f>
        <v>1482</v>
      </c>
      <c r="B483" t="str">
        <f>Sheet1!B483</f>
        <v>2025-05-18</v>
      </c>
      <c r="C483" t="str">
        <f>TEXT(Sheet1!B483,"YYYY-MM")</f>
        <v>2025-05</v>
      </c>
      <c r="D483" t="str">
        <f>Sheet1!D483</f>
        <v>Bangalore</v>
      </c>
      <c r="E483" t="str">
        <f>Sheet1!F483</f>
        <v>Clothing</v>
      </c>
      <c r="F483" t="str">
        <f>Sheet1!H483</f>
        <v>Pooja</v>
      </c>
      <c r="G483">
        <f>Sheet1!K483</f>
        <v>9381</v>
      </c>
      <c r="H483">
        <f>Sheet1!N483</f>
        <v>1713.88</v>
      </c>
      <c r="I483">
        <f t="shared" si="10"/>
        <v>1</v>
      </c>
    </row>
    <row r="484" spans="1:9" x14ac:dyDescent="0.3">
      <c r="A484">
        <f>Sheet1!A484</f>
        <v>1483</v>
      </c>
      <c r="B484" t="str">
        <f>Sheet1!B484</f>
        <v>2025-05-19</v>
      </c>
      <c r="C484" t="str">
        <f>TEXT(Sheet1!B484,"YYYY-MM")</f>
        <v>2025-05</v>
      </c>
      <c r="D484" t="str">
        <f>Sheet1!D484</f>
        <v>Delhi</v>
      </c>
      <c r="E484" t="str">
        <f>Sheet1!F484</f>
        <v>Clothing</v>
      </c>
      <c r="F484" t="str">
        <f>Sheet1!H484</f>
        <v>Sneha</v>
      </c>
      <c r="G484">
        <f>Sheet1!K484</f>
        <v>55584.9</v>
      </c>
      <c r="H484">
        <f>Sheet1!N484</f>
        <v>14445.56</v>
      </c>
      <c r="I484">
        <f t="shared" si="10"/>
        <v>1</v>
      </c>
    </row>
    <row r="485" spans="1:9" x14ac:dyDescent="0.3">
      <c r="A485">
        <f>Sheet1!A485</f>
        <v>1484</v>
      </c>
      <c r="B485" t="str">
        <f>Sheet1!B485</f>
        <v>2025-05-19</v>
      </c>
      <c r="C485" t="str">
        <f>TEXT(Sheet1!B485,"YYYY-MM")</f>
        <v>2025-05</v>
      </c>
      <c r="D485" t="str">
        <f>Sheet1!D485</f>
        <v>Pune</v>
      </c>
      <c r="E485" t="str">
        <f>Sheet1!F485</f>
        <v>Clothing</v>
      </c>
      <c r="F485" t="str">
        <f>Sheet1!H485</f>
        <v>Ajay</v>
      </c>
      <c r="G485">
        <f>Sheet1!K485</f>
        <v>44561</v>
      </c>
      <c r="H485">
        <f>Sheet1!N485</f>
        <v>4581.1899999999996</v>
      </c>
      <c r="I485">
        <f t="shared" si="10"/>
        <v>1</v>
      </c>
    </row>
    <row r="486" spans="1:9" x14ac:dyDescent="0.3">
      <c r="A486">
        <f>Sheet1!A486</f>
        <v>1485</v>
      </c>
      <c r="B486" t="str">
        <f>Sheet1!B486</f>
        <v>2025-05-20</v>
      </c>
      <c r="C486" t="str">
        <f>TEXT(Sheet1!B486,"YYYY-MM")</f>
        <v>2025-05</v>
      </c>
      <c r="D486" t="str">
        <f>Sheet1!D486</f>
        <v>Delhi</v>
      </c>
      <c r="E486" t="str">
        <f>Sheet1!F486</f>
        <v>Furniture</v>
      </c>
      <c r="F486" t="str">
        <f>Sheet1!H486</f>
        <v>Rahul</v>
      </c>
      <c r="G486">
        <f>Sheet1!K486</f>
        <v>77984</v>
      </c>
      <c r="H486">
        <f>Sheet1!N486</f>
        <v>21766.67</v>
      </c>
      <c r="I486">
        <f t="shared" si="10"/>
        <v>1</v>
      </c>
    </row>
    <row r="487" spans="1:9" x14ac:dyDescent="0.3">
      <c r="A487">
        <f>Sheet1!A487</f>
        <v>1486</v>
      </c>
      <c r="B487" t="str">
        <f>Sheet1!B487</f>
        <v>2025-05-20</v>
      </c>
      <c r="C487" t="str">
        <f>TEXT(Sheet1!B487,"YYYY-MM")</f>
        <v>2025-05</v>
      </c>
      <c r="D487" t="str">
        <f>Sheet1!D487</f>
        <v>Bangalore</v>
      </c>
      <c r="E487" t="str">
        <f>Sheet1!F487</f>
        <v>Electronics</v>
      </c>
      <c r="F487" t="str">
        <f>Sheet1!H487</f>
        <v>Sneha</v>
      </c>
      <c r="G487">
        <f>Sheet1!K487</f>
        <v>49825.3</v>
      </c>
      <c r="H487">
        <f>Sheet1!N487</f>
        <v>9485.61</v>
      </c>
      <c r="I487">
        <f t="shared" si="10"/>
        <v>1</v>
      </c>
    </row>
    <row r="488" spans="1:9" x14ac:dyDescent="0.3">
      <c r="A488">
        <f>Sheet1!A488</f>
        <v>1487</v>
      </c>
      <c r="B488" t="str">
        <f>Sheet1!B488</f>
        <v>2025-05-20</v>
      </c>
      <c r="C488" t="str">
        <f>TEXT(Sheet1!B488,"YYYY-MM")</f>
        <v>2025-05</v>
      </c>
      <c r="D488" t="str">
        <f>Sheet1!D488</f>
        <v>Delhi</v>
      </c>
      <c r="E488" t="str">
        <f>Sheet1!F488</f>
        <v>Electronics</v>
      </c>
      <c r="F488" t="str">
        <f>Sheet1!H488</f>
        <v>Sneha</v>
      </c>
      <c r="G488">
        <f>Sheet1!K488</f>
        <v>25054</v>
      </c>
      <c r="H488">
        <f>Sheet1!N488</f>
        <v>5399.52</v>
      </c>
      <c r="I488">
        <f t="shared" si="10"/>
        <v>1</v>
      </c>
    </row>
    <row r="489" spans="1:9" x14ac:dyDescent="0.3">
      <c r="A489">
        <f>Sheet1!A489</f>
        <v>1488</v>
      </c>
      <c r="B489" t="str">
        <f>Sheet1!B489</f>
        <v>2025-05-20</v>
      </c>
      <c r="C489" t="str">
        <f>TEXT(Sheet1!B489,"YYYY-MM")</f>
        <v>2025-05</v>
      </c>
      <c r="D489" t="str">
        <f>Sheet1!D489</f>
        <v>Bangalore</v>
      </c>
      <c r="E489" t="str">
        <f>Sheet1!F489</f>
        <v>Furniture</v>
      </c>
      <c r="F489" t="str">
        <f>Sheet1!H489</f>
        <v>Ajay</v>
      </c>
      <c r="G489">
        <f>Sheet1!K489</f>
        <v>128736</v>
      </c>
      <c r="H489">
        <f>Sheet1!N489</f>
        <v>24880.77</v>
      </c>
      <c r="I489">
        <f t="shared" si="10"/>
        <v>1</v>
      </c>
    </row>
    <row r="490" spans="1:9" x14ac:dyDescent="0.3">
      <c r="A490">
        <f>Sheet1!A490</f>
        <v>1489</v>
      </c>
      <c r="B490" t="str">
        <f>Sheet1!B490</f>
        <v>2025-05-20</v>
      </c>
      <c r="C490" t="str">
        <f>TEXT(Sheet1!B490,"YYYY-MM")</f>
        <v>2025-05</v>
      </c>
      <c r="D490" t="str">
        <f>Sheet1!D490</f>
        <v>Delhi</v>
      </c>
      <c r="E490" t="str">
        <f>Sheet1!F490</f>
        <v>Electronics</v>
      </c>
      <c r="F490" t="str">
        <f>Sheet1!H490</f>
        <v>Pooja</v>
      </c>
      <c r="G490">
        <f>Sheet1!K490</f>
        <v>77671.3</v>
      </c>
      <c r="H490">
        <f>Sheet1!N490</f>
        <v>18349.61</v>
      </c>
      <c r="I490">
        <f t="shared" si="10"/>
        <v>1</v>
      </c>
    </row>
    <row r="491" spans="1:9" x14ac:dyDescent="0.3">
      <c r="A491">
        <f>Sheet1!A491</f>
        <v>1490</v>
      </c>
      <c r="B491" t="str">
        <f>Sheet1!B491</f>
        <v>2025-05-21</v>
      </c>
      <c r="C491" t="str">
        <f>TEXT(Sheet1!B491,"YYYY-MM")</f>
        <v>2025-05</v>
      </c>
      <c r="D491" t="str">
        <f>Sheet1!D491</f>
        <v>Bangalore</v>
      </c>
      <c r="E491" t="str">
        <f>Sheet1!F491</f>
        <v>Furniture</v>
      </c>
      <c r="F491" t="str">
        <f>Sheet1!H491</f>
        <v>Pooja</v>
      </c>
      <c r="G491">
        <f>Sheet1!K491</f>
        <v>91875</v>
      </c>
      <c r="H491">
        <f>Sheet1!N491</f>
        <v>25175.59</v>
      </c>
      <c r="I491">
        <f t="shared" si="10"/>
        <v>1</v>
      </c>
    </row>
    <row r="492" spans="1:9" x14ac:dyDescent="0.3">
      <c r="A492">
        <f>Sheet1!A492</f>
        <v>1491</v>
      </c>
      <c r="B492" t="str">
        <f>Sheet1!B492</f>
        <v>2025-05-21</v>
      </c>
      <c r="C492" t="str">
        <f>TEXT(Sheet1!B492,"YYYY-MM")</f>
        <v>2025-05</v>
      </c>
      <c r="D492" t="str">
        <f>Sheet1!D492</f>
        <v>Pune</v>
      </c>
      <c r="E492" t="str">
        <f>Sheet1!F492</f>
        <v>Electronics</v>
      </c>
      <c r="F492" t="str">
        <f>Sheet1!H492</f>
        <v>Pooja</v>
      </c>
      <c r="G492">
        <f>Sheet1!K492</f>
        <v>13330.4</v>
      </c>
      <c r="H492">
        <f>Sheet1!N492</f>
        <v>1488.41</v>
      </c>
      <c r="I492">
        <f t="shared" si="10"/>
        <v>1</v>
      </c>
    </row>
    <row r="493" spans="1:9" x14ac:dyDescent="0.3">
      <c r="A493">
        <f>Sheet1!A493</f>
        <v>1492</v>
      </c>
      <c r="B493" t="str">
        <f>Sheet1!B493</f>
        <v>2025-05-22</v>
      </c>
      <c r="C493" t="str">
        <f>TEXT(Sheet1!B493,"YYYY-MM")</f>
        <v>2025-05</v>
      </c>
      <c r="D493" t="str">
        <f>Sheet1!D493</f>
        <v>Delhi</v>
      </c>
      <c r="E493" t="str">
        <f>Sheet1!F493</f>
        <v>Electronics</v>
      </c>
      <c r="F493" t="str">
        <f>Sheet1!H493</f>
        <v>Pooja</v>
      </c>
      <c r="G493">
        <f>Sheet1!K493</f>
        <v>73974.600000000006</v>
      </c>
      <c r="H493">
        <f>Sheet1!N493</f>
        <v>16719.37</v>
      </c>
      <c r="I493">
        <f t="shared" si="10"/>
        <v>1</v>
      </c>
    </row>
    <row r="494" spans="1:9" x14ac:dyDescent="0.3">
      <c r="A494">
        <f>Sheet1!A494</f>
        <v>1493</v>
      </c>
      <c r="B494" t="str">
        <f>Sheet1!B494</f>
        <v>2025-05-22</v>
      </c>
      <c r="C494" t="str">
        <f>TEXT(Sheet1!B494,"YYYY-MM")</f>
        <v>2025-05</v>
      </c>
      <c r="D494" t="str">
        <f>Sheet1!D494</f>
        <v>Delhi</v>
      </c>
      <c r="E494" t="str">
        <f>Sheet1!F494</f>
        <v>Furniture</v>
      </c>
      <c r="F494" t="str">
        <f>Sheet1!H494</f>
        <v>Sneha</v>
      </c>
      <c r="G494">
        <f>Sheet1!K494</f>
        <v>168993.6</v>
      </c>
      <c r="H494">
        <f>Sheet1!N494</f>
        <v>36929.4</v>
      </c>
      <c r="I494">
        <f t="shared" si="10"/>
        <v>1</v>
      </c>
    </row>
    <row r="495" spans="1:9" x14ac:dyDescent="0.3">
      <c r="A495">
        <f>Sheet1!A495</f>
        <v>1494</v>
      </c>
      <c r="B495" t="str">
        <f>Sheet1!B495</f>
        <v>2025-05-23</v>
      </c>
      <c r="C495" t="str">
        <f>TEXT(Sheet1!B495,"YYYY-MM")</f>
        <v>2025-05</v>
      </c>
      <c r="D495" t="str">
        <f>Sheet1!D495</f>
        <v>Mumbai</v>
      </c>
      <c r="E495" t="str">
        <f>Sheet1!F495</f>
        <v>Furniture</v>
      </c>
      <c r="F495" t="str">
        <f>Sheet1!H495</f>
        <v>Sneha</v>
      </c>
      <c r="G495">
        <f>Sheet1!K495</f>
        <v>45152.55</v>
      </c>
      <c r="H495">
        <f>Sheet1!N495</f>
        <v>10903.57</v>
      </c>
      <c r="I495">
        <f t="shared" si="10"/>
        <v>1</v>
      </c>
    </row>
    <row r="496" spans="1:9" x14ac:dyDescent="0.3">
      <c r="A496">
        <f>Sheet1!A496</f>
        <v>1495</v>
      </c>
      <c r="B496" t="str">
        <f>Sheet1!B496</f>
        <v>2025-05-23</v>
      </c>
      <c r="C496" t="str">
        <f>TEXT(Sheet1!B496,"YYYY-MM")</f>
        <v>2025-05</v>
      </c>
      <c r="D496" t="str">
        <f>Sheet1!D496</f>
        <v>Hyderabad</v>
      </c>
      <c r="E496" t="str">
        <f>Sheet1!F496</f>
        <v>Furniture</v>
      </c>
      <c r="F496" t="str">
        <f>Sheet1!H496</f>
        <v>Ajay</v>
      </c>
      <c r="G496">
        <f>Sheet1!K496</f>
        <v>152224.79999999999</v>
      </c>
      <c r="H496">
        <f>Sheet1!N496</f>
        <v>20989.439999999999</v>
      </c>
      <c r="I496">
        <f t="shared" si="10"/>
        <v>1</v>
      </c>
    </row>
    <row r="497" spans="1:9" x14ac:dyDescent="0.3">
      <c r="A497">
        <f>Sheet1!A497</f>
        <v>1496</v>
      </c>
      <c r="B497" t="str">
        <f>Sheet1!B497</f>
        <v>2025-05-23</v>
      </c>
      <c r="C497" t="str">
        <f>TEXT(Sheet1!B497,"YYYY-MM")</f>
        <v>2025-05</v>
      </c>
      <c r="D497" t="str">
        <f>Sheet1!D497</f>
        <v>Pune</v>
      </c>
      <c r="E497" t="str">
        <f>Sheet1!F497</f>
        <v>Furniture</v>
      </c>
      <c r="F497" t="str">
        <f>Sheet1!H497</f>
        <v>Rahul</v>
      </c>
      <c r="G497">
        <f>Sheet1!K497</f>
        <v>36618</v>
      </c>
      <c r="H497">
        <f>Sheet1!N497</f>
        <v>9471.3700000000008</v>
      </c>
      <c r="I497">
        <f t="shared" si="10"/>
        <v>1</v>
      </c>
    </row>
    <row r="498" spans="1:9" x14ac:dyDescent="0.3">
      <c r="A498">
        <f>Sheet1!A498</f>
        <v>1497</v>
      </c>
      <c r="B498" t="str">
        <f>Sheet1!B498</f>
        <v>2025-05-24</v>
      </c>
      <c r="C498" t="str">
        <f>TEXT(Sheet1!B498,"YYYY-MM")</f>
        <v>2025-05</v>
      </c>
      <c r="D498" t="str">
        <f>Sheet1!D498</f>
        <v>Hyderabad</v>
      </c>
      <c r="E498" t="str">
        <f>Sheet1!F498</f>
        <v>Furniture</v>
      </c>
      <c r="F498" t="str">
        <f>Sheet1!H498</f>
        <v>Ajay</v>
      </c>
      <c r="G498">
        <f>Sheet1!K498</f>
        <v>176419.75</v>
      </c>
      <c r="H498">
        <f>Sheet1!N498</f>
        <v>23322.09</v>
      </c>
      <c r="I498">
        <f t="shared" si="10"/>
        <v>1</v>
      </c>
    </row>
    <row r="499" spans="1:9" x14ac:dyDescent="0.3">
      <c r="A499">
        <f>Sheet1!A499</f>
        <v>1498</v>
      </c>
      <c r="B499" t="str">
        <f>Sheet1!B499</f>
        <v>2025-05-24</v>
      </c>
      <c r="C499" t="str">
        <f>TEXT(Sheet1!B499,"YYYY-MM")</f>
        <v>2025-05</v>
      </c>
      <c r="D499" t="str">
        <f>Sheet1!D499</f>
        <v>Bangalore</v>
      </c>
      <c r="E499" t="str">
        <f>Sheet1!F499</f>
        <v>Clothing</v>
      </c>
      <c r="F499" t="str">
        <f>Sheet1!H499</f>
        <v>Rahul</v>
      </c>
      <c r="G499">
        <f>Sheet1!K499</f>
        <v>55280</v>
      </c>
      <c r="H499">
        <f>Sheet1!N499</f>
        <v>6979.73</v>
      </c>
      <c r="I499">
        <f t="shared" si="10"/>
        <v>1</v>
      </c>
    </row>
    <row r="500" spans="1:9" x14ac:dyDescent="0.3">
      <c r="A500">
        <f>Sheet1!A500</f>
        <v>1499</v>
      </c>
      <c r="B500" t="str">
        <f>Sheet1!B500</f>
        <v>2025-05-24</v>
      </c>
      <c r="C500" t="str">
        <f>TEXT(Sheet1!B500,"YYYY-MM")</f>
        <v>2025-05</v>
      </c>
      <c r="D500" t="str">
        <f>Sheet1!D500</f>
        <v>Delhi</v>
      </c>
      <c r="E500" t="str">
        <f>Sheet1!F500</f>
        <v>Clothing</v>
      </c>
      <c r="F500" t="str">
        <f>Sheet1!H500</f>
        <v>Sneha</v>
      </c>
      <c r="G500">
        <f>Sheet1!K500</f>
        <v>39828</v>
      </c>
      <c r="H500">
        <f>Sheet1!N500</f>
        <v>4458.8599999999997</v>
      </c>
      <c r="I500">
        <f t="shared" si="10"/>
        <v>1</v>
      </c>
    </row>
    <row r="501" spans="1:9" x14ac:dyDescent="0.3">
      <c r="A501">
        <f>Sheet1!A501</f>
        <v>1500</v>
      </c>
      <c r="B501" t="str">
        <f>Sheet1!B501</f>
        <v>2025-05-25</v>
      </c>
      <c r="C501" t="str">
        <f>TEXT(Sheet1!B501,"YYYY-MM")</f>
        <v>2025-05</v>
      </c>
      <c r="D501" t="str">
        <f>Sheet1!D501</f>
        <v>Delhi</v>
      </c>
      <c r="E501" t="str">
        <f>Sheet1!F501</f>
        <v>Furniture</v>
      </c>
      <c r="F501" t="str">
        <f>Sheet1!H501</f>
        <v>Ajay</v>
      </c>
      <c r="G501">
        <f>Sheet1!K501</f>
        <v>151036.5</v>
      </c>
      <c r="H501">
        <f>Sheet1!N501</f>
        <v>37558.300000000003</v>
      </c>
      <c r="I501">
        <f t="shared" si="10"/>
        <v>1</v>
      </c>
    </row>
    <row r="502" spans="1:9" x14ac:dyDescent="0.3">
      <c r="A502">
        <f>Sheet1!A502</f>
        <v>1501</v>
      </c>
      <c r="B502" t="str">
        <f>Sheet1!B502</f>
        <v>2025-05-25</v>
      </c>
      <c r="C502" t="str">
        <f>TEXT(Sheet1!B502,"YYYY-MM")</f>
        <v>2025-05</v>
      </c>
      <c r="D502" t="str">
        <f>Sheet1!D502</f>
        <v>Delhi</v>
      </c>
      <c r="E502" t="str">
        <f>Sheet1!F502</f>
        <v>Clothing</v>
      </c>
      <c r="F502" t="str">
        <f>Sheet1!H502</f>
        <v>Sneha</v>
      </c>
      <c r="G502">
        <f>Sheet1!K502</f>
        <v>130455</v>
      </c>
      <c r="H502">
        <f>Sheet1!N502</f>
        <v>33029</v>
      </c>
      <c r="I502">
        <f t="shared" si="10"/>
        <v>1</v>
      </c>
    </row>
    <row r="503" spans="1:9" x14ac:dyDescent="0.3">
      <c r="A503">
        <f>Sheet1!A503</f>
        <v>1502</v>
      </c>
      <c r="B503" t="str">
        <f>Sheet1!B503</f>
        <v>2025-05-26</v>
      </c>
      <c r="C503" t="str">
        <f>TEXT(Sheet1!B503,"YYYY-MM")</f>
        <v>2025-05</v>
      </c>
      <c r="D503" t="str">
        <f>Sheet1!D503</f>
        <v>Hyderabad</v>
      </c>
      <c r="E503" t="str">
        <f>Sheet1!F503</f>
        <v>Electronics</v>
      </c>
      <c r="F503" t="str">
        <f>Sheet1!H503</f>
        <v>Rahul</v>
      </c>
      <c r="G503">
        <f>Sheet1!K503</f>
        <v>60164.7</v>
      </c>
      <c r="H503">
        <f>Sheet1!N503</f>
        <v>7885.42</v>
      </c>
      <c r="I503">
        <f t="shared" si="10"/>
        <v>1</v>
      </c>
    </row>
    <row r="504" spans="1:9" x14ac:dyDescent="0.3">
      <c r="A504">
        <f>Sheet1!A504</f>
        <v>1503</v>
      </c>
      <c r="B504" t="str">
        <f>Sheet1!B504</f>
        <v>2025-05-26</v>
      </c>
      <c r="C504" t="str">
        <f>TEXT(Sheet1!B504,"YYYY-MM")</f>
        <v>2025-05</v>
      </c>
      <c r="D504" t="str">
        <f>Sheet1!D504</f>
        <v>Hyderabad</v>
      </c>
      <c r="E504" t="str">
        <f>Sheet1!F504</f>
        <v>Electronics</v>
      </c>
      <c r="F504" t="str">
        <f>Sheet1!H504</f>
        <v>Pooja</v>
      </c>
      <c r="G504">
        <f>Sheet1!K504</f>
        <v>12955</v>
      </c>
      <c r="H504">
        <f>Sheet1!N504</f>
        <v>3866.37</v>
      </c>
      <c r="I504">
        <f t="shared" si="10"/>
        <v>1</v>
      </c>
    </row>
    <row r="505" spans="1:9" x14ac:dyDescent="0.3">
      <c r="A505">
        <f>Sheet1!A505</f>
        <v>1504</v>
      </c>
      <c r="B505" t="str">
        <f>Sheet1!B505</f>
        <v>2025-05-26</v>
      </c>
      <c r="C505" t="str">
        <f>TEXT(Sheet1!B505,"YYYY-MM")</f>
        <v>2025-05</v>
      </c>
      <c r="D505" t="str">
        <f>Sheet1!D505</f>
        <v>Hyderabad</v>
      </c>
      <c r="E505" t="str">
        <f>Sheet1!F505</f>
        <v>Furniture</v>
      </c>
      <c r="F505" t="str">
        <f>Sheet1!H505</f>
        <v>Pooja</v>
      </c>
      <c r="G505">
        <f>Sheet1!K505</f>
        <v>31471.25</v>
      </c>
      <c r="H505">
        <f>Sheet1!N505</f>
        <v>4712.54</v>
      </c>
      <c r="I505">
        <f t="shared" si="10"/>
        <v>1</v>
      </c>
    </row>
    <row r="506" spans="1:9" x14ac:dyDescent="0.3">
      <c r="A506">
        <f>Sheet1!A506</f>
        <v>1505</v>
      </c>
      <c r="B506" t="str">
        <f>Sheet1!B506</f>
        <v>2025-05-26</v>
      </c>
      <c r="C506" t="str">
        <f>TEXT(Sheet1!B506,"YYYY-MM")</f>
        <v>2025-05</v>
      </c>
      <c r="D506" t="str">
        <f>Sheet1!D506</f>
        <v>Pune</v>
      </c>
      <c r="E506" t="str">
        <f>Sheet1!F506</f>
        <v>Furniture</v>
      </c>
      <c r="F506" t="str">
        <f>Sheet1!H506</f>
        <v>Pooja</v>
      </c>
      <c r="G506">
        <f>Sheet1!K506</f>
        <v>84696.3</v>
      </c>
      <c r="H506">
        <f>Sheet1!N506</f>
        <v>9605.01</v>
      </c>
      <c r="I506">
        <f t="shared" si="10"/>
        <v>1</v>
      </c>
    </row>
    <row r="507" spans="1:9" x14ac:dyDescent="0.3">
      <c r="A507">
        <f>Sheet1!A507</f>
        <v>1506</v>
      </c>
      <c r="B507" t="str">
        <f>Sheet1!B507</f>
        <v>2025-05-27</v>
      </c>
      <c r="C507" t="str">
        <f>TEXT(Sheet1!B507,"YYYY-MM")</f>
        <v>2025-05</v>
      </c>
      <c r="D507" t="str">
        <f>Sheet1!D507</f>
        <v>Hyderabad</v>
      </c>
      <c r="E507" t="str">
        <f>Sheet1!F507</f>
        <v>Furniture</v>
      </c>
      <c r="F507" t="str">
        <f>Sheet1!H507</f>
        <v>Sneha</v>
      </c>
      <c r="G507">
        <f>Sheet1!K507</f>
        <v>160327</v>
      </c>
      <c r="H507">
        <f>Sheet1!N507</f>
        <v>25338.07</v>
      </c>
      <c r="I507">
        <f t="shared" si="10"/>
        <v>1</v>
      </c>
    </row>
    <row r="508" spans="1:9" x14ac:dyDescent="0.3">
      <c r="A508">
        <f>Sheet1!A508</f>
        <v>1507</v>
      </c>
      <c r="B508" t="str">
        <f>Sheet1!B508</f>
        <v>2025-05-27</v>
      </c>
      <c r="C508" t="str">
        <f>TEXT(Sheet1!B508,"YYYY-MM")</f>
        <v>2025-05</v>
      </c>
      <c r="D508" t="str">
        <f>Sheet1!D508</f>
        <v>Hyderabad</v>
      </c>
      <c r="E508" t="str">
        <f>Sheet1!F508</f>
        <v>Clothing</v>
      </c>
      <c r="F508" t="str">
        <f>Sheet1!H508</f>
        <v>Ajay</v>
      </c>
      <c r="G508">
        <f>Sheet1!K508</f>
        <v>3197.7</v>
      </c>
      <c r="H508">
        <f>Sheet1!N508</f>
        <v>561.53</v>
      </c>
      <c r="I508">
        <f t="shared" si="10"/>
        <v>1</v>
      </c>
    </row>
    <row r="509" spans="1:9" x14ac:dyDescent="0.3">
      <c r="A509">
        <f>Sheet1!A509</f>
        <v>1508</v>
      </c>
      <c r="B509" t="str">
        <f>Sheet1!B509</f>
        <v>2025-05-27</v>
      </c>
      <c r="C509" t="str">
        <f>TEXT(Sheet1!B509,"YYYY-MM")</f>
        <v>2025-05</v>
      </c>
      <c r="D509" t="str">
        <f>Sheet1!D509</f>
        <v>Bangalore</v>
      </c>
      <c r="E509" t="str">
        <f>Sheet1!F509</f>
        <v>Electronics</v>
      </c>
      <c r="F509" t="str">
        <f>Sheet1!H509</f>
        <v>Ajay</v>
      </c>
      <c r="G509">
        <f>Sheet1!K509</f>
        <v>120768.75</v>
      </c>
      <c r="H509">
        <f>Sheet1!N509</f>
        <v>35790.69</v>
      </c>
      <c r="I509">
        <f t="shared" si="10"/>
        <v>1</v>
      </c>
    </row>
    <row r="510" spans="1:9" x14ac:dyDescent="0.3">
      <c r="A510">
        <f>Sheet1!A510</f>
        <v>1509</v>
      </c>
      <c r="B510" t="str">
        <f>Sheet1!B510</f>
        <v>2025-05-28</v>
      </c>
      <c r="C510" t="str">
        <f>TEXT(Sheet1!B510,"YYYY-MM")</f>
        <v>2025-05</v>
      </c>
      <c r="D510" t="str">
        <f>Sheet1!D510</f>
        <v>Pune</v>
      </c>
      <c r="E510" t="str">
        <f>Sheet1!F510</f>
        <v>Electronics</v>
      </c>
      <c r="F510" t="str">
        <f>Sheet1!H510</f>
        <v>Sneha</v>
      </c>
      <c r="G510">
        <f>Sheet1!K510</f>
        <v>52924</v>
      </c>
      <c r="H510">
        <f>Sheet1!N510</f>
        <v>15333.98</v>
      </c>
      <c r="I510">
        <f t="shared" si="10"/>
        <v>1</v>
      </c>
    </row>
    <row r="511" spans="1:9" x14ac:dyDescent="0.3">
      <c r="A511">
        <f>Sheet1!A511</f>
        <v>1510</v>
      </c>
      <c r="B511" t="str">
        <f>Sheet1!B511</f>
        <v>2025-05-28</v>
      </c>
      <c r="C511" t="str">
        <f>TEXT(Sheet1!B511,"YYYY-MM")</f>
        <v>2025-05</v>
      </c>
      <c r="D511" t="str">
        <f>Sheet1!D511</f>
        <v>Bangalore</v>
      </c>
      <c r="E511" t="str">
        <f>Sheet1!F511</f>
        <v>Furniture</v>
      </c>
      <c r="F511" t="str">
        <f>Sheet1!H511</f>
        <v>Sneha</v>
      </c>
      <c r="G511">
        <f>Sheet1!K511</f>
        <v>127053</v>
      </c>
      <c r="H511">
        <f>Sheet1!N511</f>
        <v>30196.59</v>
      </c>
      <c r="I511">
        <f t="shared" si="10"/>
        <v>1</v>
      </c>
    </row>
    <row r="512" spans="1:9" x14ac:dyDescent="0.3">
      <c r="A512">
        <f>Sheet1!A512</f>
        <v>1511</v>
      </c>
      <c r="B512" t="str">
        <f>Sheet1!B512</f>
        <v>2025-05-28</v>
      </c>
      <c r="C512" t="str">
        <f>TEXT(Sheet1!B512,"YYYY-MM")</f>
        <v>2025-05</v>
      </c>
      <c r="D512" t="str">
        <f>Sheet1!D512</f>
        <v>Pune</v>
      </c>
      <c r="E512" t="str">
        <f>Sheet1!F512</f>
        <v>Furniture</v>
      </c>
      <c r="F512" t="str">
        <f>Sheet1!H512</f>
        <v>Ajay</v>
      </c>
      <c r="G512">
        <f>Sheet1!K512</f>
        <v>84085.2</v>
      </c>
      <c r="H512">
        <f>Sheet1!N512</f>
        <v>12305.36</v>
      </c>
      <c r="I512">
        <f t="shared" si="10"/>
        <v>1</v>
      </c>
    </row>
    <row r="513" spans="1:9" x14ac:dyDescent="0.3">
      <c r="A513">
        <f>Sheet1!A513</f>
        <v>1512</v>
      </c>
      <c r="B513" t="str">
        <f>Sheet1!B513</f>
        <v>2025-05-29</v>
      </c>
      <c r="C513" t="str">
        <f>TEXT(Sheet1!B513,"YYYY-MM")</f>
        <v>2025-05</v>
      </c>
      <c r="D513" t="str">
        <f>Sheet1!D513</f>
        <v>Bangalore</v>
      </c>
      <c r="E513" t="str">
        <f>Sheet1!F513</f>
        <v>Electronics</v>
      </c>
      <c r="F513" t="str">
        <f>Sheet1!H513</f>
        <v>Pooja</v>
      </c>
      <c r="G513">
        <f>Sheet1!K513</f>
        <v>21508.2</v>
      </c>
      <c r="H513">
        <f>Sheet1!N513</f>
        <v>2375.63</v>
      </c>
      <c r="I513">
        <f t="shared" si="10"/>
        <v>1</v>
      </c>
    </row>
    <row r="514" spans="1:9" x14ac:dyDescent="0.3">
      <c r="A514">
        <f>Sheet1!A514</f>
        <v>1513</v>
      </c>
      <c r="B514" t="str">
        <f>Sheet1!B514</f>
        <v>2025-05-29</v>
      </c>
      <c r="C514" t="str">
        <f>TEXT(Sheet1!B514,"YYYY-MM")</f>
        <v>2025-05</v>
      </c>
      <c r="D514" t="str">
        <f>Sheet1!D514</f>
        <v>Pune</v>
      </c>
      <c r="E514" t="str">
        <f>Sheet1!F514</f>
        <v>Clothing</v>
      </c>
      <c r="F514" t="str">
        <f>Sheet1!H514</f>
        <v>Rahul</v>
      </c>
      <c r="G514">
        <f>Sheet1!K514</f>
        <v>111433.5</v>
      </c>
      <c r="H514">
        <f>Sheet1!N514</f>
        <v>22200.39</v>
      </c>
      <c r="I514">
        <f t="shared" ref="I514:I577" si="11">IF(AND(OR(FilterCity="All",D514=FilterCity),OR(FilterCategory="All",E514=FilterCategory),OR(FilterRep="All",F514=FilterRep),C514&gt;=FilterMonthFrom,C514&lt;=FilterMonthTo),1,0)</f>
        <v>1</v>
      </c>
    </row>
    <row r="515" spans="1:9" x14ac:dyDescent="0.3">
      <c r="A515">
        <f>Sheet1!A515</f>
        <v>1514</v>
      </c>
      <c r="B515" t="str">
        <f>Sheet1!B515</f>
        <v>2025-05-29</v>
      </c>
      <c r="C515" t="str">
        <f>TEXT(Sheet1!B515,"YYYY-MM")</f>
        <v>2025-05</v>
      </c>
      <c r="D515" t="str">
        <f>Sheet1!D515</f>
        <v>Bangalore</v>
      </c>
      <c r="E515" t="str">
        <f>Sheet1!F515</f>
        <v>Electronics</v>
      </c>
      <c r="F515" t="str">
        <f>Sheet1!H515</f>
        <v>Rahul</v>
      </c>
      <c r="G515">
        <f>Sheet1!K515</f>
        <v>139741.20000000001</v>
      </c>
      <c r="H515">
        <f>Sheet1!N515</f>
        <v>28081.65</v>
      </c>
      <c r="I515">
        <f t="shared" si="11"/>
        <v>1</v>
      </c>
    </row>
    <row r="516" spans="1:9" x14ac:dyDescent="0.3">
      <c r="A516">
        <f>Sheet1!A516</f>
        <v>1515</v>
      </c>
      <c r="B516" t="str">
        <f>Sheet1!B516</f>
        <v>2025-05-30</v>
      </c>
      <c r="C516" t="str">
        <f>TEXT(Sheet1!B516,"YYYY-MM")</f>
        <v>2025-05</v>
      </c>
      <c r="D516" t="str">
        <f>Sheet1!D516</f>
        <v>Pune</v>
      </c>
      <c r="E516" t="str">
        <f>Sheet1!F516</f>
        <v>Furniture</v>
      </c>
      <c r="F516" t="str">
        <f>Sheet1!H516</f>
        <v>Rahul</v>
      </c>
      <c r="G516">
        <f>Sheet1!K516</f>
        <v>63331.199999999997</v>
      </c>
      <c r="H516">
        <f>Sheet1!N516</f>
        <v>10976.69</v>
      </c>
      <c r="I516">
        <f t="shared" si="11"/>
        <v>1</v>
      </c>
    </row>
    <row r="517" spans="1:9" x14ac:dyDescent="0.3">
      <c r="A517">
        <f>Sheet1!A517</f>
        <v>1516</v>
      </c>
      <c r="B517" t="str">
        <f>Sheet1!B517</f>
        <v>2025-05-30</v>
      </c>
      <c r="C517" t="str">
        <f>TEXT(Sheet1!B517,"YYYY-MM")</f>
        <v>2025-05</v>
      </c>
      <c r="D517" t="str">
        <f>Sheet1!D517</f>
        <v>Bangalore</v>
      </c>
      <c r="E517" t="str">
        <f>Sheet1!F517</f>
        <v>Clothing</v>
      </c>
      <c r="F517" t="str">
        <f>Sheet1!H517</f>
        <v>Sneha</v>
      </c>
      <c r="G517">
        <f>Sheet1!K517</f>
        <v>127574.55</v>
      </c>
      <c r="H517">
        <f>Sheet1!N517</f>
        <v>23687.64</v>
      </c>
      <c r="I517">
        <f t="shared" si="11"/>
        <v>1</v>
      </c>
    </row>
    <row r="518" spans="1:9" x14ac:dyDescent="0.3">
      <c r="A518">
        <f>Sheet1!A518</f>
        <v>1517</v>
      </c>
      <c r="B518" t="str">
        <f>Sheet1!B518</f>
        <v>2025-05-30</v>
      </c>
      <c r="C518" t="str">
        <f>TEXT(Sheet1!B518,"YYYY-MM")</f>
        <v>2025-05</v>
      </c>
      <c r="D518" t="str">
        <f>Sheet1!D518</f>
        <v>Mumbai</v>
      </c>
      <c r="E518" t="str">
        <f>Sheet1!F518</f>
        <v>Electronics</v>
      </c>
      <c r="F518" t="str">
        <f>Sheet1!H518</f>
        <v>Pooja</v>
      </c>
      <c r="G518">
        <f>Sheet1!K518</f>
        <v>5506.2</v>
      </c>
      <c r="H518">
        <f>Sheet1!N518</f>
        <v>1595.94</v>
      </c>
      <c r="I518">
        <f t="shared" si="11"/>
        <v>1</v>
      </c>
    </row>
    <row r="519" spans="1:9" x14ac:dyDescent="0.3">
      <c r="A519">
        <f>Sheet1!A519</f>
        <v>1518</v>
      </c>
      <c r="B519" t="str">
        <f>Sheet1!B519</f>
        <v>2025-05-30</v>
      </c>
      <c r="C519" t="str">
        <f>TEXT(Sheet1!B519,"YYYY-MM")</f>
        <v>2025-05</v>
      </c>
      <c r="D519" t="str">
        <f>Sheet1!D519</f>
        <v>Mumbai</v>
      </c>
      <c r="E519" t="str">
        <f>Sheet1!F519</f>
        <v>Furniture</v>
      </c>
      <c r="F519" t="str">
        <f>Sheet1!H519</f>
        <v>Rahul</v>
      </c>
      <c r="G519">
        <f>Sheet1!K519</f>
        <v>93356</v>
      </c>
      <c r="H519">
        <f>Sheet1!N519</f>
        <v>10579.61</v>
      </c>
      <c r="I519">
        <f t="shared" si="11"/>
        <v>1</v>
      </c>
    </row>
    <row r="520" spans="1:9" x14ac:dyDescent="0.3">
      <c r="A520">
        <f>Sheet1!A520</f>
        <v>1519</v>
      </c>
      <c r="B520" t="str">
        <f>Sheet1!B520</f>
        <v>2025-05-30</v>
      </c>
      <c r="C520" t="str">
        <f>TEXT(Sheet1!B520,"YYYY-MM")</f>
        <v>2025-05</v>
      </c>
      <c r="D520" t="str">
        <f>Sheet1!D520</f>
        <v>Pune</v>
      </c>
      <c r="E520" t="str">
        <f>Sheet1!F520</f>
        <v>Furniture</v>
      </c>
      <c r="F520" t="str">
        <f>Sheet1!H520</f>
        <v>Sneha</v>
      </c>
      <c r="G520">
        <f>Sheet1!K520</f>
        <v>90136</v>
      </c>
      <c r="H520">
        <f>Sheet1!N520</f>
        <v>11286.8</v>
      </c>
      <c r="I520">
        <f t="shared" si="11"/>
        <v>1</v>
      </c>
    </row>
    <row r="521" spans="1:9" x14ac:dyDescent="0.3">
      <c r="A521">
        <f>Sheet1!A521</f>
        <v>1520</v>
      </c>
      <c r="B521" t="str">
        <f>Sheet1!B521</f>
        <v>2025-05-31</v>
      </c>
      <c r="C521" t="str">
        <f>TEXT(Sheet1!B521,"YYYY-MM")</f>
        <v>2025-05</v>
      </c>
      <c r="D521" t="str">
        <f>Sheet1!D521</f>
        <v>Pune</v>
      </c>
      <c r="E521" t="str">
        <f>Sheet1!F521</f>
        <v>Furniture</v>
      </c>
      <c r="F521" t="str">
        <f>Sheet1!H521</f>
        <v>Rahul</v>
      </c>
      <c r="G521">
        <f>Sheet1!K521</f>
        <v>13995.9</v>
      </c>
      <c r="H521">
        <f>Sheet1!N521</f>
        <v>2912.27</v>
      </c>
      <c r="I521">
        <f t="shared" si="11"/>
        <v>1</v>
      </c>
    </row>
    <row r="522" spans="1:9" x14ac:dyDescent="0.3">
      <c r="A522">
        <f>Sheet1!A522</f>
        <v>1521</v>
      </c>
      <c r="B522" t="str">
        <f>Sheet1!B522</f>
        <v>2025-05-31</v>
      </c>
      <c r="C522" t="str">
        <f>TEXT(Sheet1!B522,"YYYY-MM")</f>
        <v>2025-05</v>
      </c>
      <c r="D522" t="str">
        <f>Sheet1!D522</f>
        <v>Delhi</v>
      </c>
      <c r="E522" t="str">
        <f>Sheet1!F522</f>
        <v>Electronics</v>
      </c>
      <c r="F522" t="str">
        <f>Sheet1!H522</f>
        <v>Ajay</v>
      </c>
      <c r="G522">
        <f>Sheet1!K522</f>
        <v>11067.3</v>
      </c>
      <c r="H522">
        <f>Sheet1!N522</f>
        <v>1443.41</v>
      </c>
      <c r="I522">
        <f t="shared" si="11"/>
        <v>1</v>
      </c>
    </row>
    <row r="523" spans="1:9" x14ac:dyDescent="0.3">
      <c r="A523">
        <f>Sheet1!A523</f>
        <v>1522</v>
      </c>
      <c r="B523" t="str">
        <f>Sheet1!B523</f>
        <v>2025-06-01</v>
      </c>
      <c r="C523" t="str">
        <f>TEXT(Sheet1!B523,"YYYY-MM")</f>
        <v>2025-06</v>
      </c>
      <c r="D523" t="str">
        <f>Sheet1!D523</f>
        <v>Pune</v>
      </c>
      <c r="E523" t="str">
        <f>Sheet1!F523</f>
        <v>Electronics</v>
      </c>
      <c r="F523" t="str">
        <f>Sheet1!H523</f>
        <v>Pooja</v>
      </c>
      <c r="G523">
        <f>Sheet1!K523</f>
        <v>32498.9</v>
      </c>
      <c r="H523">
        <f>Sheet1!N523</f>
        <v>7780.16</v>
      </c>
      <c r="I523">
        <f t="shared" si="11"/>
        <v>1</v>
      </c>
    </row>
    <row r="524" spans="1:9" x14ac:dyDescent="0.3">
      <c r="A524">
        <f>Sheet1!A524</f>
        <v>1523</v>
      </c>
      <c r="B524" t="str">
        <f>Sheet1!B524</f>
        <v>2025-06-01</v>
      </c>
      <c r="C524" t="str">
        <f>TEXT(Sheet1!B524,"YYYY-MM")</f>
        <v>2025-06</v>
      </c>
      <c r="D524" t="str">
        <f>Sheet1!D524</f>
        <v>Delhi</v>
      </c>
      <c r="E524" t="str">
        <f>Sheet1!F524</f>
        <v>Clothing</v>
      </c>
      <c r="F524" t="str">
        <f>Sheet1!H524</f>
        <v>Pooja</v>
      </c>
      <c r="G524">
        <f>Sheet1!K524</f>
        <v>24135</v>
      </c>
      <c r="H524">
        <f>Sheet1!N524</f>
        <v>4581.6499999999996</v>
      </c>
      <c r="I524">
        <f t="shared" si="11"/>
        <v>1</v>
      </c>
    </row>
    <row r="525" spans="1:9" x14ac:dyDescent="0.3">
      <c r="A525">
        <f>Sheet1!A525</f>
        <v>1524</v>
      </c>
      <c r="B525" t="str">
        <f>Sheet1!B525</f>
        <v>2025-06-01</v>
      </c>
      <c r="C525" t="str">
        <f>TEXT(Sheet1!B525,"YYYY-MM")</f>
        <v>2025-06</v>
      </c>
      <c r="D525" t="str">
        <f>Sheet1!D525</f>
        <v>Delhi</v>
      </c>
      <c r="E525" t="str">
        <f>Sheet1!F525</f>
        <v>Clothing</v>
      </c>
      <c r="F525" t="str">
        <f>Sheet1!H525</f>
        <v>Pooja</v>
      </c>
      <c r="G525">
        <f>Sheet1!K525</f>
        <v>22456.1</v>
      </c>
      <c r="H525">
        <f>Sheet1!N525</f>
        <v>6697.43</v>
      </c>
      <c r="I525">
        <f t="shared" si="11"/>
        <v>1</v>
      </c>
    </row>
    <row r="526" spans="1:9" x14ac:dyDescent="0.3">
      <c r="A526">
        <f>Sheet1!A526</f>
        <v>1525</v>
      </c>
      <c r="B526" t="str">
        <f>Sheet1!B526</f>
        <v>2025-06-01</v>
      </c>
      <c r="C526" t="str">
        <f>TEXT(Sheet1!B526,"YYYY-MM")</f>
        <v>2025-06</v>
      </c>
      <c r="D526" t="str">
        <f>Sheet1!D526</f>
        <v>Bangalore</v>
      </c>
      <c r="E526" t="str">
        <f>Sheet1!F526</f>
        <v>Clothing</v>
      </c>
      <c r="F526" t="str">
        <f>Sheet1!H526</f>
        <v>Ajay</v>
      </c>
      <c r="G526">
        <f>Sheet1!K526</f>
        <v>39728</v>
      </c>
      <c r="H526">
        <f>Sheet1!N526</f>
        <v>7180.57</v>
      </c>
      <c r="I526">
        <f t="shared" si="11"/>
        <v>1</v>
      </c>
    </row>
    <row r="527" spans="1:9" x14ac:dyDescent="0.3">
      <c r="A527">
        <f>Sheet1!A527</f>
        <v>1526</v>
      </c>
      <c r="B527" t="str">
        <f>Sheet1!B527</f>
        <v>2025-06-01</v>
      </c>
      <c r="C527" t="str">
        <f>TEXT(Sheet1!B527,"YYYY-MM")</f>
        <v>2025-06</v>
      </c>
      <c r="D527" t="str">
        <f>Sheet1!D527</f>
        <v>Pune</v>
      </c>
      <c r="E527" t="str">
        <f>Sheet1!F527</f>
        <v>Electronics</v>
      </c>
      <c r="F527" t="str">
        <f>Sheet1!H527</f>
        <v>Sneha</v>
      </c>
      <c r="G527">
        <f>Sheet1!K527</f>
        <v>21722</v>
      </c>
      <c r="H527">
        <f>Sheet1!N527</f>
        <v>3397.26</v>
      </c>
      <c r="I527">
        <f t="shared" si="11"/>
        <v>1</v>
      </c>
    </row>
    <row r="528" spans="1:9" x14ac:dyDescent="0.3">
      <c r="A528">
        <f>Sheet1!A528</f>
        <v>1527</v>
      </c>
      <c r="B528" t="str">
        <f>Sheet1!B528</f>
        <v>2025-06-02</v>
      </c>
      <c r="C528" t="str">
        <f>TEXT(Sheet1!B528,"YYYY-MM")</f>
        <v>2025-06</v>
      </c>
      <c r="D528" t="str">
        <f>Sheet1!D528</f>
        <v>Mumbai</v>
      </c>
      <c r="E528" t="str">
        <f>Sheet1!F528</f>
        <v>Clothing</v>
      </c>
      <c r="F528" t="str">
        <f>Sheet1!H528</f>
        <v>Pooja</v>
      </c>
      <c r="G528">
        <f>Sheet1!K528</f>
        <v>68061.600000000006</v>
      </c>
      <c r="H528">
        <f>Sheet1!N528</f>
        <v>18699.63</v>
      </c>
      <c r="I528">
        <f t="shared" si="11"/>
        <v>1</v>
      </c>
    </row>
    <row r="529" spans="1:9" x14ac:dyDescent="0.3">
      <c r="A529">
        <f>Sheet1!A529</f>
        <v>1528</v>
      </c>
      <c r="B529" t="str">
        <f>Sheet1!B529</f>
        <v>2025-06-02</v>
      </c>
      <c r="C529" t="str">
        <f>TEXT(Sheet1!B529,"YYYY-MM")</f>
        <v>2025-06</v>
      </c>
      <c r="D529" t="str">
        <f>Sheet1!D529</f>
        <v>Bangalore</v>
      </c>
      <c r="E529" t="str">
        <f>Sheet1!F529</f>
        <v>Clothing</v>
      </c>
      <c r="F529" t="str">
        <f>Sheet1!H529</f>
        <v>Pooja</v>
      </c>
      <c r="G529">
        <f>Sheet1!K529</f>
        <v>36157.300000000003</v>
      </c>
      <c r="H529">
        <f>Sheet1!N529</f>
        <v>9403.64</v>
      </c>
      <c r="I529">
        <f t="shared" si="11"/>
        <v>1</v>
      </c>
    </row>
    <row r="530" spans="1:9" x14ac:dyDescent="0.3">
      <c r="A530">
        <f>Sheet1!A530</f>
        <v>1529</v>
      </c>
      <c r="B530" t="str">
        <f>Sheet1!B530</f>
        <v>2025-06-02</v>
      </c>
      <c r="C530" t="str">
        <f>TEXT(Sheet1!B530,"YYYY-MM")</f>
        <v>2025-06</v>
      </c>
      <c r="D530" t="str">
        <f>Sheet1!D530</f>
        <v>Hyderabad</v>
      </c>
      <c r="E530" t="str">
        <f>Sheet1!F530</f>
        <v>Furniture</v>
      </c>
      <c r="F530" t="str">
        <f>Sheet1!H530</f>
        <v>Ajay</v>
      </c>
      <c r="G530">
        <f>Sheet1!K530</f>
        <v>45840</v>
      </c>
      <c r="H530">
        <f>Sheet1!N530</f>
        <v>5131.1099999999997</v>
      </c>
      <c r="I530">
        <f t="shared" si="11"/>
        <v>1</v>
      </c>
    </row>
    <row r="531" spans="1:9" x14ac:dyDescent="0.3">
      <c r="A531">
        <f>Sheet1!A531</f>
        <v>1530</v>
      </c>
      <c r="B531" t="str">
        <f>Sheet1!B531</f>
        <v>2025-06-02</v>
      </c>
      <c r="C531" t="str">
        <f>TEXT(Sheet1!B531,"YYYY-MM")</f>
        <v>2025-06</v>
      </c>
      <c r="D531" t="str">
        <f>Sheet1!D531</f>
        <v>Bangalore</v>
      </c>
      <c r="E531" t="str">
        <f>Sheet1!F531</f>
        <v>Electronics</v>
      </c>
      <c r="F531" t="str">
        <f>Sheet1!H531</f>
        <v>Ajay</v>
      </c>
      <c r="G531">
        <f>Sheet1!K531</f>
        <v>113670</v>
      </c>
      <c r="H531">
        <f>Sheet1!N531</f>
        <v>33605.58</v>
      </c>
      <c r="I531">
        <f t="shared" si="11"/>
        <v>1</v>
      </c>
    </row>
    <row r="532" spans="1:9" x14ac:dyDescent="0.3">
      <c r="A532">
        <f>Sheet1!A532</f>
        <v>1531</v>
      </c>
      <c r="B532" t="str">
        <f>Sheet1!B532</f>
        <v>2025-06-03</v>
      </c>
      <c r="C532" t="str">
        <f>TEXT(Sheet1!B532,"YYYY-MM")</f>
        <v>2025-06</v>
      </c>
      <c r="D532" t="str">
        <f>Sheet1!D532</f>
        <v>Mumbai</v>
      </c>
      <c r="E532" t="str">
        <f>Sheet1!F532</f>
        <v>Furniture</v>
      </c>
      <c r="F532" t="str">
        <f>Sheet1!H532</f>
        <v>Sneha</v>
      </c>
      <c r="G532">
        <f>Sheet1!K532</f>
        <v>182343</v>
      </c>
      <c r="H532">
        <f>Sheet1!N532</f>
        <v>28951.23</v>
      </c>
      <c r="I532">
        <f t="shared" si="11"/>
        <v>1</v>
      </c>
    </row>
    <row r="533" spans="1:9" x14ac:dyDescent="0.3">
      <c r="A533">
        <f>Sheet1!A533</f>
        <v>1532</v>
      </c>
      <c r="B533" t="str">
        <f>Sheet1!B533</f>
        <v>2025-06-03</v>
      </c>
      <c r="C533" t="str">
        <f>TEXT(Sheet1!B533,"YYYY-MM")</f>
        <v>2025-06</v>
      </c>
      <c r="D533" t="str">
        <f>Sheet1!D533</f>
        <v>Delhi</v>
      </c>
      <c r="E533" t="str">
        <f>Sheet1!F533</f>
        <v>Electronics</v>
      </c>
      <c r="F533" t="str">
        <f>Sheet1!H533</f>
        <v>Pooja</v>
      </c>
      <c r="G533">
        <f>Sheet1!K533</f>
        <v>40698</v>
      </c>
      <c r="H533">
        <f>Sheet1!N533</f>
        <v>11032.65</v>
      </c>
      <c r="I533">
        <f t="shared" si="11"/>
        <v>1</v>
      </c>
    </row>
    <row r="534" spans="1:9" x14ac:dyDescent="0.3">
      <c r="A534">
        <f>Sheet1!A534</f>
        <v>1533</v>
      </c>
      <c r="B534" t="str">
        <f>Sheet1!B534</f>
        <v>2025-06-03</v>
      </c>
      <c r="C534" t="str">
        <f>TEXT(Sheet1!B534,"YYYY-MM")</f>
        <v>2025-06</v>
      </c>
      <c r="D534" t="str">
        <f>Sheet1!D534</f>
        <v>Bangalore</v>
      </c>
      <c r="E534" t="str">
        <f>Sheet1!F534</f>
        <v>Furniture</v>
      </c>
      <c r="F534" t="str">
        <f>Sheet1!H534</f>
        <v>Ajay</v>
      </c>
      <c r="G534">
        <f>Sheet1!K534</f>
        <v>70308</v>
      </c>
      <c r="H534">
        <f>Sheet1!N534</f>
        <v>11616.18</v>
      </c>
      <c r="I534">
        <f t="shared" si="11"/>
        <v>1</v>
      </c>
    </row>
    <row r="535" spans="1:9" x14ac:dyDescent="0.3">
      <c r="A535">
        <f>Sheet1!A535</f>
        <v>1534</v>
      </c>
      <c r="B535" t="str">
        <f>Sheet1!B535</f>
        <v>2025-06-03</v>
      </c>
      <c r="C535" t="str">
        <f>TEXT(Sheet1!B535,"YYYY-MM")</f>
        <v>2025-06</v>
      </c>
      <c r="D535" t="str">
        <f>Sheet1!D535</f>
        <v>Hyderabad</v>
      </c>
      <c r="E535" t="str">
        <f>Sheet1!F535</f>
        <v>Clothing</v>
      </c>
      <c r="F535" t="str">
        <f>Sheet1!H535</f>
        <v>Sneha</v>
      </c>
      <c r="G535">
        <f>Sheet1!K535</f>
        <v>211465.25</v>
      </c>
      <c r="H535">
        <f>Sheet1!N535</f>
        <v>43376.1</v>
      </c>
      <c r="I535">
        <f t="shared" si="11"/>
        <v>1</v>
      </c>
    </row>
    <row r="536" spans="1:9" x14ac:dyDescent="0.3">
      <c r="A536">
        <f>Sheet1!A536</f>
        <v>1535</v>
      </c>
      <c r="B536" t="str">
        <f>Sheet1!B536</f>
        <v>2025-06-03</v>
      </c>
      <c r="C536" t="str">
        <f>TEXT(Sheet1!B536,"YYYY-MM")</f>
        <v>2025-06</v>
      </c>
      <c r="D536" t="str">
        <f>Sheet1!D536</f>
        <v>Pune</v>
      </c>
      <c r="E536" t="str">
        <f>Sheet1!F536</f>
        <v>Clothing</v>
      </c>
      <c r="F536" t="str">
        <f>Sheet1!H536</f>
        <v>Sneha</v>
      </c>
      <c r="G536">
        <f>Sheet1!K536</f>
        <v>130735.2</v>
      </c>
      <c r="H536">
        <f>Sheet1!N536</f>
        <v>25970.85</v>
      </c>
      <c r="I536">
        <f t="shared" si="11"/>
        <v>1</v>
      </c>
    </row>
    <row r="537" spans="1:9" x14ac:dyDescent="0.3">
      <c r="A537">
        <f>Sheet1!A537</f>
        <v>1536</v>
      </c>
      <c r="B537" t="str">
        <f>Sheet1!B537</f>
        <v>2025-06-04</v>
      </c>
      <c r="C537" t="str">
        <f>TEXT(Sheet1!B537,"YYYY-MM")</f>
        <v>2025-06</v>
      </c>
      <c r="D537" t="str">
        <f>Sheet1!D537</f>
        <v>Delhi</v>
      </c>
      <c r="E537" t="str">
        <f>Sheet1!F537</f>
        <v>Clothing</v>
      </c>
      <c r="F537" t="str">
        <f>Sheet1!H537</f>
        <v>Rahul</v>
      </c>
      <c r="G537">
        <f>Sheet1!K537</f>
        <v>85284.9</v>
      </c>
      <c r="H537">
        <f>Sheet1!N537</f>
        <v>11613.11</v>
      </c>
      <c r="I537">
        <f t="shared" si="11"/>
        <v>1</v>
      </c>
    </row>
    <row r="538" spans="1:9" x14ac:dyDescent="0.3">
      <c r="A538">
        <f>Sheet1!A538</f>
        <v>1537</v>
      </c>
      <c r="B538" t="str">
        <f>Sheet1!B538</f>
        <v>2025-06-04</v>
      </c>
      <c r="C538" t="str">
        <f>TEXT(Sheet1!B538,"YYYY-MM")</f>
        <v>2025-06</v>
      </c>
      <c r="D538" t="str">
        <f>Sheet1!D538</f>
        <v>Bangalore</v>
      </c>
      <c r="E538" t="str">
        <f>Sheet1!F538</f>
        <v>Furniture</v>
      </c>
      <c r="F538" t="str">
        <f>Sheet1!H538</f>
        <v>Pooja</v>
      </c>
      <c r="G538">
        <f>Sheet1!K538</f>
        <v>172885</v>
      </c>
      <c r="H538">
        <f>Sheet1!N538</f>
        <v>31178.11</v>
      </c>
      <c r="I538">
        <f t="shared" si="11"/>
        <v>1</v>
      </c>
    </row>
    <row r="539" spans="1:9" x14ac:dyDescent="0.3">
      <c r="A539">
        <f>Sheet1!A539</f>
        <v>1538</v>
      </c>
      <c r="B539" t="str">
        <f>Sheet1!B539</f>
        <v>2025-06-04</v>
      </c>
      <c r="C539" t="str">
        <f>TEXT(Sheet1!B539,"YYYY-MM")</f>
        <v>2025-06</v>
      </c>
      <c r="D539" t="str">
        <f>Sheet1!D539</f>
        <v>Pune</v>
      </c>
      <c r="E539" t="str">
        <f>Sheet1!F539</f>
        <v>Clothing</v>
      </c>
      <c r="F539" t="str">
        <f>Sheet1!H539</f>
        <v>Ajay</v>
      </c>
      <c r="G539">
        <f>Sheet1!K539</f>
        <v>174247.2</v>
      </c>
      <c r="H539">
        <f>Sheet1!N539</f>
        <v>50108.35</v>
      </c>
      <c r="I539">
        <f t="shared" si="11"/>
        <v>1</v>
      </c>
    </row>
    <row r="540" spans="1:9" x14ac:dyDescent="0.3">
      <c r="A540">
        <f>Sheet1!A540</f>
        <v>1539</v>
      </c>
      <c r="B540" t="str">
        <f>Sheet1!B540</f>
        <v>2025-06-05</v>
      </c>
      <c r="C540" t="str">
        <f>TEXT(Sheet1!B540,"YYYY-MM")</f>
        <v>2025-06</v>
      </c>
      <c r="D540" t="str">
        <f>Sheet1!D540</f>
        <v>Hyderabad</v>
      </c>
      <c r="E540" t="str">
        <f>Sheet1!F540</f>
        <v>Electronics</v>
      </c>
      <c r="F540" t="str">
        <f>Sheet1!H540</f>
        <v>Ajay</v>
      </c>
      <c r="G540">
        <f>Sheet1!K540</f>
        <v>38788.050000000003</v>
      </c>
      <c r="H540">
        <f>Sheet1!N540</f>
        <v>10973.57</v>
      </c>
      <c r="I540">
        <f t="shared" si="11"/>
        <v>1</v>
      </c>
    </row>
    <row r="541" spans="1:9" x14ac:dyDescent="0.3">
      <c r="A541">
        <f>Sheet1!A541</f>
        <v>1540</v>
      </c>
      <c r="B541" t="str">
        <f>Sheet1!B541</f>
        <v>2025-06-05</v>
      </c>
      <c r="C541" t="str">
        <f>TEXT(Sheet1!B541,"YYYY-MM")</f>
        <v>2025-06</v>
      </c>
      <c r="D541" t="str">
        <f>Sheet1!D541</f>
        <v>Bangalore</v>
      </c>
      <c r="E541" t="str">
        <f>Sheet1!F541</f>
        <v>Furniture</v>
      </c>
      <c r="F541" t="str">
        <f>Sheet1!H541</f>
        <v>Rahul</v>
      </c>
      <c r="G541">
        <f>Sheet1!K541</f>
        <v>83520.2</v>
      </c>
      <c r="H541">
        <f>Sheet1!N541</f>
        <v>19329.939999999999</v>
      </c>
      <c r="I541">
        <f t="shared" si="11"/>
        <v>1</v>
      </c>
    </row>
    <row r="542" spans="1:9" x14ac:dyDescent="0.3">
      <c r="A542">
        <f>Sheet1!A542</f>
        <v>1541</v>
      </c>
      <c r="B542" t="str">
        <f>Sheet1!B542</f>
        <v>2025-06-05</v>
      </c>
      <c r="C542" t="str">
        <f>TEXT(Sheet1!B542,"YYYY-MM")</f>
        <v>2025-06</v>
      </c>
      <c r="D542" t="str">
        <f>Sheet1!D542</f>
        <v>Bangalore</v>
      </c>
      <c r="E542" t="str">
        <f>Sheet1!F542</f>
        <v>Clothing</v>
      </c>
      <c r="F542" t="str">
        <f>Sheet1!H542</f>
        <v>Sneha</v>
      </c>
      <c r="G542">
        <f>Sheet1!K542</f>
        <v>39633</v>
      </c>
      <c r="H542">
        <f>Sheet1!N542</f>
        <v>4996.1000000000004</v>
      </c>
      <c r="I542">
        <f t="shared" si="11"/>
        <v>1</v>
      </c>
    </row>
    <row r="543" spans="1:9" x14ac:dyDescent="0.3">
      <c r="A543">
        <f>Sheet1!A543</f>
        <v>1542</v>
      </c>
      <c r="B543" t="str">
        <f>Sheet1!B543</f>
        <v>2025-06-06</v>
      </c>
      <c r="C543" t="str">
        <f>TEXT(Sheet1!B543,"YYYY-MM")</f>
        <v>2025-06</v>
      </c>
      <c r="D543" t="str">
        <f>Sheet1!D543</f>
        <v>Pune</v>
      </c>
      <c r="E543" t="str">
        <f>Sheet1!F543</f>
        <v>Clothing</v>
      </c>
      <c r="F543" t="str">
        <f>Sheet1!H543</f>
        <v>Ajay</v>
      </c>
      <c r="G543">
        <f>Sheet1!K543</f>
        <v>12901</v>
      </c>
      <c r="H543">
        <f>Sheet1!N543</f>
        <v>2409.35</v>
      </c>
      <c r="I543">
        <f t="shared" si="11"/>
        <v>1</v>
      </c>
    </row>
    <row r="544" spans="1:9" x14ac:dyDescent="0.3">
      <c r="A544">
        <f>Sheet1!A544</f>
        <v>1543</v>
      </c>
      <c r="B544" t="str">
        <f>Sheet1!B544</f>
        <v>2025-06-06</v>
      </c>
      <c r="C544" t="str">
        <f>TEXT(Sheet1!B544,"YYYY-MM")</f>
        <v>2025-06</v>
      </c>
      <c r="D544" t="str">
        <f>Sheet1!D544</f>
        <v>Pune</v>
      </c>
      <c r="E544" t="str">
        <f>Sheet1!F544</f>
        <v>Clothing</v>
      </c>
      <c r="F544" t="str">
        <f>Sheet1!H544</f>
        <v>Rahul</v>
      </c>
      <c r="G544">
        <f>Sheet1!K544</f>
        <v>49504</v>
      </c>
      <c r="H544">
        <f>Sheet1!N544</f>
        <v>5648.83</v>
      </c>
      <c r="I544">
        <f t="shared" si="11"/>
        <v>1</v>
      </c>
    </row>
    <row r="545" spans="1:9" x14ac:dyDescent="0.3">
      <c r="A545">
        <f>Sheet1!A545</f>
        <v>1544</v>
      </c>
      <c r="B545" t="str">
        <f>Sheet1!B545</f>
        <v>2025-06-06</v>
      </c>
      <c r="C545" t="str">
        <f>TEXT(Sheet1!B545,"YYYY-MM")</f>
        <v>2025-06</v>
      </c>
      <c r="D545" t="str">
        <f>Sheet1!D545</f>
        <v>Hyderabad</v>
      </c>
      <c r="E545" t="str">
        <f>Sheet1!F545</f>
        <v>Clothing</v>
      </c>
      <c r="F545" t="str">
        <f>Sheet1!H545</f>
        <v>Pooja</v>
      </c>
      <c r="G545">
        <f>Sheet1!K545</f>
        <v>10277.1</v>
      </c>
      <c r="H545">
        <f>Sheet1!N545</f>
        <v>2200.9499999999998</v>
      </c>
      <c r="I545">
        <f t="shared" si="11"/>
        <v>1</v>
      </c>
    </row>
    <row r="546" spans="1:9" x14ac:dyDescent="0.3">
      <c r="A546">
        <f>Sheet1!A546</f>
        <v>1545</v>
      </c>
      <c r="B546" t="str">
        <f>Sheet1!B546</f>
        <v>2025-06-06</v>
      </c>
      <c r="C546" t="str">
        <f>TEXT(Sheet1!B546,"YYYY-MM")</f>
        <v>2025-06</v>
      </c>
      <c r="D546" t="str">
        <f>Sheet1!D546</f>
        <v>Hyderabad</v>
      </c>
      <c r="E546" t="str">
        <f>Sheet1!F546</f>
        <v>Furniture</v>
      </c>
      <c r="F546" t="str">
        <f>Sheet1!H546</f>
        <v>Ajay</v>
      </c>
      <c r="G546">
        <f>Sheet1!K546</f>
        <v>94140</v>
      </c>
      <c r="H546">
        <f>Sheet1!N546</f>
        <v>15439.96</v>
      </c>
      <c r="I546">
        <f t="shared" si="11"/>
        <v>1</v>
      </c>
    </row>
    <row r="547" spans="1:9" x14ac:dyDescent="0.3">
      <c r="A547">
        <f>Sheet1!A547</f>
        <v>1546</v>
      </c>
      <c r="B547" t="str">
        <f>Sheet1!B547</f>
        <v>2025-06-06</v>
      </c>
      <c r="C547" t="str">
        <f>TEXT(Sheet1!B547,"YYYY-MM")</f>
        <v>2025-06</v>
      </c>
      <c r="D547" t="str">
        <f>Sheet1!D547</f>
        <v>Mumbai</v>
      </c>
      <c r="E547" t="str">
        <f>Sheet1!F547</f>
        <v>Clothing</v>
      </c>
      <c r="F547" t="str">
        <f>Sheet1!H547</f>
        <v>Rahul</v>
      </c>
      <c r="G547">
        <f>Sheet1!K547</f>
        <v>39979.75</v>
      </c>
      <c r="H547">
        <f>Sheet1!N547</f>
        <v>11224.96</v>
      </c>
      <c r="I547">
        <f t="shared" si="11"/>
        <v>1</v>
      </c>
    </row>
    <row r="548" spans="1:9" x14ac:dyDescent="0.3">
      <c r="A548">
        <f>Sheet1!A548</f>
        <v>1547</v>
      </c>
      <c r="B548" t="str">
        <f>Sheet1!B548</f>
        <v>2025-06-07</v>
      </c>
      <c r="C548" t="str">
        <f>TEXT(Sheet1!B548,"YYYY-MM")</f>
        <v>2025-06</v>
      </c>
      <c r="D548" t="str">
        <f>Sheet1!D548</f>
        <v>Mumbai</v>
      </c>
      <c r="E548" t="str">
        <f>Sheet1!F548</f>
        <v>Electronics</v>
      </c>
      <c r="F548" t="str">
        <f>Sheet1!H548</f>
        <v>Sneha</v>
      </c>
      <c r="G548">
        <f>Sheet1!K548</f>
        <v>75279.600000000006</v>
      </c>
      <c r="H548">
        <f>Sheet1!N548</f>
        <v>21356.04</v>
      </c>
      <c r="I548">
        <f t="shared" si="11"/>
        <v>1</v>
      </c>
    </row>
    <row r="549" spans="1:9" x14ac:dyDescent="0.3">
      <c r="A549">
        <f>Sheet1!A549</f>
        <v>1548</v>
      </c>
      <c r="B549" t="str">
        <f>Sheet1!B549</f>
        <v>2025-06-07</v>
      </c>
      <c r="C549" t="str">
        <f>TEXT(Sheet1!B549,"YYYY-MM")</f>
        <v>2025-06</v>
      </c>
      <c r="D549" t="str">
        <f>Sheet1!D549</f>
        <v>Pune</v>
      </c>
      <c r="E549" t="str">
        <f>Sheet1!F549</f>
        <v>Clothing</v>
      </c>
      <c r="F549" t="str">
        <f>Sheet1!H549</f>
        <v>Rahul</v>
      </c>
      <c r="G549">
        <f>Sheet1!K549</f>
        <v>27686.2</v>
      </c>
      <c r="H549">
        <f>Sheet1!N549</f>
        <v>3617.71</v>
      </c>
      <c r="I549">
        <f t="shared" si="11"/>
        <v>1</v>
      </c>
    </row>
    <row r="550" spans="1:9" x14ac:dyDescent="0.3">
      <c r="A550">
        <f>Sheet1!A550</f>
        <v>1549</v>
      </c>
      <c r="B550" t="str">
        <f>Sheet1!B550</f>
        <v>2025-06-07</v>
      </c>
      <c r="C550" t="str">
        <f>TEXT(Sheet1!B550,"YYYY-MM")</f>
        <v>2025-06</v>
      </c>
      <c r="D550" t="str">
        <f>Sheet1!D550</f>
        <v>Bangalore</v>
      </c>
      <c r="E550" t="str">
        <f>Sheet1!F550</f>
        <v>Clothing</v>
      </c>
      <c r="F550" t="str">
        <f>Sheet1!H550</f>
        <v>Sneha</v>
      </c>
      <c r="G550">
        <f>Sheet1!K550</f>
        <v>68335</v>
      </c>
      <c r="H550">
        <f>Sheet1!N550</f>
        <v>7749.08</v>
      </c>
      <c r="I550">
        <f t="shared" si="11"/>
        <v>1</v>
      </c>
    </row>
    <row r="551" spans="1:9" x14ac:dyDescent="0.3">
      <c r="A551">
        <f>Sheet1!A551</f>
        <v>1550</v>
      </c>
      <c r="B551" t="str">
        <f>Sheet1!B551</f>
        <v>2025-06-07</v>
      </c>
      <c r="C551" t="str">
        <f>TEXT(Sheet1!B551,"YYYY-MM")</f>
        <v>2025-06</v>
      </c>
      <c r="D551" t="str">
        <f>Sheet1!D551</f>
        <v>Pune</v>
      </c>
      <c r="E551" t="str">
        <f>Sheet1!F551</f>
        <v>Clothing</v>
      </c>
      <c r="F551" t="str">
        <f>Sheet1!H551</f>
        <v>Rahul</v>
      </c>
      <c r="G551">
        <f>Sheet1!K551</f>
        <v>37905.949999999997</v>
      </c>
      <c r="H551">
        <f>Sheet1!N551</f>
        <v>9568.0400000000009</v>
      </c>
      <c r="I551">
        <f t="shared" si="11"/>
        <v>1</v>
      </c>
    </row>
    <row r="552" spans="1:9" x14ac:dyDescent="0.3">
      <c r="A552">
        <f>Sheet1!A552</f>
        <v>1551</v>
      </c>
      <c r="B552" t="str">
        <f>Sheet1!B552</f>
        <v>2025-06-08</v>
      </c>
      <c r="C552" t="str">
        <f>TEXT(Sheet1!B552,"YYYY-MM")</f>
        <v>2025-06</v>
      </c>
      <c r="D552" t="str">
        <f>Sheet1!D552</f>
        <v>Bangalore</v>
      </c>
      <c r="E552" t="str">
        <f>Sheet1!F552</f>
        <v>Furniture</v>
      </c>
      <c r="F552" t="str">
        <f>Sheet1!H552</f>
        <v>Pooja</v>
      </c>
      <c r="G552">
        <f>Sheet1!K552</f>
        <v>46782</v>
      </c>
      <c r="H552">
        <f>Sheet1!N552</f>
        <v>9270.09</v>
      </c>
      <c r="I552">
        <f t="shared" si="11"/>
        <v>1</v>
      </c>
    </row>
    <row r="553" spans="1:9" x14ac:dyDescent="0.3">
      <c r="A553">
        <f>Sheet1!A553</f>
        <v>1552</v>
      </c>
      <c r="B553" t="str">
        <f>Sheet1!B553</f>
        <v>2025-06-08</v>
      </c>
      <c r="C553" t="str">
        <f>TEXT(Sheet1!B553,"YYYY-MM")</f>
        <v>2025-06</v>
      </c>
      <c r="D553" t="str">
        <f>Sheet1!D553</f>
        <v>Pune</v>
      </c>
      <c r="E553" t="str">
        <f>Sheet1!F553</f>
        <v>Clothing</v>
      </c>
      <c r="F553" t="str">
        <f>Sheet1!H553</f>
        <v>Sneha</v>
      </c>
      <c r="G553">
        <f>Sheet1!K553</f>
        <v>102498</v>
      </c>
      <c r="H553">
        <f>Sheet1!N553</f>
        <v>16081.36</v>
      </c>
      <c r="I553">
        <f t="shared" si="11"/>
        <v>1</v>
      </c>
    </row>
    <row r="554" spans="1:9" x14ac:dyDescent="0.3">
      <c r="A554">
        <f>Sheet1!A554</f>
        <v>1553</v>
      </c>
      <c r="B554" t="str">
        <f>Sheet1!B554</f>
        <v>2025-06-08</v>
      </c>
      <c r="C554" t="str">
        <f>TEXT(Sheet1!B554,"YYYY-MM")</f>
        <v>2025-06</v>
      </c>
      <c r="D554" t="str">
        <f>Sheet1!D554</f>
        <v>Mumbai</v>
      </c>
      <c r="E554" t="str">
        <f>Sheet1!F554</f>
        <v>Electronics</v>
      </c>
      <c r="F554" t="str">
        <f>Sheet1!H554</f>
        <v>Sneha</v>
      </c>
      <c r="G554">
        <f>Sheet1!K554</f>
        <v>116973.5</v>
      </c>
      <c r="H554">
        <f>Sheet1!N554</f>
        <v>28459.96</v>
      </c>
      <c r="I554">
        <f t="shared" si="11"/>
        <v>1</v>
      </c>
    </row>
    <row r="555" spans="1:9" x14ac:dyDescent="0.3">
      <c r="A555">
        <f>Sheet1!A555</f>
        <v>1554</v>
      </c>
      <c r="B555" t="str">
        <f>Sheet1!B555</f>
        <v>2025-06-09</v>
      </c>
      <c r="C555" t="str">
        <f>TEXT(Sheet1!B555,"YYYY-MM")</f>
        <v>2025-06</v>
      </c>
      <c r="D555" t="str">
        <f>Sheet1!D555</f>
        <v>Pune</v>
      </c>
      <c r="E555" t="str">
        <f>Sheet1!F555</f>
        <v>Clothing</v>
      </c>
      <c r="F555" t="str">
        <f>Sheet1!H555</f>
        <v>Ajay</v>
      </c>
      <c r="G555">
        <f>Sheet1!K555</f>
        <v>124769.8</v>
      </c>
      <c r="H555">
        <f>Sheet1!N555</f>
        <v>16112.05</v>
      </c>
      <c r="I555">
        <f t="shared" si="11"/>
        <v>1</v>
      </c>
    </row>
    <row r="556" spans="1:9" x14ac:dyDescent="0.3">
      <c r="A556">
        <f>Sheet1!A556</f>
        <v>1555</v>
      </c>
      <c r="B556" t="str">
        <f>Sheet1!B556</f>
        <v>2025-06-09</v>
      </c>
      <c r="C556" t="str">
        <f>TEXT(Sheet1!B556,"YYYY-MM")</f>
        <v>2025-06</v>
      </c>
      <c r="D556" t="str">
        <f>Sheet1!D556</f>
        <v>Bangalore</v>
      </c>
      <c r="E556" t="str">
        <f>Sheet1!F556</f>
        <v>Clothing</v>
      </c>
      <c r="F556" t="str">
        <f>Sheet1!H556</f>
        <v>Pooja</v>
      </c>
      <c r="G556">
        <f>Sheet1!K556</f>
        <v>215370</v>
      </c>
      <c r="H556">
        <f>Sheet1!N556</f>
        <v>30639.16</v>
      </c>
      <c r="I556">
        <f t="shared" si="11"/>
        <v>1</v>
      </c>
    </row>
    <row r="557" spans="1:9" x14ac:dyDescent="0.3">
      <c r="A557">
        <f>Sheet1!A557</f>
        <v>1556</v>
      </c>
      <c r="B557" t="str">
        <f>Sheet1!B557</f>
        <v>2025-06-10</v>
      </c>
      <c r="C557" t="str">
        <f>TEXT(Sheet1!B557,"YYYY-MM")</f>
        <v>2025-06</v>
      </c>
      <c r="D557" t="str">
        <f>Sheet1!D557</f>
        <v>Pune</v>
      </c>
      <c r="E557" t="str">
        <f>Sheet1!F557</f>
        <v>Electronics</v>
      </c>
      <c r="F557" t="str">
        <f>Sheet1!H557</f>
        <v>Pooja</v>
      </c>
      <c r="G557">
        <f>Sheet1!K557</f>
        <v>89258</v>
      </c>
      <c r="H557">
        <f>Sheet1!N557</f>
        <v>21101.61</v>
      </c>
      <c r="I557">
        <f t="shared" si="11"/>
        <v>1</v>
      </c>
    </row>
    <row r="558" spans="1:9" x14ac:dyDescent="0.3">
      <c r="A558">
        <f>Sheet1!A558</f>
        <v>1557</v>
      </c>
      <c r="B558" t="str">
        <f>Sheet1!B558</f>
        <v>2025-06-10</v>
      </c>
      <c r="C558" t="str">
        <f>TEXT(Sheet1!B558,"YYYY-MM")</f>
        <v>2025-06</v>
      </c>
      <c r="D558" t="str">
        <f>Sheet1!D558</f>
        <v>Bangalore</v>
      </c>
      <c r="E558" t="str">
        <f>Sheet1!F558</f>
        <v>Clothing</v>
      </c>
      <c r="F558" t="str">
        <f>Sheet1!H558</f>
        <v>Pooja</v>
      </c>
      <c r="G558">
        <f>Sheet1!K558</f>
        <v>13620.4</v>
      </c>
      <c r="H558">
        <f>Sheet1!N558</f>
        <v>2557.5700000000002</v>
      </c>
      <c r="I558">
        <f t="shared" si="11"/>
        <v>1</v>
      </c>
    </row>
    <row r="559" spans="1:9" x14ac:dyDescent="0.3">
      <c r="A559">
        <f>Sheet1!A559</f>
        <v>1558</v>
      </c>
      <c r="B559" t="str">
        <f>Sheet1!B559</f>
        <v>2025-06-10</v>
      </c>
      <c r="C559" t="str">
        <f>TEXT(Sheet1!B559,"YYYY-MM")</f>
        <v>2025-06</v>
      </c>
      <c r="D559" t="str">
        <f>Sheet1!D559</f>
        <v>Mumbai</v>
      </c>
      <c r="E559" t="str">
        <f>Sheet1!F559</f>
        <v>Furniture</v>
      </c>
      <c r="F559" t="str">
        <f>Sheet1!H559</f>
        <v>Pooja</v>
      </c>
      <c r="G559">
        <f>Sheet1!K559</f>
        <v>106133.55</v>
      </c>
      <c r="H559">
        <f>Sheet1!N559</f>
        <v>11199.52</v>
      </c>
      <c r="I559">
        <f t="shared" si="11"/>
        <v>1</v>
      </c>
    </row>
    <row r="560" spans="1:9" x14ac:dyDescent="0.3">
      <c r="A560">
        <f>Sheet1!A560</f>
        <v>1559</v>
      </c>
      <c r="B560" t="str">
        <f>Sheet1!B560</f>
        <v>2025-06-11</v>
      </c>
      <c r="C560" t="str">
        <f>TEXT(Sheet1!B560,"YYYY-MM")</f>
        <v>2025-06</v>
      </c>
      <c r="D560" t="str">
        <f>Sheet1!D560</f>
        <v>Delhi</v>
      </c>
      <c r="E560" t="str">
        <f>Sheet1!F560</f>
        <v>Clothing</v>
      </c>
      <c r="F560" t="str">
        <f>Sheet1!H560</f>
        <v>Pooja</v>
      </c>
      <c r="G560">
        <f>Sheet1!K560</f>
        <v>19274.400000000001</v>
      </c>
      <c r="H560">
        <f>Sheet1!N560</f>
        <v>5546.07</v>
      </c>
      <c r="I560">
        <f t="shared" si="11"/>
        <v>1</v>
      </c>
    </row>
    <row r="561" spans="1:9" x14ac:dyDescent="0.3">
      <c r="A561">
        <f>Sheet1!A561</f>
        <v>1560</v>
      </c>
      <c r="B561" t="str">
        <f>Sheet1!B561</f>
        <v>2025-06-11</v>
      </c>
      <c r="C561" t="str">
        <f>TEXT(Sheet1!B561,"YYYY-MM")</f>
        <v>2025-06</v>
      </c>
      <c r="D561" t="str">
        <f>Sheet1!D561</f>
        <v>Mumbai</v>
      </c>
      <c r="E561" t="str">
        <f>Sheet1!F561</f>
        <v>Furniture</v>
      </c>
      <c r="F561" t="str">
        <f>Sheet1!H561</f>
        <v>Pooja</v>
      </c>
      <c r="G561">
        <f>Sheet1!K561</f>
        <v>93888.5</v>
      </c>
      <c r="H561">
        <f>Sheet1!N561</f>
        <v>10221.5</v>
      </c>
      <c r="I561">
        <f t="shared" si="11"/>
        <v>1</v>
      </c>
    </row>
    <row r="562" spans="1:9" x14ac:dyDescent="0.3">
      <c r="A562">
        <f>Sheet1!A562</f>
        <v>1561</v>
      </c>
      <c r="B562" t="str">
        <f>Sheet1!B562</f>
        <v>2025-06-11</v>
      </c>
      <c r="C562" t="str">
        <f>TEXT(Sheet1!B562,"YYYY-MM")</f>
        <v>2025-06</v>
      </c>
      <c r="D562" t="str">
        <f>Sheet1!D562</f>
        <v>Hyderabad</v>
      </c>
      <c r="E562" t="str">
        <f>Sheet1!F562</f>
        <v>Clothing</v>
      </c>
      <c r="F562" t="str">
        <f>Sheet1!H562</f>
        <v>Ajay</v>
      </c>
      <c r="G562">
        <f>Sheet1!K562</f>
        <v>1264.45</v>
      </c>
      <c r="H562">
        <f>Sheet1!N562</f>
        <v>292.58</v>
      </c>
      <c r="I562">
        <f t="shared" si="11"/>
        <v>1</v>
      </c>
    </row>
    <row r="563" spans="1:9" x14ac:dyDescent="0.3">
      <c r="A563">
        <f>Sheet1!A563</f>
        <v>1562</v>
      </c>
      <c r="B563" t="str">
        <f>Sheet1!B563</f>
        <v>2025-06-12</v>
      </c>
      <c r="C563" t="str">
        <f>TEXT(Sheet1!B563,"YYYY-MM")</f>
        <v>2025-06</v>
      </c>
      <c r="D563" t="str">
        <f>Sheet1!D563</f>
        <v>Bangalore</v>
      </c>
      <c r="E563" t="str">
        <f>Sheet1!F563</f>
        <v>Clothing</v>
      </c>
      <c r="F563" t="str">
        <f>Sheet1!H563</f>
        <v>Rahul</v>
      </c>
      <c r="G563">
        <f>Sheet1!K563</f>
        <v>23384.35</v>
      </c>
      <c r="H563">
        <f>Sheet1!N563</f>
        <v>3019.21</v>
      </c>
      <c r="I563">
        <f t="shared" si="11"/>
        <v>1</v>
      </c>
    </row>
    <row r="564" spans="1:9" x14ac:dyDescent="0.3">
      <c r="A564">
        <f>Sheet1!A564</f>
        <v>1563</v>
      </c>
      <c r="B564" t="str">
        <f>Sheet1!B564</f>
        <v>2025-06-12</v>
      </c>
      <c r="C564" t="str">
        <f>TEXT(Sheet1!B564,"YYYY-MM")</f>
        <v>2025-06</v>
      </c>
      <c r="D564" t="str">
        <f>Sheet1!D564</f>
        <v>Delhi</v>
      </c>
      <c r="E564" t="str">
        <f>Sheet1!F564</f>
        <v>Electronics</v>
      </c>
      <c r="F564" t="str">
        <f>Sheet1!H564</f>
        <v>Ajay</v>
      </c>
      <c r="G564">
        <f>Sheet1!K564</f>
        <v>179371.25</v>
      </c>
      <c r="H564">
        <f>Sheet1!N564</f>
        <v>30802.15</v>
      </c>
      <c r="I564">
        <f t="shared" si="11"/>
        <v>1</v>
      </c>
    </row>
    <row r="565" spans="1:9" x14ac:dyDescent="0.3">
      <c r="A565">
        <f>Sheet1!A565</f>
        <v>1564</v>
      </c>
      <c r="B565" t="str">
        <f>Sheet1!B565</f>
        <v>2025-06-12</v>
      </c>
      <c r="C565" t="str">
        <f>TEXT(Sheet1!B565,"YYYY-MM")</f>
        <v>2025-06</v>
      </c>
      <c r="D565" t="str">
        <f>Sheet1!D565</f>
        <v>Delhi</v>
      </c>
      <c r="E565" t="str">
        <f>Sheet1!F565</f>
        <v>Furniture</v>
      </c>
      <c r="F565" t="str">
        <f>Sheet1!H565</f>
        <v>Pooja</v>
      </c>
      <c r="G565">
        <f>Sheet1!K565</f>
        <v>18652.5</v>
      </c>
      <c r="H565">
        <f>Sheet1!N565</f>
        <v>5168.43</v>
      </c>
      <c r="I565">
        <f t="shared" si="11"/>
        <v>1</v>
      </c>
    </row>
    <row r="566" spans="1:9" x14ac:dyDescent="0.3">
      <c r="A566">
        <f>Sheet1!A566</f>
        <v>1565</v>
      </c>
      <c r="B566" t="str">
        <f>Sheet1!B566</f>
        <v>2025-06-12</v>
      </c>
      <c r="C566" t="str">
        <f>TEXT(Sheet1!B566,"YYYY-MM")</f>
        <v>2025-06</v>
      </c>
      <c r="D566" t="str">
        <f>Sheet1!D566</f>
        <v>Bangalore</v>
      </c>
      <c r="E566" t="str">
        <f>Sheet1!F566</f>
        <v>Furniture</v>
      </c>
      <c r="F566" t="str">
        <f>Sheet1!H566</f>
        <v>Sneha</v>
      </c>
      <c r="G566">
        <f>Sheet1!K566</f>
        <v>77425.649999999994</v>
      </c>
      <c r="H566">
        <f>Sheet1!N566</f>
        <v>19078.86</v>
      </c>
      <c r="I566">
        <f t="shared" si="11"/>
        <v>1</v>
      </c>
    </row>
    <row r="567" spans="1:9" x14ac:dyDescent="0.3">
      <c r="A567">
        <f>Sheet1!A567</f>
        <v>1566</v>
      </c>
      <c r="B567" t="str">
        <f>Sheet1!B567</f>
        <v>2025-06-12</v>
      </c>
      <c r="C567" t="str">
        <f>TEXT(Sheet1!B567,"YYYY-MM")</f>
        <v>2025-06</v>
      </c>
      <c r="D567" t="str">
        <f>Sheet1!D567</f>
        <v>Pune</v>
      </c>
      <c r="E567" t="str">
        <f>Sheet1!F567</f>
        <v>Electronics</v>
      </c>
      <c r="F567" t="str">
        <f>Sheet1!H567</f>
        <v>Pooja</v>
      </c>
      <c r="G567">
        <f>Sheet1!K567</f>
        <v>27747.9</v>
      </c>
      <c r="H567">
        <f>Sheet1!N567</f>
        <v>4475.5200000000004</v>
      </c>
      <c r="I567">
        <f t="shared" si="11"/>
        <v>1</v>
      </c>
    </row>
    <row r="568" spans="1:9" x14ac:dyDescent="0.3">
      <c r="A568">
        <f>Sheet1!A568</f>
        <v>1567</v>
      </c>
      <c r="B568" t="str">
        <f>Sheet1!B568</f>
        <v>2025-06-13</v>
      </c>
      <c r="C568" t="str">
        <f>TEXT(Sheet1!B568,"YYYY-MM")</f>
        <v>2025-06</v>
      </c>
      <c r="D568" t="str">
        <f>Sheet1!D568</f>
        <v>Pune</v>
      </c>
      <c r="E568" t="str">
        <f>Sheet1!F568</f>
        <v>Furniture</v>
      </c>
      <c r="F568" t="str">
        <f>Sheet1!H568</f>
        <v>Ajay</v>
      </c>
      <c r="G568">
        <f>Sheet1!K568</f>
        <v>39034.550000000003</v>
      </c>
      <c r="H568">
        <f>Sheet1!N568</f>
        <v>4274.24</v>
      </c>
      <c r="I568">
        <f t="shared" si="11"/>
        <v>1</v>
      </c>
    </row>
    <row r="569" spans="1:9" x14ac:dyDescent="0.3">
      <c r="A569">
        <f>Sheet1!A569</f>
        <v>1568</v>
      </c>
      <c r="B569" t="str">
        <f>Sheet1!B569</f>
        <v>2025-06-13</v>
      </c>
      <c r="C569" t="str">
        <f>TEXT(Sheet1!B569,"YYYY-MM")</f>
        <v>2025-06</v>
      </c>
      <c r="D569" t="str">
        <f>Sheet1!D569</f>
        <v>Delhi</v>
      </c>
      <c r="E569" t="str">
        <f>Sheet1!F569</f>
        <v>Clothing</v>
      </c>
      <c r="F569" t="str">
        <f>Sheet1!H569</f>
        <v>Rahul</v>
      </c>
      <c r="G569">
        <f>Sheet1!K569</f>
        <v>46744</v>
      </c>
      <c r="H569">
        <f>Sheet1!N569</f>
        <v>5913.68</v>
      </c>
      <c r="I569">
        <f t="shared" si="11"/>
        <v>1</v>
      </c>
    </row>
    <row r="570" spans="1:9" x14ac:dyDescent="0.3">
      <c r="A570">
        <f>Sheet1!A570</f>
        <v>1569</v>
      </c>
      <c r="B570" t="str">
        <f>Sheet1!B570</f>
        <v>2025-06-13</v>
      </c>
      <c r="C570" t="str">
        <f>TEXT(Sheet1!B570,"YYYY-MM")</f>
        <v>2025-06</v>
      </c>
      <c r="D570" t="str">
        <f>Sheet1!D570</f>
        <v>Bangalore</v>
      </c>
      <c r="E570" t="str">
        <f>Sheet1!F570</f>
        <v>Furniture</v>
      </c>
      <c r="F570" t="str">
        <f>Sheet1!H570</f>
        <v>Sneha</v>
      </c>
      <c r="G570">
        <f>Sheet1!K570</f>
        <v>38531</v>
      </c>
      <c r="H570">
        <f>Sheet1!N570</f>
        <v>10766.89</v>
      </c>
      <c r="I570">
        <f t="shared" si="11"/>
        <v>1</v>
      </c>
    </row>
    <row r="571" spans="1:9" x14ac:dyDescent="0.3">
      <c r="A571">
        <f>Sheet1!A571</f>
        <v>1570</v>
      </c>
      <c r="B571" t="str">
        <f>Sheet1!B571</f>
        <v>2025-06-13</v>
      </c>
      <c r="C571" t="str">
        <f>TEXT(Sheet1!B571,"YYYY-MM")</f>
        <v>2025-06</v>
      </c>
      <c r="D571" t="str">
        <f>Sheet1!D571</f>
        <v>Hyderabad</v>
      </c>
      <c r="E571" t="str">
        <f>Sheet1!F571</f>
        <v>Electronics</v>
      </c>
      <c r="F571" t="str">
        <f>Sheet1!H571</f>
        <v>Sneha</v>
      </c>
      <c r="G571">
        <f>Sheet1!K571</f>
        <v>114185.25</v>
      </c>
      <c r="H571">
        <f>Sheet1!N571</f>
        <v>22451.77</v>
      </c>
      <c r="I571">
        <f t="shared" si="11"/>
        <v>1</v>
      </c>
    </row>
    <row r="572" spans="1:9" x14ac:dyDescent="0.3">
      <c r="A572">
        <f>Sheet1!A572</f>
        <v>1571</v>
      </c>
      <c r="B572" t="str">
        <f>Sheet1!B572</f>
        <v>2025-06-13</v>
      </c>
      <c r="C572" t="str">
        <f>TEXT(Sheet1!B572,"YYYY-MM")</f>
        <v>2025-06</v>
      </c>
      <c r="D572" t="str">
        <f>Sheet1!D572</f>
        <v>Delhi</v>
      </c>
      <c r="E572" t="str">
        <f>Sheet1!F572</f>
        <v>Furniture</v>
      </c>
      <c r="F572" t="str">
        <f>Sheet1!H572</f>
        <v>Pooja</v>
      </c>
      <c r="G572">
        <f>Sheet1!K572</f>
        <v>5266.8</v>
      </c>
      <c r="H572">
        <f>Sheet1!N572</f>
        <v>1531.64</v>
      </c>
      <c r="I572">
        <f t="shared" si="11"/>
        <v>1</v>
      </c>
    </row>
    <row r="573" spans="1:9" x14ac:dyDescent="0.3">
      <c r="A573">
        <f>Sheet1!A573</f>
        <v>1572</v>
      </c>
      <c r="B573" t="str">
        <f>Sheet1!B573</f>
        <v>2025-06-14</v>
      </c>
      <c r="C573" t="str">
        <f>TEXT(Sheet1!B573,"YYYY-MM")</f>
        <v>2025-06</v>
      </c>
      <c r="D573" t="str">
        <f>Sheet1!D573</f>
        <v>Mumbai</v>
      </c>
      <c r="E573" t="str">
        <f>Sheet1!F573</f>
        <v>Clothing</v>
      </c>
      <c r="F573" t="str">
        <f>Sheet1!H573</f>
        <v>Sneha</v>
      </c>
      <c r="G573">
        <f>Sheet1!K573</f>
        <v>30601.4</v>
      </c>
      <c r="H573">
        <f>Sheet1!N573</f>
        <v>8203.93</v>
      </c>
      <c r="I573">
        <f t="shared" si="11"/>
        <v>1</v>
      </c>
    </row>
    <row r="574" spans="1:9" x14ac:dyDescent="0.3">
      <c r="A574">
        <f>Sheet1!A574</f>
        <v>1573</v>
      </c>
      <c r="B574" t="str">
        <f>Sheet1!B574</f>
        <v>2025-06-14</v>
      </c>
      <c r="C574" t="str">
        <f>TEXT(Sheet1!B574,"YYYY-MM")</f>
        <v>2025-06</v>
      </c>
      <c r="D574" t="str">
        <f>Sheet1!D574</f>
        <v>Delhi</v>
      </c>
      <c r="E574" t="str">
        <f>Sheet1!F574</f>
        <v>Furniture</v>
      </c>
      <c r="F574" t="str">
        <f>Sheet1!H574</f>
        <v>Pooja</v>
      </c>
      <c r="G574">
        <f>Sheet1!K574</f>
        <v>37002</v>
      </c>
      <c r="H574">
        <f>Sheet1!N574</f>
        <v>7633.11</v>
      </c>
      <c r="I574">
        <f t="shared" si="11"/>
        <v>1</v>
      </c>
    </row>
    <row r="575" spans="1:9" x14ac:dyDescent="0.3">
      <c r="A575">
        <f>Sheet1!A575</f>
        <v>1574</v>
      </c>
      <c r="B575" t="str">
        <f>Sheet1!B575</f>
        <v>2025-06-14</v>
      </c>
      <c r="C575" t="str">
        <f>TEXT(Sheet1!B575,"YYYY-MM")</f>
        <v>2025-06</v>
      </c>
      <c r="D575" t="str">
        <f>Sheet1!D575</f>
        <v>Delhi</v>
      </c>
      <c r="E575" t="str">
        <f>Sheet1!F575</f>
        <v>Clothing</v>
      </c>
      <c r="F575" t="str">
        <f>Sheet1!H575</f>
        <v>Ajay</v>
      </c>
      <c r="G575">
        <f>Sheet1!K575</f>
        <v>159345.25</v>
      </c>
      <c r="H575">
        <f>Sheet1!N575</f>
        <v>35756.32</v>
      </c>
      <c r="I575">
        <f t="shared" si="11"/>
        <v>1</v>
      </c>
    </row>
    <row r="576" spans="1:9" x14ac:dyDescent="0.3">
      <c r="A576">
        <f>Sheet1!A576</f>
        <v>1575</v>
      </c>
      <c r="B576" t="str">
        <f>Sheet1!B576</f>
        <v>2025-06-14</v>
      </c>
      <c r="C576" t="str">
        <f>TEXT(Sheet1!B576,"YYYY-MM")</f>
        <v>2025-06</v>
      </c>
      <c r="D576" t="str">
        <f>Sheet1!D576</f>
        <v>Delhi</v>
      </c>
      <c r="E576" t="str">
        <f>Sheet1!F576</f>
        <v>Clothing</v>
      </c>
      <c r="F576" t="str">
        <f>Sheet1!H576</f>
        <v>Ajay</v>
      </c>
      <c r="G576">
        <f>Sheet1!K576</f>
        <v>207494.25</v>
      </c>
      <c r="H576">
        <f>Sheet1!N576</f>
        <v>26531.53</v>
      </c>
      <c r="I576">
        <f t="shared" si="11"/>
        <v>1</v>
      </c>
    </row>
    <row r="577" spans="1:9" x14ac:dyDescent="0.3">
      <c r="A577">
        <f>Sheet1!A577</f>
        <v>1576</v>
      </c>
      <c r="B577" t="str">
        <f>Sheet1!B577</f>
        <v>2025-06-15</v>
      </c>
      <c r="C577" t="str">
        <f>TEXT(Sheet1!B577,"YYYY-MM")</f>
        <v>2025-06</v>
      </c>
      <c r="D577" t="str">
        <f>Sheet1!D577</f>
        <v>Mumbai</v>
      </c>
      <c r="E577" t="str">
        <f>Sheet1!F577</f>
        <v>Clothing</v>
      </c>
      <c r="F577" t="str">
        <f>Sheet1!H577</f>
        <v>Pooja</v>
      </c>
      <c r="G577">
        <f>Sheet1!K577</f>
        <v>25071</v>
      </c>
      <c r="H577">
        <f>Sheet1!N577</f>
        <v>4774.1400000000003</v>
      </c>
      <c r="I577">
        <f t="shared" si="11"/>
        <v>1</v>
      </c>
    </row>
    <row r="578" spans="1:9" x14ac:dyDescent="0.3">
      <c r="A578">
        <f>Sheet1!A578</f>
        <v>1577</v>
      </c>
      <c r="B578" t="str">
        <f>Sheet1!B578</f>
        <v>2025-06-15</v>
      </c>
      <c r="C578" t="str">
        <f>TEXT(Sheet1!B578,"YYYY-MM")</f>
        <v>2025-06</v>
      </c>
      <c r="D578" t="str">
        <f>Sheet1!D578</f>
        <v>Pune</v>
      </c>
      <c r="E578" t="str">
        <f>Sheet1!F578</f>
        <v>Electronics</v>
      </c>
      <c r="F578" t="str">
        <f>Sheet1!H578</f>
        <v>Pooja</v>
      </c>
      <c r="G578">
        <f>Sheet1!K578</f>
        <v>156431.75</v>
      </c>
      <c r="H578">
        <f>Sheet1!N578</f>
        <v>36725.980000000003</v>
      </c>
      <c r="I578">
        <f t="shared" ref="I578:I641" si="12">IF(AND(OR(FilterCity="All",D578=FilterCity),OR(FilterCategory="All",E578=FilterCategory),OR(FilterRep="All",F578=FilterRep),C578&gt;=FilterMonthFrom,C578&lt;=FilterMonthTo),1,0)</f>
        <v>1</v>
      </c>
    </row>
    <row r="579" spans="1:9" x14ac:dyDescent="0.3">
      <c r="A579">
        <f>Sheet1!A579</f>
        <v>1578</v>
      </c>
      <c r="B579" t="str">
        <f>Sheet1!B579</f>
        <v>2025-06-15</v>
      </c>
      <c r="C579" t="str">
        <f>TEXT(Sheet1!B579,"YYYY-MM")</f>
        <v>2025-06</v>
      </c>
      <c r="D579" t="str">
        <f>Sheet1!D579</f>
        <v>Mumbai</v>
      </c>
      <c r="E579" t="str">
        <f>Sheet1!F579</f>
        <v>Clothing</v>
      </c>
      <c r="F579" t="str">
        <f>Sheet1!H579</f>
        <v>Sneha</v>
      </c>
      <c r="G579">
        <f>Sheet1!K579</f>
        <v>30794.400000000001</v>
      </c>
      <c r="H579">
        <f>Sheet1!N579</f>
        <v>8995.07</v>
      </c>
      <c r="I579">
        <f t="shared" si="12"/>
        <v>1</v>
      </c>
    </row>
    <row r="580" spans="1:9" x14ac:dyDescent="0.3">
      <c r="A580">
        <f>Sheet1!A580</f>
        <v>1579</v>
      </c>
      <c r="B580" t="str">
        <f>Sheet1!B580</f>
        <v>2025-06-16</v>
      </c>
      <c r="C580" t="str">
        <f>TEXT(Sheet1!B580,"YYYY-MM")</f>
        <v>2025-06</v>
      </c>
      <c r="D580" t="str">
        <f>Sheet1!D580</f>
        <v>Bangalore</v>
      </c>
      <c r="E580" t="str">
        <f>Sheet1!F580</f>
        <v>Clothing</v>
      </c>
      <c r="F580" t="str">
        <f>Sheet1!H580</f>
        <v>Ajay</v>
      </c>
      <c r="G580">
        <f>Sheet1!K580</f>
        <v>233244</v>
      </c>
      <c r="H580">
        <f>Sheet1!N580</f>
        <v>28453.54</v>
      </c>
      <c r="I580">
        <f t="shared" si="12"/>
        <v>1</v>
      </c>
    </row>
    <row r="581" spans="1:9" x14ac:dyDescent="0.3">
      <c r="A581">
        <f>Sheet1!A581</f>
        <v>1580</v>
      </c>
      <c r="B581" t="str">
        <f>Sheet1!B581</f>
        <v>2025-06-16</v>
      </c>
      <c r="C581" t="str">
        <f>TEXT(Sheet1!B581,"YYYY-MM")</f>
        <v>2025-06</v>
      </c>
      <c r="D581" t="str">
        <f>Sheet1!D581</f>
        <v>Bangalore</v>
      </c>
      <c r="E581" t="str">
        <f>Sheet1!F581</f>
        <v>Electronics</v>
      </c>
      <c r="F581" t="str">
        <f>Sheet1!H581</f>
        <v>Ajay</v>
      </c>
      <c r="G581">
        <f>Sheet1!K581</f>
        <v>187401.75</v>
      </c>
      <c r="H581">
        <f>Sheet1!N581</f>
        <v>35634.29</v>
      </c>
      <c r="I581">
        <f t="shared" si="12"/>
        <v>1</v>
      </c>
    </row>
    <row r="582" spans="1:9" x14ac:dyDescent="0.3">
      <c r="A582">
        <f>Sheet1!A582</f>
        <v>1581</v>
      </c>
      <c r="B582" t="str">
        <f>Sheet1!B582</f>
        <v>2025-06-16</v>
      </c>
      <c r="C582" t="str">
        <f>TEXT(Sheet1!B582,"YYYY-MM")</f>
        <v>2025-06</v>
      </c>
      <c r="D582" t="str">
        <f>Sheet1!D582</f>
        <v>Mumbai</v>
      </c>
      <c r="E582" t="str">
        <f>Sheet1!F582</f>
        <v>Clothing</v>
      </c>
      <c r="F582" t="str">
        <f>Sheet1!H582</f>
        <v>Rahul</v>
      </c>
      <c r="G582">
        <f>Sheet1!K582</f>
        <v>74949.600000000006</v>
      </c>
      <c r="H582">
        <f>Sheet1!N582</f>
        <v>18606.18</v>
      </c>
      <c r="I582">
        <f t="shared" si="12"/>
        <v>1</v>
      </c>
    </row>
    <row r="583" spans="1:9" x14ac:dyDescent="0.3">
      <c r="A583">
        <f>Sheet1!A583</f>
        <v>1582</v>
      </c>
      <c r="B583" t="str">
        <f>Sheet1!B583</f>
        <v>2025-06-17</v>
      </c>
      <c r="C583" t="str">
        <f>TEXT(Sheet1!B583,"YYYY-MM")</f>
        <v>2025-06</v>
      </c>
      <c r="D583" t="str">
        <f>Sheet1!D583</f>
        <v>Pune</v>
      </c>
      <c r="E583" t="str">
        <f>Sheet1!F583</f>
        <v>Clothing</v>
      </c>
      <c r="F583" t="str">
        <f>Sheet1!H583</f>
        <v>Rahul</v>
      </c>
      <c r="G583">
        <f>Sheet1!K583</f>
        <v>173706</v>
      </c>
      <c r="H583">
        <f>Sheet1!N583</f>
        <v>51631.43</v>
      </c>
      <c r="I583">
        <f t="shared" si="12"/>
        <v>1</v>
      </c>
    </row>
    <row r="584" spans="1:9" x14ac:dyDescent="0.3">
      <c r="A584">
        <f>Sheet1!A584</f>
        <v>1583</v>
      </c>
      <c r="B584" t="str">
        <f>Sheet1!B584</f>
        <v>2025-06-17</v>
      </c>
      <c r="C584" t="str">
        <f>TEXT(Sheet1!B584,"YYYY-MM")</f>
        <v>2025-06</v>
      </c>
      <c r="D584" t="str">
        <f>Sheet1!D584</f>
        <v>Mumbai</v>
      </c>
      <c r="E584" t="str">
        <f>Sheet1!F584</f>
        <v>Electronics</v>
      </c>
      <c r="F584" t="str">
        <f>Sheet1!H584</f>
        <v>Rahul</v>
      </c>
      <c r="G584">
        <f>Sheet1!K584</f>
        <v>135441</v>
      </c>
      <c r="H584">
        <f>Sheet1!N584</f>
        <v>36980.589999999997</v>
      </c>
      <c r="I584">
        <f t="shared" si="12"/>
        <v>1</v>
      </c>
    </row>
    <row r="585" spans="1:9" x14ac:dyDescent="0.3">
      <c r="A585">
        <f>Sheet1!A585</f>
        <v>1584</v>
      </c>
      <c r="B585" t="str">
        <f>Sheet1!B585</f>
        <v>2025-06-17</v>
      </c>
      <c r="C585" t="str">
        <f>TEXT(Sheet1!B585,"YYYY-MM")</f>
        <v>2025-06</v>
      </c>
      <c r="D585" t="str">
        <f>Sheet1!D585</f>
        <v>Mumbai</v>
      </c>
      <c r="E585" t="str">
        <f>Sheet1!F585</f>
        <v>Furniture</v>
      </c>
      <c r="F585" t="str">
        <f>Sheet1!H585</f>
        <v>Rahul</v>
      </c>
      <c r="G585">
        <f>Sheet1!K585</f>
        <v>37088</v>
      </c>
      <c r="H585">
        <f>Sheet1!N585</f>
        <v>5196.47</v>
      </c>
      <c r="I585">
        <f t="shared" si="12"/>
        <v>1</v>
      </c>
    </row>
    <row r="586" spans="1:9" x14ac:dyDescent="0.3">
      <c r="A586">
        <f>Sheet1!A586</f>
        <v>1585</v>
      </c>
      <c r="B586" t="str">
        <f>Sheet1!B586</f>
        <v>2025-06-18</v>
      </c>
      <c r="C586" t="str">
        <f>TEXT(Sheet1!B586,"YYYY-MM")</f>
        <v>2025-06</v>
      </c>
      <c r="D586" t="str">
        <f>Sheet1!D586</f>
        <v>Mumbai</v>
      </c>
      <c r="E586" t="str">
        <f>Sheet1!F586</f>
        <v>Electronics</v>
      </c>
      <c r="F586" t="str">
        <f>Sheet1!H586</f>
        <v>Sneha</v>
      </c>
      <c r="G586">
        <f>Sheet1!K586</f>
        <v>37818</v>
      </c>
      <c r="H586">
        <f>Sheet1!N586</f>
        <v>11024.69</v>
      </c>
      <c r="I586">
        <f t="shared" si="12"/>
        <v>1</v>
      </c>
    </row>
    <row r="587" spans="1:9" x14ac:dyDescent="0.3">
      <c r="A587">
        <f>Sheet1!A587</f>
        <v>1586</v>
      </c>
      <c r="B587" t="str">
        <f>Sheet1!B587</f>
        <v>2025-06-18</v>
      </c>
      <c r="C587" t="str">
        <f>TEXT(Sheet1!B587,"YYYY-MM")</f>
        <v>2025-06</v>
      </c>
      <c r="D587" t="str">
        <f>Sheet1!D587</f>
        <v>Hyderabad</v>
      </c>
      <c r="E587" t="str">
        <f>Sheet1!F587</f>
        <v>Electronics</v>
      </c>
      <c r="F587" t="str">
        <f>Sheet1!H587</f>
        <v>Pooja</v>
      </c>
      <c r="G587">
        <f>Sheet1!K587</f>
        <v>19162.400000000001</v>
      </c>
      <c r="H587">
        <f>Sheet1!N587</f>
        <v>5059.82</v>
      </c>
      <c r="I587">
        <f t="shared" si="12"/>
        <v>1</v>
      </c>
    </row>
    <row r="588" spans="1:9" x14ac:dyDescent="0.3">
      <c r="A588">
        <f>Sheet1!A588</f>
        <v>1587</v>
      </c>
      <c r="B588" t="str">
        <f>Sheet1!B588</f>
        <v>2025-06-19</v>
      </c>
      <c r="C588" t="str">
        <f>TEXT(Sheet1!B588,"YYYY-MM")</f>
        <v>2025-06</v>
      </c>
      <c r="D588" t="str">
        <f>Sheet1!D588</f>
        <v>Bangalore</v>
      </c>
      <c r="E588" t="str">
        <f>Sheet1!F588</f>
        <v>Clothing</v>
      </c>
      <c r="F588" t="str">
        <f>Sheet1!H588</f>
        <v>Sneha</v>
      </c>
      <c r="G588">
        <f>Sheet1!K588</f>
        <v>18665.599999999999</v>
      </c>
      <c r="H588">
        <f>Sheet1!N588</f>
        <v>3992.2</v>
      </c>
      <c r="I588">
        <f t="shared" si="12"/>
        <v>1</v>
      </c>
    </row>
    <row r="589" spans="1:9" x14ac:dyDescent="0.3">
      <c r="A589">
        <f>Sheet1!A589</f>
        <v>1588</v>
      </c>
      <c r="B589" t="str">
        <f>Sheet1!B589</f>
        <v>2025-06-19</v>
      </c>
      <c r="C589" t="str">
        <f>TEXT(Sheet1!B589,"YYYY-MM")</f>
        <v>2025-06</v>
      </c>
      <c r="D589" t="str">
        <f>Sheet1!D589</f>
        <v>Delhi</v>
      </c>
      <c r="E589" t="str">
        <f>Sheet1!F589</f>
        <v>Electronics</v>
      </c>
      <c r="F589" t="str">
        <f>Sheet1!H589</f>
        <v>Rahul</v>
      </c>
      <c r="G589">
        <f>Sheet1!K589</f>
        <v>145116.25</v>
      </c>
      <c r="H589">
        <f>Sheet1!N589</f>
        <v>28897.89</v>
      </c>
      <c r="I589">
        <f t="shared" si="12"/>
        <v>1</v>
      </c>
    </row>
    <row r="590" spans="1:9" x14ac:dyDescent="0.3">
      <c r="A590">
        <f>Sheet1!A590</f>
        <v>1589</v>
      </c>
      <c r="B590" t="str">
        <f>Sheet1!B590</f>
        <v>2025-06-19</v>
      </c>
      <c r="C590" t="str">
        <f>TEXT(Sheet1!B590,"YYYY-MM")</f>
        <v>2025-06</v>
      </c>
      <c r="D590" t="str">
        <f>Sheet1!D590</f>
        <v>Mumbai</v>
      </c>
      <c r="E590" t="str">
        <f>Sheet1!F590</f>
        <v>Electronics</v>
      </c>
      <c r="F590" t="str">
        <f>Sheet1!H590</f>
        <v>Pooja</v>
      </c>
      <c r="G590">
        <f>Sheet1!K590</f>
        <v>83584.800000000003</v>
      </c>
      <c r="H590">
        <f>Sheet1!N590</f>
        <v>11323.52</v>
      </c>
      <c r="I590">
        <f t="shared" si="12"/>
        <v>1</v>
      </c>
    </row>
    <row r="591" spans="1:9" x14ac:dyDescent="0.3">
      <c r="A591">
        <f>Sheet1!A591</f>
        <v>1590</v>
      </c>
      <c r="B591" t="str">
        <f>Sheet1!B591</f>
        <v>2025-06-19</v>
      </c>
      <c r="C591" t="str">
        <f>TEXT(Sheet1!B591,"YYYY-MM")</f>
        <v>2025-06</v>
      </c>
      <c r="D591" t="str">
        <f>Sheet1!D591</f>
        <v>Delhi</v>
      </c>
      <c r="E591" t="str">
        <f>Sheet1!F591</f>
        <v>Clothing</v>
      </c>
      <c r="F591" t="str">
        <f>Sheet1!H591</f>
        <v>Pooja</v>
      </c>
      <c r="G591">
        <f>Sheet1!K591</f>
        <v>84893.75</v>
      </c>
      <c r="H591">
        <f>Sheet1!N591</f>
        <v>17100.580000000002</v>
      </c>
      <c r="I591">
        <f t="shared" si="12"/>
        <v>1</v>
      </c>
    </row>
    <row r="592" spans="1:9" x14ac:dyDescent="0.3">
      <c r="A592">
        <f>Sheet1!A592</f>
        <v>1591</v>
      </c>
      <c r="B592" t="str">
        <f>Sheet1!B592</f>
        <v>2025-06-20</v>
      </c>
      <c r="C592" t="str">
        <f>TEXT(Sheet1!B592,"YYYY-MM")</f>
        <v>2025-06</v>
      </c>
      <c r="D592" t="str">
        <f>Sheet1!D592</f>
        <v>Pune</v>
      </c>
      <c r="E592" t="str">
        <f>Sheet1!F592</f>
        <v>Clothing</v>
      </c>
      <c r="F592" t="str">
        <f>Sheet1!H592</f>
        <v>Rahul</v>
      </c>
      <c r="G592">
        <f>Sheet1!K592</f>
        <v>133417.04999999999</v>
      </c>
      <c r="H592">
        <f>Sheet1!N592</f>
        <v>24014.04</v>
      </c>
      <c r="I592">
        <f t="shared" si="12"/>
        <v>1</v>
      </c>
    </row>
    <row r="593" spans="1:9" x14ac:dyDescent="0.3">
      <c r="A593">
        <f>Sheet1!A593</f>
        <v>1592</v>
      </c>
      <c r="B593" t="str">
        <f>Sheet1!B593</f>
        <v>2025-06-20</v>
      </c>
      <c r="C593" t="str">
        <f>TEXT(Sheet1!B593,"YYYY-MM")</f>
        <v>2025-06</v>
      </c>
      <c r="D593" t="str">
        <f>Sheet1!D593</f>
        <v>Delhi</v>
      </c>
      <c r="E593" t="str">
        <f>Sheet1!F593</f>
        <v>Clothing</v>
      </c>
      <c r="F593" t="str">
        <f>Sheet1!H593</f>
        <v>Ajay</v>
      </c>
      <c r="G593">
        <f>Sheet1!K593</f>
        <v>105117</v>
      </c>
      <c r="H593">
        <f>Sheet1!N593</f>
        <v>24844.21</v>
      </c>
      <c r="I593">
        <f t="shared" si="12"/>
        <v>1</v>
      </c>
    </row>
    <row r="594" spans="1:9" x14ac:dyDescent="0.3">
      <c r="A594">
        <f>Sheet1!A594</f>
        <v>1593</v>
      </c>
      <c r="B594" t="str">
        <f>Sheet1!B594</f>
        <v>2025-06-21</v>
      </c>
      <c r="C594" t="str">
        <f>TEXT(Sheet1!B594,"YYYY-MM")</f>
        <v>2025-06</v>
      </c>
      <c r="D594" t="str">
        <f>Sheet1!D594</f>
        <v>Bangalore</v>
      </c>
      <c r="E594" t="str">
        <f>Sheet1!F594</f>
        <v>Electronics</v>
      </c>
      <c r="F594" t="str">
        <f>Sheet1!H594</f>
        <v>Ajay</v>
      </c>
      <c r="G594">
        <f>Sheet1!K594</f>
        <v>52672.5</v>
      </c>
      <c r="H594">
        <f>Sheet1!N594</f>
        <v>13646.91</v>
      </c>
      <c r="I594">
        <f t="shared" si="12"/>
        <v>1</v>
      </c>
    </row>
    <row r="595" spans="1:9" x14ac:dyDescent="0.3">
      <c r="A595">
        <f>Sheet1!A595</f>
        <v>1594</v>
      </c>
      <c r="B595" t="str">
        <f>Sheet1!B595</f>
        <v>2025-06-21</v>
      </c>
      <c r="C595" t="str">
        <f>TEXT(Sheet1!B595,"YYYY-MM")</f>
        <v>2025-06</v>
      </c>
      <c r="D595" t="str">
        <f>Sheet1!D595</f>
        <v>Mumbai</v>
      </c>
      <c r="E595" t="str">
        <f>Sheet1!F595</f>
        <v>Clothing</v>
      </c>
      <c r="F595" t="str">
        <f>Sheet1!H595</f>
        <v>Ajay</v>
      </c>
      <c r="G595">
        <f>Sheet1!K595</f>
        <v>2068.0500000000002</v>
      </c>
      <c r="H595">
        <f>Sheet1!N595</f>
        <v>343.68</v>
      </c>
      <c r="I595">
        <f t="shared" si="12"/>
        <v>1</v>
      </c>
    </row>
    <row r="596" spans="1:9" x14ac:dyDescent="0.3">
      <c r="A596">
        <f>Sheet1!A596</f>
        <v>1595</v>
      </c>
      <c r="B596" t="str">
        <f>Sheet1!B596</f>
        <v>2025-06-21</v>
      </c>
      <c r="C596" t="str">
        <f>TEXT(Sheet1!B596,"YYYY-MM")</f>
        <v>2025-06</v>
      </c>
      <c r="D596" t="str">
        <f>Sheet1!D596</f>
        <v>Hyderabad</v>
      </c>
      <c r="E596" t="str">
        <f>Sheet1!F596</f>
        <v>Electronics</v>
      </c>
      <c r="F596" t="str">
        <f>Sheet1!H596</f>
        <v>Rahul</v>
      </c>
      <c r="G596">
        <f>Sheet1!K596</f>
        <v>180455</v>
      </c>
      <c r="H596">
        <f>Sheet1!N596</f>
        <v>40798.9</v>
      </c>
      <c r="I596">
        <f t="shared" si="12"/>
        <v>1</v>
      </c>
    </row>
    <row r="597" spans="1:9" x14ac:dyDescent="0.3">
      <c r="A597">
        <f>Sheet1!A597</f>
        <v>1596</v>
      </c>
      <c r="B597" t="str">
        <f>Sheet1!B597</f>
        <v>2025-06-21</v>
      </c>
      <c r="C597" t="str">
        <f>TEXT(Sheet1!B597,"YYYY-MM")</f>
        <v>2025-06</v>
      </c>
      <c r="D597" t="str">
        <f>Sheet1!D597</f>
        <v>Pune</v>
      </c>
      <c r="E597" t="str">
        <f>Sheet1!F597</f>
        <v>Electronics</v>
      </c>
      <c r="F597" t="str">
        <f>Sheet1!H597</f>
        <v>Rahul</v>
      </c>
      <c r="G597">
        <f>Sheet1!K597</f>
        <v>31566.6</v>
      </c>
      <c r="H597">
        <f>Sheet1!N597</f>
        <v>7452.91</v>
      </c>
      <c r="I597">
        <f t="shared" si="12"/>
        <v>1</v>
      </c>
    </row>
    <row r="598" spans="1:9" x14ac:dyDescent="0.3">
      <c r="A598">
        <f>Sheet1!A598</f>
        <v>1597</v>
      </c>
      <c r="B598" t="str">
        <f>Sheet1!B598</f>
        <v>2025-06-22</v>
      </c>
      <c r="C598" t="str">
        <f>TEXT(Sheet1!B598,"YYYY-MM")</f>
        <v>2025-06</v>
      </c>
      <c r="D598" t="str">
        <f>Sheet1!D598</f>
        <v>Mumbai</v>
      </c>
      <c r="E598" t="str">
        <f>Sheet1!F598</f>
        <v>Electronics</v>
      </c>
      <c r="F598" t="str">
        <f>Sheet1!H598</f>
        <v>Pooja</v>
      </c>
      <c r="G598">
        <f>Sheet1!K598</f>
        <v>60581.5</v>
      </c>
      <c r="H598">
        <f>Sheet1!N598</f>
        <v>12137.89</v>
      </c>
      <c r="I598">
        <f t="shared" si="12"/>
        <v>1</v>
      </c>
    </row>
    <row r="599" spans="1:9" x14ac:dyDescent="0.3">
      <c r="A599">
        <f>Sheet1!A599</f>
        <v>1598</v>
      </c>
      <c r="B599" t="str">
        <f>Sheet1!B599</f>
        <v>2025-06-22</v>
      </c>
      <c r="C599" t="str">
        <f>TEXT(Sheet1!B599,"YYYY-MM")</f>
        <v>2025-06</v>
      </c>
      <c r="D599" t="str">
        <f>Sheet1!D599</f>
        <v>Pune</v>
      </c>
      <c r="E599" t="str">
        <f>Sheet1!F599</f>
        <v>Clothing</v>
      </c>
      <c r="F599" t="str">
        <f>Sheet1!H599</f>
        <v>Sneha</v>
      </c>
      <c r="G599">
        <f>Sheet1!K599</f>
        <v>69591.3</v>
      </c>
      <c r="H599">
        <f>Sheet1!N599</f>
        <v>13449.14</v>
      </c>
      <c r="I599">
        <f t="shared" si="12"/>
        <v>1</v>
      </c>
    </row>
    <row r="600" spans="1:9" x14ac:dyDescent="0.3">
      <c r="A600">
        <f>Sheet1!A600</f>
        <v>1599</v>
      </c>
      <c r="B600" t="str">
        <f>Sheet1!B600</f>
        <v>2025-06-22</v>
      </c>
      <c r="C600" t="str">
        <f>TEXT(Sheet1!B600,"YYYY-MM")</f>
        <v>2025-06</v>
      </c>
      <c r="D600" t="str">
        <f>Sheet1!D600</f>
        <v>Hyderabad</v>
      </c>
      <c r="E600" t="str">
        <f>Sheet1!F600</f>
        <v>Electronics</v>
      </c>
      <c r="F600" t="str">
        <f>Sheet1!H600</f>
        <v>Ajay</v>
      </c>
      <c r="G600">
        <f>Sheet1!K600</f>
        <v>21416.400000000001</v>
      </c>
      <c r="H600">
        <f>Sheet1!N600</f>
        <v>4647.42</v>
      </c>
      <c r="I600">
        <f t="shared" si="12"/>
        <v>1</v>
      </c>
    </row>
    <row r="601" spans="1:9" x14ac:dyDescent="0.3">
      <c r="A601">
        <f>Sheet1!A601</f>
        <v>1600</v>
      </c>
      <c r="B601" t="str">
        <f>Sheet1!B601</f>
        <v>2025-06-22</v>
      </c>
      <c r="C601" t="str">
        <f>TEXT(Sheet1!B601,"YYYY-MM")</f>
        <v>2025-06</v>
      </c>
      <c r="D601" t="str">
        <f>Sheet1!D601</f>
        <v>Hyderabad</v>
      </c>
      <c r="E601" t="str">
        <f>Sheet1!F601</f>
        <v>Clothing</v>
      </c>
      <c r="F601" t="str">
        <f>Sheet1!H601</f>
        <v>Pooja</v>
      </c>
      <c r="G601">
        <f>Sheet1!K601</f>
        <v>2617.1999999999998</v>
      </c>
      <c r="H601">
        <f>Sheet1!N601</f>
        <v>676.01</v>
      </c>
      <c r="I601">
        <f t="shared" si="12"/>
        <v>1</v>
      </c>
    </row>
    <row r="602" spans="1:9" x14ac:dyDescent="0.3">
      <c r="A602">
        <f>Sheet1!A602</f>
        <v>1601</v>
      </c>
      <c r="B602" t="str">
        <f>Sheet1!B602</f>
        <v>2025-06-23</v>
      </c>
      <c r="C602" t="str">
        <f>TEXT(Sheet1!B602,"YYYY-MM")</f>
        <v>2025-06</v>
      </c>
      <c r="D602" t="str">
        <f>Sheet1!D602</f>
        <v>Bangalore</v>
      </c>
      <c r="E602" t="str">
        <f>Sheet1!F602</f>
        <v>Furniture</v>
      </c>
      <c r="F602" t="str">
        <f>Sheet1!H602</f>
        <v>Rahul</v>
      </c>
      <c r="G602">
        <f>Sheet1!K602</f>
        <v>5359.5</v>
      </c>
      <c r="H602">
        <f>Sheet1!N602</f>
        <v>716.56</v>
      </c>
      <c r="I602">
        <f t="shared" si="12"/>
        <v>1</v>
      </c>
    </row>
    <row r="603" spans="1:9" x14ac:dyDescent="0.3">
      <c r="A603">
        <f>Sheet1!A603</f>
        <v>1602</v>
      </c>
      <c r="B603" t="str">
        <f>Sheet1!B603</f>
        <v>2025-06-23</v>
      </c>
      <c r="C603" t="str">
        <f>TEXT(Sheet1!B603,"YYYY-MM")</f>
        <v>2025-06</v>
      </c>
      <c r="D603" t="str">
        <f>Sheet1!D603</f>
        <v>Delhi</v>
      </c>
      <c r="E603" t="str">
        <f>Sheet1!F603</f>
        <v>Furniture</v>
      </c>
      <c r="F603" t="str">
        <f>Sheet1!H603</f>
        <v>Rahul</v>
      </c>
      <c r="G603">
        <f>Sheet1!K603</f>
        <v>136915</v>
      </c>
      <c r="H603">
        <f>Sheet1!N603</f>
        <v>29252.560000000001</v>
      </c>
      <c r="I603">
        <f t="shared" si="12"/>
        <v>1</v>
      </c>
    </row>
    <row r="604" spans="1:9" x14ac:dyDescent="0.3">
      <c r="A604">
        <f>Sheet1!A604</f>
        <v>1603</v>
      </c>
      <c r="B604" t="str">
        <f>Sheet1!B604</f>
        <v>2025-06-23</v>
      </c>
      <c r="C604" t="str">
        <f>TEXT(Sheet1!B604,"YYYY-MM")</f>
        <v>2025-06</v>
      </c>
      <c r="D604" t="str">
        <f>Sheet1!D604</f>
        <v>Pune</v>
      </c>
      <c r="E604" t="str">
        <f>Sheet1!F604</f>
        <v>Furniture</v>
      </c>
      <c r="F604" t="str">
        <f>Sheet1!H604</f>
        <v>Ajay</v>
      </c>
      <c r="G604">
        <f>Sheet1!K604</f>
        <v>5532.3</v>
      </c>
      <c r="H604">
        <f>Sheet1!N604</f>
        <v>1385.57</v>
      </c>
      <c r="I604">
        <f t="shared" si="12"/>
        <v>1</v>
      </c>
    </row>
    <row r="605" spans="1:9" x14ac:dyDescent="0.3">
      <c r="A605">
        <f>Sheet1!A605</f>
        <v>1604</v>
      </c>
      <c r="B605" t="str">
        <f>Sheet1!B605</f>
        <v>2025-06-23</v>
      </c>
      <c r="C605" t="str">
        <f>TEXT(Sheet1!B605,"YYYY-MM")</f>
        <v>2025-06</v>
      </c>
      <c r="D605" t="str">
        <f>Sheet1!D605</f>
        <v>Pune</v>
      </c>
      <c r="E605" t="str">
        <f>Sheet1!F605</f>
        <v>Furniture</v>
      </c>
      <c r="F605" t="str">
        <f>Sheet1!H605</f>
        <v>Ajay</v>
      </c>
      <c r="G605">
        <f>Sheet1!K605</f>
        <v>2565</v>
      </c>
      <c r="H605">
        <f>Sheet1!N605</f>
        <v>506.31</v>
      </c>
      <c r="I605">
        <f t="shared" si="12"/>
        <v>1</v>
      </c>
    </row>
    <row r="606" spans="1:9" x14ac:dyDescent="0.3">
      <c r="A606">
        <f>Sheet1!A606</f>
        <v>1605</v>
      </c>
      <c r="B606" t="str">
        <f>Sheet1!B606</f>
        <v>2025-06-24</v>
      </c>
      <c r="C606" t="str">
        <f>TEXT(Sheet1!B606,"YYYY-MM")</f>
        <v>2025-06</v>
      </c>
      <c r="D606" t="str">
        <f>Sheet1!D606</f>
        <v>Bangalore</v>
      </c>
      <c r="E606" t="str">
        <f>Sheet1!F606</f>
        <v>Electronics</v>
      </c>
      <c r="F606" t="str">
        <f>Sheet1!H606</f>
        <v>Ajay</v>
      </c>
      <c r="G606">
        <f>Sheet1!K606</f>
        <v>22982</v>
      </c>
      <c r="H606">
        <f>Sheet1!N606</f>
        <v>5416.22</v>
      </c>
      <c r="I606">
        <f t="shared" si="12"/>
        <v>1</v>
      </c>
    </row>
    <row r="607" spans="1:9" x14ac:dyDescent="0.3">
      <c r="A607">
        <f>Sheet1!A607</f>
        <v>1606</v>
      </c>
      <c r="B607" t="str">
        <f>Sheet1!B607</f>
        <v>2025-06-24</v>
      </c>
      <c r="C607" t="str">
        <f>TEXT(Sheet1!B607,"YYYY-MM")</f>
        <v>2025-06</v>
      </c>
      <c r="D607" t="str">
        <f>Sheet1!D607</f>
        <v>Mumbai</v>
      </c>
      <c r="E607" t="str">
        <f>Sheet1!F607</f>
        <v>Electronics</v>
      </c>
      <c r="F607" t="str">
        <f>Sheet1!H607</f>
        <v>Sneha</v>
      </c>
      <c r="G607">
        <f>Sheet1!K607</f>
        <v>132013.5</v>
      </c>
      <c r="H607">
        <f>Sheet1!N607</f>
        <v>32063.34</v>
      </c>
      <c r="I607">
        <f t="shared" si="12"/>
        <v>1</v>
      </c>
    </row>
    <row r="608" spans="1:9" x14ac:dyDescent="0.3">
      <c r="A608">
        <f>Sheet1!A608</f>
        <v>1607</v>
      </c>
      <c r="B608" t="str">
        <f>Sheet1!B608</f>
        <v>2025-06-24</v>
      </c>
      <c r="C608" t="str">
        <f>TEXT(Sheet1!B608,"YYYY-MM")</f>
        <v>2025-06</v>
      </c>
      <c r="D608" t="str">
        <f>Sheet1!D608</f>
        <v>Pune</v>
      </c>
      <c r="E608" t="str">
        <f>Sheet1!F608</f>
        <v>Clothing</v>
      </c>
      <c r="F608" t="str">
        <f>Sheet1!H608</f>
        <v>Pooja</v>
      </c>
      <c r="G608">
        <f>Sheet1!K608</f>
        <v>39244.5</v>
      </c>
      <c r="H608">
        <f>Sheet1!N608</f>
        <v>11430.69</v>
      </c>
      <c r="I608">
        <f t="shared" si="12"/>
        <v>1</v>
      </c>
    </row>
    <row r="609" spans="1:9" x14ac:dyDescent="0.3">
      <c r="A609">
        <f>Sheet1!A609</f>
        <v>1608</v>
      </c>
      <c r="B609" t="str">
        <f>Sheet1!B609</f>
        <v>2025-06-25</v>
      </c>
      <c r="C609" t="str">
        <f>TEXT(Sheet1!B609,"YYYY-MM")</f>
        <v>2025-06</v>
      </c>
      <c r="D609" t="str">
        <f>Sheet1!D609</f>
        <v>Bangalore</v>
      </c>
      <c r="E609" t="str">
        <f>Sheet1!F609</f>
        <v>Electronics</v>
      </c>
      <c r="F609" t="str">
        <f>Sheet1!H609</f>
        <v>Sneha</v>
      </c>
      <c r="G609">
        <f>Sheet1!K609</f>
        <v>39287.699999999997</v>
      </c>
      <c r="H609">
        <f>Sheet1!N609</f>
        <v>11459.56</v>
      </c>
      <c r="I609">
        <f t="shared" si="12"/>
        <v>1</v>
      </c>
    </row>
    <row r="610" spans="1:9" x14ac:dyDescent="0.3">
      <c r="A610">
        <f>Sheet1!A610</f>
        <v>1609</v>
      </c>
      <c r="B610" t="str">
        <f>Sheet1!B610</f>
        <v>2025-06-25</v>
      </c>
      <c r="C610" t="str">
        <f>TEXT(Sheet1!B610,"YYYY-MM")</f>
        <v>2025-06</v>
      </c>
      <c r="D610" t="str">
        <f>Sheet1!D610</f>
        <v>Bangalore</v>
      </c>
      <c r="E610" t="str">
        <f>Sheet1!F610</f>
        <v>Electronics</v>
      </c>
      <c r="F610" t="str">
        <f>Sheet1!H610</f>
        <v>Sneha</v>
      </c>
      <c r="G610">
        <f>Sheet1!K610</f>
        <v>90749.7</v>
      </c>
      <c r="H610">
        <f>Sheet1!N610</f>
        <v>26548.94</v>
      </c>
      <c r="I610">
        <f t="shared" si="12"/>
        <v>1</v>
      </c>
    </row>
    <row r="611" spans="1:9" x14ac:dyDescent="0.3">
      <c r="A611">
        <f>Sheet1!A611</f>
        <v>1610</v>
      </c>
      <c r="B611" t="str">
        <f>Sheet1!B611</f>
        <v>2025-06-25</v>
      </c>
      <c r="C611" t="str">
        <f>TEXT(Sheet1!B611,"YYYY-MM")</f>
        <v>2025-06</v>
      </c>
      <c r="D611" t="str">
        <f>Sheet1!D611</f>
        <v>Delhi</v>
      </c>
      <c r="E611" t="str">
        <f>Sheet1!F611</f>
        <v>Electronics</v>
      </c>
      <c r="F611" t="str">
        <f>Sheet1!H611</f>
        <v>Sneha</v>
      </c>
      <c r="G611">
        <f>Sheet1!K611</f>
        <v>30340.15</v>
      </c>
      <c r="H611">
        <f>Sheet1!N611</f>
        <v>5447.17</v>
      </c>
      <c r="I611">
        <f t="shared" si="12"/>
        <v>1</v>
      </c>
    </row>
    <row r="612" spans="1:9" x14ac:dyDescent="0.3">
      <c r="A612">
        <f>Sheet1!A612</f>
        <v>1611</v>
      </c>
      <c r="B612" t="str">
        <f>Sheet1!B612</f>
        <v>2025-06-26</v>
      </c>
      <c r="C612" t="str">
        <f>TEXT(Sheet1!B612,"YYYY-MM")</f>
        <v>2025-06</v>
      </c>
      <c r="D612" t="str">
        <f>Sheet1!D612</f>
        <v>Hyderabad</v>
      </c>
      <c r="E612" t="str">
        <f>Sheet1!F612</f>
        <v>Electronics</v>
      </c>
      <c r="F612" t="str">
        <f>Sheet1!H612</f>
        <v>Pooja</v>
      </c>
      <c r="G612">
        <f>Sheet1!K612</f>
        <v>96785.25</v>
      </c>
      <c r="H612">
        <f>Sheet1!N612</f>
        <v>13457.17</v>
      </c>
      <c r="I612">
        <f t="shared" si="12"/>
        <v>1</v>
      </c>
    </row>
    <row r="613" spans="1:9" x14ac:dyDescent="0.3">
      <c r="A613">
        <f>Sheet1!A613</f>
        <v>1612</v>
      </c>
      <c r="B613" t="str">
        <f>Sheet1!B613</f>
        <v>2025-06-26</v>
      </c>
      <c r="C613" t="str">
        <f>TEXT(Sheet1!B613,"YYYY-MM")</f>
        <v>2025-06</v>
      </c>
      <c r="D613" t="str">
        <f>Sheet1!D613</f>
        <v>Pune</v>
      </c>
      <c r="E613" t="str">
        <f>Sheet1!F613</f>
        <v>Furniture</v>
      </c>
      <c r="F613" t="str">
        <f>Sheet1!H613</f>
        <v>Ajay</v>
      </c>
      <c r="G613">
        <f>Sheet1!K613</f>
        <v>156826</v>
      </c>
      <c r="H613">
        <f>Sheet1!N613</f>
        <v>46318.64</v>
      </c>
      <c r="I613">
        <f t="shared" si="12"/>
        <v>1</v>
      </c>
    </row>
    <row r="614" spans="1:9" x14ac:dyDescent="0.3">
      <c r="A614">
        <f>Sheet1!A614</f>
        <v>1613</v>
      </c>
      <c r="B614" t="str">
        <f>Sheet1!B614</f>
        <v>2025-06-26</v>
      </c>
      <c r="C614" t="str">
        <f>TEXT(Sheet1!B614,"YYYY-MM")</f>
        <v>2025-06</v>
      </c>
      <c r="D614" t="str">
        <f>Sheet1!D614</f>
        <v>Bangalore</v>
      </c>
      <c r="E614" t="str">
        <f>Sheet1!F614</f>
        <v>Electronics</v>
      </c>
      <c r="F614" t="str">
        <f>Sheet1!H614</f>
        <v>Rahul</v>
      </c>
      <c r="G614">
        <f>Sheet1!K614</f>
        <v>27288.9</v>
      </c>
      <c r="H614">
        <f>Sheet1!N614</f>
        <v>4592.1099999999997</v>
      </c>
      <c r="I614">
        <f t="shared" si="12"/>
        <v>1</v>
      </c>
    </row>
    <row r="615" spans="1:9" x14ac:dyDescent="0.3">
      <c r="A615">
        <f>Sheet1!A615</f>
        <v>1614</v>
      </c>
      <c r="B615" t="str">
        <f>Sheet1!B615</f>
        <v>2025-06-26</v>
      </c>
      <c r="C615" t="str">
        <f>TEXT(Sheet1!B615,"YYYY-MM")</f>
        <v>2025-06</v>
      </c>
      <c r="D615" t="str">
        <f>Sheet1!D615</f>
        <v>Delhi</v>
      </c>
      <c r="E615" t="str">
        <f>Sheet1!F615</f>
        <v>Electronics</v>
      </c>
      <c r="F615" t="str">
        <f>Sheet1!H615</f>
        <v>Rahul</v>
      </c>
      <c r="G615">
        <f>Sheet1!K615</f>
        <v>17769.75</v>
      </c>
      <c r="H615">
        <f>Sheet1!N615</f>
        <v>4660.37</v>
      </c>
      <c r="I615">
        <f t="shared" si="12"/>
        <v>1</v>
      </c>
    </row>
    <row r="616" spans="1:9" x14ac:dyDescent="0.3">
      <c r="A616">
        <f>Sheet1!A616</f>
        <v>1615</v>
      </c>
      <c r="B616" t="str">
        <f>Sheet1!B616</f>
        <v>2025-06-27</v>
      </c>
      <c r="C616" t="str">
        <f>TEXT(Sheet1!B616,"YYYY-MM")</f>
        <v>2025-06</v>
      </c>
      <c r="D616" t="str">
        <f>Sheet1!D616</f>
        <v>Hyderabad</v>
      </c>
      <c r="E616" t="str">
        <f>Sheet1!F616</f>
        <v>Clothing</v>
      </c>
      <c r="F616" t="str">
        <f>Sheet1!H616</f>
        <v>Rahul</v>
      </c>
      <c r="G616">
        <f>Sheet1!K616</f>
        <v>61492</v>
      </c>
      <c r="H616">
        <f>Sheet1!N616</f>
        <v>8998.3700000000008</v>
      </c>
      <c r="I616">
        <f t="shared" si="12"/>
        <v>1</v>
      </c>
    </row>
    <row r="617" spans="1:9" x14ac:dyDescent="0.3">
      <c r="A617">
        <f>Sheet1!A617</f>
        <v>1616</v>
      </c>
      <c r="B617" t="str">
        <f>Sheet1!B617</f>
        <v>2025-06-27</v>
      </c>
      <c r="C617" t="str">
        <f>TEXT(Sheet1!B617,"YYYY-MM")</f>
        <v>2025-06</v>
      </c>
      <c r="D617" t="str">
        <f>Sheet1!D617</f>
        <v>Mumbai</v>
      </c>
      <c r="E617" t="str">
        <f>Sheet1!F617</f>
        <v>Furniture</v>
      </c>
      <c r="F617" t="str">
        <f>Sheet1!H617</f>
        <v>Ajay</v>
      </c>
      <c r="G617">
        <f>Sheet1!K617</f>
        <v>25844.75</v>
      </c>
      <c r="H617">
        <f>Sheet1!N617</f>
        <v>3323.47</v>
      </c>
      <c r="I617">
        <f t="shared" si="12"/>
        <v>1</v>
      </c>
    </row>
    <row r="618" spans="1:9" x14ac:dyDescent="0.3">
      <c r="A618">
        <f>Sheet1!A618</f>
        <v>1617</v>
      </c>
      <c r="B618" t="str">
        <f>Sheet1!B618</f>
        <v>2025-06-27</v>
      </c>
      <c r="C618" t="str">
        <f>TEXT(Sheet1!B618,"YYYY-MM")</f>
        <v>2025-06</v>
      </c>
      <c r="D618" t="str">
        <f>Sheet1!D618</f>
        <v>Delhi</v>
      </c>
      <c r="E618" t="str">
        <f>Sheet1!F618</f>
        <v>Furniture</v>
      </c>
      <c r="F618" t="str">
        <f>Sheet1!H618</f>
        <v>Pooja</v>
      </c>
      <c r="G618">
        <f>Sheet1!K618</f>
        <v>14831.4</v>
      </c>
      <c r="H618">
        <f>Sheet1!N618</f>
        <v>4261.83</v>
      </c>
      <c r="I618">
        <f t="shared" si="12"/>
        <v>1</v>
      </c>
    </row>
    <row r="619" spans="1:9" x14ac:dyDescent="0.3">
      <c r="A619">
        <f>Sheet1!A619</f>
        <v>1618</v>
      </c>
      <c r="B619" t="str">
        <f>Sheet1!B619</f>
        <v>2025-06-28</v>
      </c>
      <c r="C619" t="str">
        <f>TEXT(Sheet1!B619,"YYYY-MM")</f>
        <v>2025-06</v>
      </c>
      <c r="D619" t="str">
        <f>Sheet1!D619</f>
        <v>Pune</v>
      </c>
      <c r="E619" t="str">
        <f>Sheet1!F619</f>
        <v>Furniture</v>
      </c>
      <c r="F619" t="str">
        <f>Sheet1!H619</f>
        <v>Ajay</v>
      </c>
      <c r="G619">
        <f>Sheet1!K619</f>
        <v>17964.5</v>
      </c>
      <c r="H619">
        <f>Sheet1!N619</f>
        <v>4842.13</v>
      </c>
      <c r="I619">
        <f t="shared" si="12"/>
        <v>1</v>
      </c>
    </row>
    <row r="620" spans="1:9" x14ac:dyDescent="0.3">
      <c r="A620">
        <f>Sheet1!A620</f>
        <v>1619</v>
      </c>
      <c r="B620" t="str">
        <f>Sheet1!B620</f>
        <v>2025-06-28</v>
      </c>
      <c r="C620" t="str">
        <f>TEXT(Sheet1!B620,"YYYY-MM")</f>
        <v>2025-06</v>
      </c>
      <c r="D620" t="str">
        <f>Sheet1!D620</f>
        <v>Hyderabad</v>
      </c>
      <c r="E620" t="str">
        <f>Sheet1!F620</f>
        <v>Furniture</v>
      </c>
      <c r="F620" t="str">
        <f>Sheet1!H620</f>
        <v>Ajay</v>
      </c>
      <c r="G620">
        <f>Sheet1!K620</f>
        <v>23598</v>
      </c>
      <c r="H620">
        <f>Sheet1!N620</f>
        <v>5917.61</v>
      </c>
      <c r="I620">
        <f t="shared" si="12"/>
        <v>1</v>
      </c>
    </row>
    <row r="621" spans="1:9" x14ac:dyDescent="0.3">
      <c r="A621">
        <f>Sheet1!A621</f>
        <v>1620</v>
      </c>
      <c r="B621" t="str">
        <f>Sheet1!B621</f>
        <v>2025-06-28</v>
      </c>
      <c r="C621" t="str">
        <f>TEXT(Sheet1!B621,"YYYY-MM")</f>
        <v>2025-06</v>
      </c>
      <c r="D621" t="str">
        <f>Sheet1!D621</f>
        <v>Pune</v>
      </c>
      <c r="E621" t="str">
        <f>Sheet1!F621</f>
        <v>Furniture</v>
      </c>
      <c r="F621" t="str">
        <f>Sheet1!H621</f>
        <v>Ajay</v>
      </c>
      <c r="G621">
        <f>Sheet1!K621</f>
        <v>10989</v>
      </c>
      <c r="H621">
        <f>Sheet1!N621</f>
        <v>2527.73</v>
      </c>
      <c r="I621">
        <f t="shared" si="12"/>
        <v>1</v>
      </c>
    </row>
    <row r="622" spans="1:9" x14ac:dyDescent="0.3">
      <c r="A622">
        <f>Sheet1!A622</f>
        <v>1621</v>
      </c>
      <c r="B622" t="str">
        <f>Sheet1!B622</f>
        <v>2025-06-29</v>
      </c>
      <c r="C622" t="str">
        <f>TEXT(Sheet1!B622,"YYYY-MM")</f>
        <v>2025-06</v>
      </c>
      <c r="D622" t="str">
        <f>Sheet1!D622</f>
        <v>Bangalore</v>
      </c>
      <c r="E622" t="str">
        <f>Sheet1!F622</f>
        <v>Electronics</v>
      </c>
      <c r="F622" t="str">
        <f>Sheet1!H622</f>
        <v>Ajay</v>
      </c>
      <c r="G622">
        <f>Sheet1!K622</f>
        <v>24826.799999999999</v>
      </c>
      <c r="H622">
        <f>Sheet1!N622</f>
        <v>4597.03</v>
      </c>
      <c r="I622">
        <f t="shared" si="12"/>
        <v>1</v>
      </c>
    </row>
    <row r="623" spans="1:9" x14ac:dyDescent="0.3">
      <c r="A623">
        <f>Sheet1!A623</f>
        <v>1622</v>
      </c>
      <c r="B623" t="str">
        <f>Sheet1!B623</f>
        <v>2025-06-29</v>
      </c>
      <c r="C623" t="str">
        <f>TEXT(Sheet1!B623,"YYYY-MM")</f>
        <v>2025-06</v>
      </c>
      <c r="D623" t="str">
        <f>Sheet1!D623</f>
        <v>Mumbai</v>
      </c>
      <c r="E623" t="str">
        <f>Sheet1!F623</f>
        <v>Electronics</v>
      </c>
      <c r="F623" t="str">
        <f>Sheet1!H623</f>
        <v>Sneha</v>
      </c>
      <c r="G623">
        <f>Sheet1!K623</f>
        <v>12310.2</v>
      </c>
      <c r="H623">
        <f>Sheet1!N623</f>
        <v>2854.4</v>
      </c>
      <c r="I623">
        <f t="shared" si="12"/>
        <v>1</v>
      </c>
    </row>
    <row r="624" spans="1:9" x14ac:dyDescent="0.3">
      <c r="A624">
        <f>Sheet1!A624</f>
        <v>1623</v>
      </c>
      <c r="B624" t="str">
        <f>Sheet1!B624</f>
        <v>2025-06-29</v>
      </c>
      <c r="C624" t="str">
        <f>TEXT(Sheet1!B624,"YYYY-MM")</f>
        <v>2025-06</v>
      </c>
      <c r="D624" t="str">
        <f>Sheet1!D624</f>
        <v>Hyderabad</v>
      </c>
      <c r="E624" t="str">
        <f>Sheet1!F624</f>
        <v>Furniture</v>
      </c>
      <c r="F624" t="str">
        <f>Sheet1!H624</f>
        <v>Ajay</v>
      </c>
      <c r="G624">
        <f>Sheet1!K624</f>
        <v>74194</v>
      </c>
      <c r="H624">
        <f>Sheet1!N624</f>
        <v>19107.189999999999</v>
      </c>
      <c r="I624">
        <f t="shared" si="12"/>
        <v>1</v>
      </c>
    </row>
    <row r="625" spans="1:9" x14ac:dyDescent="0.3">
      <c r="A625">
        <f>Sheet1!A625</f>
        <v>1624</v>
      </c>
      <c r="B625" t="str">
        <f>Sheet1!B625</f>
        <v>2025-06-29</v>
      </c>
      <c r="C625" t="str">
        <f>TEXT(Sheet1!B625,"YYYY-MM")</f>
        <v>2025-06</v>
      </c>
      <c r="D625" t="str">
        <f>Sheet1!D625</f>
        <v>Mumbai</v>
      </c>
      <c r="E625" t="str">
        <f>Sheet1!F625</f>
        <v>Furniture</v>
      </c>
      <c r="F625" t="str">
        <f>Sheet1!H625</f>
        <v>Rahul</v>
      </c>
      <c r="G625">
        <f>Sheet1!K625</f>
        <v>43260.75</v>
      </c>
      <c r="H625">
        <f>Sheet1!N625</f>
        <v>11770.27</v>
      </c>
      <c r="I625">
        <f t="shared" si="12"/>
        <v>1</v>
      </c>
    </row>
    <row r="626" spans="1:9" x14ac:dyDescent="0.3">
      <c r="A626">
        <f>Sheet1!A626</f>
        <v>1625</v>
      </c>
      <c r="B626" t="str">
        <f>Sheet1!B626</f>
        <v>2025-06-30</v>
      </c>
      <c r="C626" t="str">
        <f>TEXT(Sheet1!B626,"YYYY-MM")</f>
        <v>2025-06</v>
      </c>
      <c r="D626" t="str">
        <f>Sheet1!D626</f>
        <v>Pune</v>
      </c>
      <c r="E626" t="str">
        <f>Sheet1!F626</f>
        <v>Clothing</v>
      </c>
      <c r="F626" t="str">
        <f>Sheet1!H626</f>
        <v>Rahul</v>
      </c>
      <c r="G626">
        <f>Sheet1!K626</f>
        <v>57002.7</v>
      </c>
      <c r="H626">
        <f>Sheet1!N626</f>
        <v>16382.17</v>
      </c>
      <c r="I626">
        <f t="shared" si="12"/>
        <v>1</v>
      </c>
    </row>
    <row r="627" spans="1:9" x14ac:dyDescent="0.3">
      <c r="A627">
        <f>Sheet1!A627</f>
        <v>1626</v>
      </c>
      <c r="B627" t="str">
        <f>Sheet1!B627</f>
        <v>2025-06-30</v>
      </c>
      <c r="C627" t="str">
        <f>TEXT(Sheet1!B627,"YYYY-MM")</f>
        <v>2025-06</v>
      </c>
      <c r="D627" t="str">
        <f>Sheet1!D627</f>
        <v>Bangalore</v>
      </c>
      <c r="E627" t="str">
        <f>Sheet1!F627</f>
        <v>Clothing</v>
      </c>
      <c r="F627" t="str">
        <f>Sheet1!H627</f>
        <v>Rahul</v>
      </c>
      <c r="G627">
        <f>Sheet1!K627</f>
        <v>2034</v>
      </c>
      <c r="H627">
        <f>Sheet1!N627</f>
        <v>573.71</v>
      </c>
      <c r="I627">
        <f t="shared" si="12"/>
        <v>1</v>
      </c>
    </row>
    <row r="628" spans="1:9" x14ac:dyDescent="0.3">
      <c r="A628">
        <f>Sheet1!A628</f>
        <v>1627</v>
      </c>
      <c r="B628" t="str">
        <f>Sheet1!B628</f>
        <v>2025-07-01</v>
      </c>
      <c r="C628" t="str">
        <f>TEXT(Sheet1!B628,"YYYY-MM")</f>
        <v>2025-07</v>
      </c>
      <c r="D628" t="str">
        <f>Sheet1!D628</f>
        <v>Pune</v>
      </c>
      <c r="E628" t="str">
        <f>Sheet1!F628</f>
        <v>Furniture</v>
      </c>
      <c r="F628" t="str">
        <f>Sheet1!H628</f>
        <v>Ajay</v>
      </c>
      <c r="G628">
        <f>Sheet1!K628</f>
        <v>159694.6</v>
      </c>
      <c r="H628">
        <f>Sheet1!N628</f>
        <v>41466.74</v>
      </c>
      <c r="I628">
        <f t="shared" si="12"/>
        <v>1</v>
      </c>
    </row>
    <row r="629" spans="1:9" x14ac:dyDescent="0.3">
      <c r="A629">
        <f>Sheet1!A629</f>
        <v>1628</v>
      </c>
      <c r="B629" t="str">
        <f>Sheet1!B629</f>
        <v>2025-07-01</v>
      </c>
      <c r="C629" t="str">
        <f>TEXT(Sheet1!B629,"YYYY-MM")</f>
        <v>2025-07</v>
      </c>
      <c r="D629" t="str">
        <f>Sheet1!D629</f>
        <v>Pune</v>
      </c>
      <c r="E629" t="str">
        <f>Sheet1!F629</f>
        <v>Furniture</v>
      </c>
      <c r="F629" t="str">
        <f>Sheet1!H629</f>
        <v>Ajay</v>
      </c>
      <c r="G629">
        <f>Sheet1!K629</f>
        <v>43839</v>
      </c>
      <c r="H629">
        <f>Sheet1!N629</f>
        <v>6816.05</v>
      </c>
      <c r="I629">
        <f t="shared" si="12"/>
        <v>1</v>
      </c>
    </row>
    <row r="630" spans="1:9" x14ac:dyDescent="0.3">
      <c r="A630">
        <f>Sheet1!A630</f>
        <v>1629</v>
      </c>
      <c r="B630" t="str">
        <f>Sheet1!B630</f>
        <v>2025-07-01</v>
      </c>
      <c r="C630" t="str">
        <f>TEXT(Sheet1!B630,"YYYY-MM")</f>
        <v>2025-07</v>
      </c>
      <c r="D630" t="str">
        <f>Sheet1!D630</f>
        <v>Hyderabad</v>
      </c>
      <c r="E630" t="str">
        <f>Sheet1!F630</f>
        <v>Electronics</v>
      </c>
      <c r="F630" t="str">
        <f>Sheet1!H630</f>
        <v>Sneha</v>
      </c>
      <c r="G630">
        <f>Sheet1!K630</f>
        <v>68777.100000000006</v>
      </c>
      <c r="H630">
        <f>Sheet1!N630</f>
        <v>17315.22</v>
      </c>
      <c r="I630">
        <f t="shared" si="12"/>
        <v>1</v>
      </c>
    </row>
    <row r="631" spans="1:9" x14ac:dyDescent="0.3">
      <c r="A631">
        <f>Sheet1!A631</f>
        <v>1630</v>
      </c>
      <c r="B631" t="str">
        <f>Sheet1!B631</f>
        <v>2025-07-01</v>
      </c>
      <c r="C631" t="str">
        <f>TEXT(Sheet1!B631,"YYYY-MM")</f>
        <v>2025-07</v>
      </c>
      <c r="D631" t="str">
        <f>Sheet1!D631</f>
        <v>Hyderabad</v>
      </c>
      <c r="E631" t="str">
        <f>Sheet1!F631</f>
        <v>Electronics</v>
      </c>
      <c r="F631" t="str">
        <f>Sheet1!H631</f>
        <v>Ajay</v>
      </c>
      <c r="G631">
        <f>Sheet1!K631</f>
        <v>7028.1</v>
      </c>
      <c r="H631">
        <f>Sheet1!N631</f>
        <v>795.27</v>
      </c>
      <c r="I631">
        <f t="shared" si="12"/>
        <v>1</v>
      </c>
    </row>
    <row r="632" spans="1:9" x14ac:dyDescent="0.3">
      <c r="A632">
        <f>Sheet1!A632</f>
        <v>1631</v>
      </c>
      <c r="B632" t="str">
        <f>Sheet1!B632</f>
        <v>2025-07-01</v>
      </c>
      <c r="C632" t="str">
        <f>TEXT(Sheet1!B632,"YYYY-MM")</f>
        <v>2025-07</v>
      </c>
      <c r="D632" t="str">
        <f>Sheet1!D632</f>
        <v>Bangalore</v>
      </c>
      <c r="E632" t="str">
        <f>Sheet1!F632</f>
        <v>Clothing</v>
      </c>
      <c r="F632" t="str">
        <f>Sheet1!H632</f>
        <v>Rahul</v>
      </c>
      <c r="G632">
        <f>Sheet1!K632</f>
        <v>45867.9</v>
      </c>
      <c r="H632">
        <f>Sheet1!N632</f>
        <v>7442.87</v>
      </c>
      <c r="I632">
        <f t="shared" si="12"/>
        <v>1</v>
      </c>
    </row>
    <row r="633" spans="1:9" x14ac:dyDescent="0.3">
      <c r="A633">
        <f>Sheet1!A633</f>
        <v>1632</v>
      </c>
      <c r="B633" t="str">
        <f>Sheet1!B633</f>
        <v>2025-07-02</v>
      </c>
      <c r="C633" t="str">
        <f>TEXT(Sheet1!B633,"YYYY-MM")</f>
        <v>2025-07</v>
      </c>
      <c r="D633" t="str">
        <f>Sheet1!D633</f>
        <v>Pune</v>
      </c>
      <c r="E633" t="str">
        <f>Sheet1!F633</f>
        <v>Furniture</v>
      </c>
      <c r="F633" t="str">
        <f>Sheet1!H633</f>
        <v>Ajay</v>
      </c>
      <c r="G633">
        <f>Sheet1!K633</f>
        <v>4240.6499999999996</v>
      </c>
      <c r="H633">
        <f>Sheet1!N633</f>
        <v>559.35</v>
      </c>
      <c r="I633">
        <f t="shared" si="12"/>
        <v>1</v>
      </c>
    </row>
    <row r="634" spans="1:9" x14ac:dyDescent="0.3">
      <c r="A634">
        <f>Sheet1!A634</f>
        <v>1633</v>
      </c>
      <c r="B634" t="str">
        <f>Sheet1!B634</f>
        <v>2025-07-02</v>
      </c>
      <c r="C634" t="str">
        <f>TEXT(Sheet1!B634,"YYYY-MM")</f>
        <v>2025-07</v>
      </c>
      <c r="D634" t="str">
        <f>Sheet1!D634</f>
        <v>Bangalore</v>
      </c>
      <c r="E634" t="str">
        <f>Sheet1!F634</f>
        <v>Furniture</v>
      </c>
      <c r="F634" t="str">
        <f>Sheet1!H634</f>
        <v>Ajay</v>
      </c>
      <c r="G634">
        <f>Sheet1!K634</f>
        <v>112030</v>
      </c>
      <c r="H634">
        <f>Sheet1!N634</f>
        <v>26695.89</v>
      </c>
      <c r="I634">
        <f t="shared" si="12"/>
        <v>1</v>
      </c>
    </row>
    <row r="635" spans="1:9" x14ac:dyDescent="0.3">
      <c r="A635">
        <f>Sheet1!A635</f>
        <v>1634</v>
      </c>
      <c r="B635" t="str">
        <f>Sheet1!B635</f>
        <v>2025-07-02</v>
      </c>
      <c r="C635" t="str">
        <f>TEXT(Sheet1!B635,"YYYY-MM")</f>
        <v>2025-07</v>
      </c>
      <c r="D635" t="str">
        <f>Sheet1!D635</f>
        <v>Hyderabad</v>
      </c>
      <c r="E635" t="str">
        <f>Sheet1!F635</f>
        <v>Furniture</v>
      </c>
      <c r="F635" t="str">
        <f>Sheet1!H635</f>
        <v>Rahul</v>
      </c>
      <c r="G635">
        <f>Sheet1!K635</f>
        <v>68595</v>
      </c>
      <c r="H635">
        <f>Sheet1!N635</f>
        <v>14844.72</v>
      </c>
      <c r="I635">
        <f t="shared" si="12"/>
        <v>1</v>
      </c>
    </row>
    <row r="636" spans="1:9" x14ac:dyDescent="0.3">
      <c r="A636">
        <f>Sheet1!A636</f>
        <v>1635</v>
      </c>
      <c r="B636" t="str">
        <f>Sheet1!B636</f>
        <v>2025-07-02</v>
      </c>
      <c r="C636" t="str">
        <f>TEXT(Sheet1!B636,"YYYY-MM")</f>
        <v>2025-07</v>
      </c>
      <c r="D636" t="str">
        <f>Sheet1!D636</f>
        <v>Bangalore</v>
      </c>
      <c r="E636" t="str">
        <f>Sheet1!F636</f>
        <v>Clothing</v>
      </c>
      <c r="F636" t="str">
        <f>Sheet1!H636</f>
        <v>Rahul</v>
      </c>
      <c r="G636">
        <f>Sheet1!K636</f>
        <v>33972</v>
      </c>
      <c r="H636">
        <f>Sheet1!N636</f>
        <v>3807.54</v>
      </c>
      <c r="I636">
        <f t="shared" si="12"/>
        <v>1</v>
      </c>
    </row>
    <row r="637" spans="1:9" x14ac:dyDescent="0.3">
      <c r="A637">
        <f>Sheet1!A637</f>
        <v>1636</v>
      </c>
      <c r="B637" t="str">
        <f>Sheet1!B637</f>
        <v>2025-07-02</v>
      </c>
      <c r="C637" t="str">
        <f>TEXT(Sheet1!B637,"YYYY-MM")</f>
        <v>2025-07</v>
      </c>
      <c r="D637" t="str">
        <f>Sheet1!D637</f>
        <v>Hyderabad</v>
      </c>
      <c r="E637" t="str">
        <f>Sheet1!F637</f>
        <v>Clothing</v>
      </c>
      <c r="F637" t="str">
        <f>Sheet1!H637</f>
        <v>Pooja</v>
      </c>
      <c r="G637">
        <f>Sheet1!K637</f>
        <v>118681.2</v>
      </c>
      <c r="H637">
        <f>Sheet1!N637</f>
        <v>34662.949999999997</v>
      </c>
      <c r="I637">
        <f t="shared" si="12"/>
        <v>1</v>
      </c>
    </row>
    <row r="638" spans="1:9" x14ac:dyDescent="0.3">
      <c r="A638">
        <f>Sheet1!A638</f>
        <v>1637</v>
      </c>
      <c r="B638" t="str">
        <f>Sheet1!B638</f>
        <v>2025-07-03</v>
      </c>
      <c r="C638" t="str">
        <f>TEXT(Sheet1!B638,"YYYY-MM")</f>
        <v>2025-07</v>
      </c>
      <c r="D638" t="str">
        <f>Sheet1!D638</f>
        <v>Hyderabad</v>
      </c>
      <c r="E638" t="str">
        <f>Sheet1!F638</f>
        <v>Clothing</v>
      </c>
      <c r="F638" t="str">
        <f>Sheet1!H638</f>
        <v>Pooja</v>
      </c>
      <c r="G638">
        <f>Sheet1!K638</f>
        <v>25093.3</v>
      </c>
      <c r="H638">
        <f>Sheet1!N638</f>
        <v>7272.97</v>
      </c>
      <c r="I638">
        <f t="shared" si="12"/>
        <v>1</v>
      </c>
    </row>
    <row r="639" spans="1:9" x14ac:dyDescent="0.3">
      <c r="A639">
        <f>Sheet1!A639</f>
        <v>1638</v>
      </c>
      <c r="B639" t="str">
        <f>Sheet1!B639</f>
        <v>2025-07-03</v>
      </c>
      <c r="C639" t="str">
        <f>TEXT(Sheet1!B639,"YYYY-MM")</f>
        <v>2025-07</v>
      </c>
      <c r="D639" t="str">
        <f>Sheet1!D639</f>
        <v>Bangalore</v>
      </c>
      <c r="E639" t="str">
        <f>Sheet1!F639</f>
        <v>Clothing</v>
      </c>
      <c r="F639" t="str">
        <f>Sheet1!H639</f>
        <v>Ajay</v>
      </c>
      <c r="G639">
        <f>Sheet1!K639</f>
        <v>20566</v>
      </c>
      <c r="H639">
        <f>Sheet1!N639</f>
        <v>2298.61</v>
      </c>
      <c r="I639">
        <f t="shared" si="12"/>
        <v>1</v>
      </c>
    </row>
    <row r="640" spans="1:9" x14ac:dyDescent="0.3">
      <c r="A640">
        <f>Sheet1!A640</f>
        <v>1639</v>
      </c>
      <c r="B640" t="str">
        <f>Sheet1!B640</f>
        <v>2025-07-03</v>
      </c>
      <c r="C640" t="str">
        <f>TEXT(Sheet1!B640,"YYYY-MM")</f>
        <v>2025-07</v>
      </c>
      <c r="D640" t="str">
        <f>Sheet1!D640</f>
        <v>Mumbai</v>
      </c>
      <c r="E640" t="str">
        <f>Sheet1!F640</f>
        <v>Clothing</v>
      </c>
      <c r="F640" t="str">
        <f>Sheet1!H640</f>
        <v>Ajay</v>
      </c>
      <c r="G640">
        <f>Sheet1!K640</f>
        <v>12074.4</v>
      </c>
      <c r="H640">
        <f>Sheet1!N640</f>
        <v>1488.04</v>
      </c>
      <c r="I640">
        <f t="shared" si="12"/>
        <v>1</v>
      </c>
    </row>
    <row r="641" spans="1:9" x14ac:dyDescent="0.3">
      <c r="A641">
        <f>Sheet1!A641</f>
        <v>1640</v>
      </c>
      <c r="B641" t="str">
        <f>Sheet1!B641</f>
        <v>2025-07-03</v>
      </c>
      <c r="C641" t="str">
        <f>TEXT(Sheet1!B641,"YYYY-MM")</f>
        <v>2025-07</v>
      </c>
      <c r="D641" t="str">
        <f>Sheet1!D641</f>
        <v>Pune</v>
      </c>
      <c r="E641" t="str">
        <f>Sheet1!F641</f>
        <v>Furniture</v>
      </c>
      <c r="F641" t="str">
        <f>Sheet1!H641</f>
        <v>Ajay</v>
      </c>
      <c r="G641">
        <f>Sheet1!K641</f>
        <v>25081.200000000001</v>
      </c>
      <c r="H641">
        <f>Sheet1!N641</f>
        <v>3894.73</v>
      </c>
      <c r="I641">
        <f t="shared" si="12"/>
        <v>1</v>
      </c>
    </row>
    <row r="642" spans="1:9" x14ac:dyDescent="0.3">
      <c r="A642">
        <f>Sheet1!A642</f>
        <v>1641</v>
      </c>
      <c r="B642" t="str">
        <f>Sheet1!B642</f>
        <v>2025-07-03</v>
      </c>
      <c r="C642" t="str">
        <f>TEXT(Sheet1!B642,"YYYY-MM")</f>
        <v>2025-07</v>
      </c>
      <c r="D642" t="str">
        <f>Sheet1!D642</f>
        <v>Bangalore</v>
      </c>
      <c r="E642" t="str">
        <f>Sheet1!F642</f>
        <v>Furniture</v>
      </c>
      <c r="F642" t="str">
        <f>Sheet1!H642</f>
        <v>Sneha</v>
      </c>
      <c r="G642">
        <f>Sheet1!K642</f>
        <v>5754</v>
      </c>
      <c r="H642">
        <f>Sheet1!N642</f>
        <v>929.01</v>
      </c>
      <c r="I642">
        <f t="shared" ref="I642:I705" si="13">IF(AND(OR(FilterCity="All",D642=FilterCity),OR(FilterCategory="All",E642=FilterCategory),OR(FilterRep="All",F642=FilterRep),C642&gt;=FilterMonthFrom,C642&lt;=FilterMonthTo),1,0)</f>
        <v>1</v>
      </c>
    </row>
    <row r="643" spans="1:9" x14ac:dyDescent="0.3">
      <c r="A643">
        <f>Sheet1!A643</f>
        <v>1642</v>
      </c>
      <c r="B643" t="str">
        <f>Sheet1!B643</f>
        <v>2025-07-04</v>
      </c>
      <c r="C643" t="str">
        <f>TEXT(Sheet1!B643,"YYYY-MM")</f>
        <v>2025-07</v>
      </c>
      <c r="D643" t="str">
        <f>Sheet1!D643</f>
        <v>Hyderabad</v>
      </c>
      <c r="E643" t="str">
        <f>Sheet1!F643</f>
        <v>Electronics</v>
      </c>
      <c r="F643" t="str">
        <f>Sheet1!H643</f>
        <v>Rahul</v>
      </c>
      <c r="G643">
        <f>Sheet1!K643</f>
        <v>40666.5</v>
      </c>
      <c r="H643">
        <f>Sheet1!N643</f>
        <v>12189.55</v>
      </c>
      <c r="I643">
        <f t="shared" si="13"/>
        <v>1</v>
      </c>
    </row>
    <row r="644" spans="1:9" x14ac:dyDescent="0.3">
      <c r="A644">
        <f>Sheet1!A644</f>
        <v>1643</v>
      </c>
      <c r="B644" t="str">
        <f>Sheet1!B644</f>
        <v>2025-07-04</v>
      </c>
      <c r="C644" t="str">
        <f>TEXT(Sheet1!B644,"YYYY-MM")</f>
        <v>2025-07</v>
      </c>
      <c r="D644" t="str">
        <f>Sheet1!D644</f>
        <v>Pune</v>
      </c>
      <c r="E644" t="str">
        <f>Sheet1!F644</f>
        <v>Electronics</v>
      </c>
      <c r="F644" t="str">
        <f>Sheet1!H644</f>
        <v>Sneha</v>
      </c>
      <c r="G644">
        <f>Sheet1!K644</f>
        <v>114555.6</v>
      </c>
      <c r="H644">
        <f>Sheet1!N644</f>
        <v>22601.14</v>
      </c>
      <c r="I644">
        <f t="shared" si="13"/>
        <v>1</v>
      </c>
    </row>
    <row r="645" spans="1:9" x14ac:dyDescent="0.3">
      <c r="A645">
        <f>Sheet1!A645</f>
        <v>1644</v>
      </c>
      <c r="B645" t="str">
        <f>Sheet1!B645</f>
        <v>2025-07-04</v>
      </c>
      <c r="C645" t="str">
        <f>TEXT(Sheet1!B645,"YYYY-MM")</f>
        <v>2025-07</v>
      </c>
      <c r="D645" t="str">
        <f>Sheet1!D645</f>
        <v>Hyderabad</v>
      </c>
      <c r="E645" t="str">
        <f>Sheet1!F645</f>
        <v>Electronics</v>
      </c>
      <c r="F645" t="str">
        <f>Sheet1!H645</f>
        <v>Rahul</v>
      </c>
      <c r="G645">
        <f>Sheet1!K645</f>
        <v>224941.5</v>
      </c>
      <c r="H645">
        <f>Sheet1!N645</f>
        <v>54977.46</v>
      </c>
      <c r="I645">
        <f t="shared" si="13"/>
        <v>1</v>
      </c>
    </row>
    <row r="646" spans="1:9" x14ac:dyDescent="0.3">
      <c r="A646">
        <f>Sheet1!A646</f>
        <v>1645</v>
      </c>
      <c r="B646" t="str">
        <f>Sheet1!B646</f>
        <v>2025-07-04</v>
      </c>
      <c r="C646" t="str">
        <f>TEXT(Sheet1!B646,"YYYY-MM")</f>
        <v>2025-07</v>
      </c>
      <c r="D646" t="str">
        <f>Sheet1!D646</f>
        <v>Mumbai</v>
      </c>
      <c r="E646" t="str">
        <f>Sheet1!F646</f>
        <v>Clothing</v>
      </c>
      <c r="F646" t="str">
        <f>Sheet1!H646</f>
        <v>Sneha</v>
      </c>
      <c r="G646">
        <f>Sheet1!K646</f>
        <v>136614.75</v>
      </c>
      <c r="H646">
        <f>Sheet1!N646</f>
        <v>33236.32</v>
      </c>
      <c r="I646">
        <f t="shared" si="13"/>
        <v>1</v>
      </c>
    </row>
    <row r="647" spans="1:9" x14ac:dyDescent="0.3">
      <c r="A647">
        <f>Sheet1!A647</f>
        <v>1646</v>
      </c>
      <c r="B647" t="str">
        <f>Sheet1!B647</f>
        <v>2025-07-05</v>
      </c>
      <c r="C647" t="str">
        <f>TEXT(Sheet1!B647,"YYYY-MM")</f>
        <v>2025-07</v>
      </c>
      <c r="D647" t="str">
        <f>Sheet1!D647</f>
        <v>Mumbai</v>
      </c>
      <c r="E647" t="str">
        <f>Sheet1!F647</f>
        <v>Furniture</v>
      </c>
      <c r="F647" t="str">
        <f>Sheet1!H647</f>
        <v>Rahul</v>
      </c>
      <c r="G647">
        <f>Sheet1!K647</f>
        <v>10707.45</v>
      </c>
      <c r="H647">
        <f>Sheet1!N647</f>
        <v>2546.89</v>
      </c>
      <c r="I647">
        <f t="shared" si="13"/>
        <v>1</v>
      </c>
    </row>
    <row r="648" spans="1:9" x14ac:dyDescent="0.3">
      <c r="A648">
        <f>Sheet1!A648</f>
        <v>1647</v>
      </c>
      <c r="B648" t="str">
        <f>Sheet1!B648</f>
        <v>2025-07-05</v>
      </c>
      <c r="C648" t="str">
        <f>TEXT(Sheet1!B648,"YYYY-MM")</f>
        <v>2025-07</v>
      </c>
      <c r="D648" t="str">
        <f>Sheet1!D648</f>
        <v>Delhi</v>
      </c>
      <c r="E648" t="str">
        <f>Sheet1!F648</f>
        <v>Electronics</v>
      </c>
      <c r="F648" t="str">
        <f>Sheet1!H648</f>
        <v>Rahul</v>
      </c>
      <c r="G648">
        <f>Sheet1!K648</f>
        <v>107234.1</v>
      </c>
      <c r="H648">
        <f>Sheet1!N648</f>
        <v>28369.11</v>
      </c>
      <c r="I648">
        <f t="shared" si="13"/>
        <v>1</v>
      </c>
    </row>
    <row r="649" spans="1:9" x14ac:dyDescent="0.3">
      <c r="A649">
        <f>Sheet1!A649</f>
        <v>1648</v>
      </c>
      <c r="B649" t="str">
        <f>Sheet1!B649</f>
        <v>2025-07-05</v>
      </c>
      <c r="C649" t="str">
        <f>TEXT(Sheet1!B649,"YYYY-MM")</f>
        <v>2025-07</v>
      </c>
      <c r="D649" t="str">
        <f>Sheet1!D649</f>
        <v>Hyderabad</v>
      </c>
      <c r="E649" t="str">
        <f>Sheet1!F649</f>
        <v>Furniture</v>
      </c>
      <c r="F649" t="str">
        <f>Sheet1!H649</f>
        <v>Rahul</v>
      </c>
      <c r="G649">
        <f>Sheet1!K649</f>
        <v>16491.599999999999</v>
      </c>
      <c r="H649">
        <f>Sheet1!N649</f>
        <v>4689.91</v>
      </c>
      <c r="I649">
        <f t="shared" si="13"/>
        <v>1</v>
      </c>
    </row>
    <row r="650" spans="1:9" x14ac:dyDescent="0.3">
      <c r="A650">
        <f>Sheet1!A650</f>
        <v>1649</v>
      </c>
      <c r="B650" t="str">
        <f>Sheet1!B650</f>
        <v>2025-07-05</v>
      </c>
      <c r="C650" t="str">
        <f>TEXT(Sheet1!B650,"YYYY-MM")</f>
        <v>2025-07</v>
      </c>
      <c r="D650" t="str">
        <f>Sheet1!D650</f>
        <v>Delhi</v>
      </c>
      <c r="E650" t="str">
        <f>Sheet1!F650</f>
        <v>Electronics</v>
      </c>
      <c r="F650" t="str">
        <f>Sheet1!H650</f>
        <v>Ajay</v>
      </c>
      <c r="G650">
        <f>Sheet1!K650</f>
        <v>6583.25</v>
      </c>
      <c r="H650">
        <f>Sheet1!N650</f>
        <v>692.37</v>
      </c>
      <c r="I650">
        <f t="shared" si="13"/>
        <v>1</v>
      </c>
    </row>
    <row r="651" spans="1:9" x14ac:dyDescent="0.3">
      <c r="A651">
        <f>Sheet1!A651</f>
        <v>1650</v>
      </c>
      <c r="B651" t="str">
        <f>Sheet1!B651</f>
        <v>2025-07-06</v>
      </c>
      <c r="C651" t="str">
        <f>TEXT(Sheet1!B651,"YYYY-MM")</f>
        <v>2025-07</v>
      </c>
      <c r="D651" t="str">
        <f>Sheet1!D651</f>
        <v>Delhi</v>
      </c>
      <c r="E651" t="str">
        <f>Sheet1!F651</f>
        <v>Furniture</v>
      </c>
      <c r="F651" t="str">
        <f>Sheet1!H651</f>
        <v>Rahul</v>
      </c>
      <c r="G651">
        <f>Sheet1!K651</f>
        <v>26613.9</v>
      </c>
      <c r="H651">
        <f>Sheet1!N651</f>
        <v>3170.77</v>
      </c>
      <c r="I651">
        <f t="shared" si="13"/>
        <v>1</v>
      </c>
    </row>
    <row r="652" spans="1:9" x14ac:dyDescent="0.3">
      <c r="A652">
        <f>Sheet1!A652</f>
        <v>1651</v>
      </c>
      <c r="B652" t="str">
        <f>Sheet1!B652</f>
        <v>2025-07-06</v>
      </c>
      <c r="C652" t="str">
        <f>TEXT(Sheet1!B652,"YYYY-MM")</f>
        <v>2025-07</v>
      </c>
      <c r="D652" t="str">
        <f>Sheet1!D652</f>
        <v>Delhi</v>
      </c>
      <c r="E652" t="str">
        <f>Sheet1!F652</f>
        <v>Clothing</v>
      </c>
      <c r="F652" t="str">
        <f>Sheet1!H652</f>
        <v>Rahul</v>
      </c>
      <c r="G652">
        <f>Sheet1!K652</f>
        <v>125921.55</v>
      </c>
      <c r="H652">
        <f>Sheet1!N652</f>
        <v>15885.94</v>
      </c>
      <c r="I652">
        <f t="shared" si="13"/>
        <v>1</v>
      </c>
    </row>
    <row r="653" spans="1:9" x14ac:dyDescent="0.3">
      <c r="A653">
        <f>Sheet1!A653</f>
        <v>1652</v>
      </c>
      <c r="B653" t="str">
        <f>Sheet1!B653</f>
        <v>2025-07-06</v>
      </c>
      <c r="C653" t="str">
        <f>TEXT(Sheet1!B653,"YYYY-MM")</f>
        <v>2025-07</v>
      </c>
      <c r="D653" t="str">
        <f>Sheet1!D653</f>
        <v>Hyderabad</v>
      </c>
      <c r="E653" t="str">
        <f>Sheet1!F653</f>
        <v>Electronics</v>
      </c>
      <c r="F653" t="str">
        <f>Sheet1!H653</f>
        <v>Pooja</v>
      </c>
      <c r="G653">
        <f>Sheet1!K653</f>
        <v>178032.5</v>
      </c>
      <c r="H653">
        <f>Sheet1!N653</f>
        <v>36653.31</v>
      </c>
      <c r="I653">
        <f t="shared" si="13"/>
        <v>1</v>
      </c>
    </row>
    <row r="654" spans="1:9" x14ac:dyDescent="0.3">
      <c r="A654">
        <f>Sheet1!A654</f>
        <v>1653</v>
      </c>
      <c r="B654" t="str">
        <f>Sheet1!B654</f>
        <v>2025-07-06</v>
      </c>
      <c r="C654" t="str">
        <f>TEXT(Sheet1!B654,"YYYY-MM")</f>
        <v>2025-07</v>
      </c>
      <c r="D654" t="str">
        <f>Sheet1!D654</f>
        <v>Hyderabad</v>
      </c>
      <c r="E654" t="str">
        <f>Sheet1!F654</f>
        <v>Clothing</v>
      </c>
      <c r="F654" t="str">
        <f>Sheet1!H654</f>
        <v>Pooja</v>
      </c>
      <c r="G654">
        <f>Sheet1!K654</f>
        <v>163048</v>
      </c>
      <c r="H654">
        <f>Sheet1!N654</f>
        <v>24862.54</v>
      </c>
      <c r="I654">
        <f t="shared" si="13"/>
        <v>1</v>
      </c>
    </row>
    <row r="655" spans="1:9" x14ac:dyDescent="0.3">
      <c r="A655">
        <f>Sheet1!A655</f>
        <v>1654</v>
      </c>
      <c r="B655" t="str">
        <f>Sheet1!B655</f>
        <v>2025-07-07</v>
      </c>
      <c r="C655" t="str">
        <f>TEXT(Sheet1!B655,"YYYY-MM")</f>
        <v>2025-07</v>
      </c>
      <c r="D655" t="str">
        <f>Sheet1!D655</f>
        <v>Hyderabad</v>
      </c>
      <c r="E655" t="str">
        <f>Sheet1!F655</f>
        <v>Furniture</v>
      </c>
      <c r="F655" t="str">
        <f>Sheet1!H655</f>
        <v>Sneha</v>
      </c>
      <c r="G655">
        <f>Sheet1!K655</f>
        <v>30561.75</v>
      </c>
      <c r="H655">
        <f>Sheet1!N655</f>
        <v>8275.5400000000009</v>
      </c>
      <c r="I655">
        <f t="shared" si="13"/>
        <v>1</v>
      </c>
    </row>
    <row r="656" spans="1:9" x14ac:dyDescent="0.3">
      <c r="A656">
        <f>Sheet1!A656</f>
        <v>1655</v>
      </c>
      <c r="B656" t="str">
        <f>Sheet1!B656</f>
        <v>2025-07-07</v>
      </c>
      <c r="C656" t="str">
        <f>TEXT(Sheet1!B656,"YYYY-MM")</f>
        <v>2025-07</v>
      </c>
      <c r="D656" t="str">
        <f>Sheet1!D656</f>
        <v>Pune</v>
      </c>
      <c r="E656" t="str">
        <f>Sheet1!F656</f>
        <v>Electronics</v>
      </c>
      <c r="F656" t="str">
        <f>Sheet1!H656</f>
        <v>Ajay</v>
      </c>
      <c r="G656">
        <f>Sheet1!K656</f>
        <v>158084.75</v>
      </c>
      <c r="H656">
        <f>Sheet1!N656</f>
        <v>31756.66</v>
      </c>
      <c r="I656">
        <f t="shared" si="13"/>
        <v>1</v>
      </c>
    </row>
    <row r="657" spans="1:9" x14ac:dyDescent="0.3">
      <c r="A657">
        <f>Sheet1!A657</f>
        <v>1656</v>
      </c>
      <c r="B657" t="str">
        <f>Sheet1!B657</f>
        <v>2025-07-07</v>
      </c>
      <c r="C657" t="str">
        <f>TEXT(Sheet1!B657,"YYYY-MM")</f>
        <v>2025-07</v>
      </c>
      <c r="D657" t="str">
        <f>Sheet1!D657</f>
        <v>Pune</v>
      </c>
      <c r="E657" t="str">
        <f>Sheet1!F657</f>
        <v>Electronics</v>
      </c>
      <c r="F657" t="str">
        <f>Sheet1!H657</f>
        <v>Rahul</v>
      </c>
      <c r="G657">
        <f>Sheet1!K657</f>
        <v>61488</v>
      </c>
      <c r="H657">
        <f>Sheet1!N657</f>
        <v>15610.82</v>
      </c>
      <c r="I657">
        <f t="shared" si="13"/>
        <v>1</v>
      </c>
    </row>
    <row r="658" spans="1:9" x14ac:dyDescent="0.3">
      <c r="A658">
        <f>Sheet1!A658</f>
        <v>1657</v>
      </c>
      <c r="B658" t="str">
        <f>Sheet1!B658</f>
        <v>2025-07-07</v>
      </c>
      <c r="C658" t="str">
        <f>TEXT(Sheet1!B658,"YYYY-MM")</f>
        <v>2025-07</v>
      </c>
      <c r="D658" t="str">
        <f>Sheet1!D658</f>
        <v>Delhi</v>
      </c>
      <c r="E658" t="str">
        <f>Sheet1!F658</f>
        <v>Electronics</v>
      </c>
      <c r="F658" t="str">
        <f>Sheet1!H658</f>
        <v>Sneha</v>
      </c>
      <c r="G658">
        <f>Sheet1!K658</f>
        <v>19596</v>
      </c>
      <c r="H658">
        <f>Sheet1!N658</f>
        <v>3656.33</v>
      </c>
      <c r="I658">
        <f t="shared" si="13"/>
        <v>1</v>
      </c>
    </row>
    <row r="659" spans="1:9" x14ac:dyDescent="0.3">
      <c r="A659">
        <f>Sheet1!A659</f>
        <v>1658</v>
      </c>
      <c r="B659" t="str">
        <f>Sheet1!B659</f>
        <v>2025-07-08</v>
      </c>
      <c r="C659" t="str">
        <f>TEXT(Sheet1!B659,"YYYY-MM")</f>
        <v>2025-07</v>
      </c>
      <c r="D659" t="str">
        <f>Sheet1!D659</f>
        <v>Mumbai</v>
      </c>
      <c r="E659" t="str">
        <f>Sheet1!F659</f>
        <v>Furniture</v>
      </c>
      <c r="F659" t="str">
        <f>Sheet1!H659</f>
        <v>Sneha</v>
      </c>
      <c r="G659">
        <f>Sheet1!K659</f>
        <v>69327.199999999997</v>
      </c>
      <c r="H659">
        <f>Sheet1!N659</f>
        <v>16205.6</v>
      </c>
      <c r="I659">
        <f t="shared" si="13"/>
        <v>1</v>
      </c>
    </row>
    <row r="660" spans="1:9" x14ac:dyDescent="0.3">
      <c r="A660">
        <f>Sheet1!A660</f>
        <v>1659</v>
      </c>
      <c r="B660" t="str">
        <f>Sheet1!B660</f>
        <v>2025-07-08</v>
      </c>
      <c r="C660" t="str">
        <f>TEXT(Sheet1!B660,"YYYY-MM")</f>
        <v>2025-07</v>
      </c>
      <c r="D660" t="str">
        <f>Sheet1!D660</f>
        <v>Pune</v>
      </c>
      <c r="E660" t="str">
        <f>Sheet1!F660</f>
        <v>Electronics</v>
      </c>
      <c r="F660" t="str">
        <f>Sheet1!H660</f>
        <v>Pooja</v>
      </c>
      <c r="G660">
        <f>Sheet1!K660</f>
        <v>124765.2</v>
      </c>
      <c r="H660">
        <f>Sheet1!N660</f>
        <v>15960.25</v>
      </c>
      <c r="I660">
        <f t="shared" si="13"/>
        <v>1</v>
      </c>
    </row>
    <row r="661" spans="1:9" x14ac:dyDescent="0.3">
      <c r="A661">
        <f>Sheet1!A661</f>
        <v>1660</v>
      </c>
      <c r="B661" t="str">
        <f>Sheet1!B661</f>
        <v>2025-07-08</v>
      </c>
      <c r="C661" t="str">
        <f>TEXT(Sheet1!B661,"YYYY-MM")</f>
        <v>2025-07</v>
      </c>
      <c r="D661" t="str">
        <f>Sheet1!D661</f>
        <v>Pune</v>
      </c>
      <c r="E661" t="str">
        <f>Sheet1!F661</f>
        <v>Furniture</v>
      </c>
      <c r="F661" t="str">
        <f>Sheet1!H661</f>
        <v>Ajay</v>
      </c>
      <c r="G661">
        <f>Sheet1!K661</f>
        <v>18331.95</v>
      </c>
      <c r="H661">
        <f>Sheet1!N661</f>
        <v>2384.31</v>
      </c>
      <c r="I661">
        <f t="shared" si="13"/>
        <v>1</v>
      </c>
    </row>
    <row r="662" spans="1:9" x14ac:dyDescent="0.3">
      <c r="A662">
        <f>Sheet1!A662</f>
        <v>1661</v>
      </c>
      <c r="B662" t="str">
        <f>Sheet1!B662</f>
        <v>2025-07-08</v>
      </c>
      <c r="C662" t="str">
        <f>TEXT(Sheet1!B662,"YYYY-MM")</f>
        <v>2025-07</v>
      </c>
      <c r="D662" t="str">
        <f>Sheet1!D662</f>
        <v>Pune</v>
      </c>
      <c r="E662" t="str">
        <f>Sheet1!F662</f>
        <v>Furniture</v>
      </c>
      <c r="F662" t="str">
        <f>Sheet1!H662</f>
        <v>Pooja</v>
      </c>
      <c r="G662">
        <f>Sheet1!K662</f>
        <v>64652.7</v>
      </c>
      <c r="H662">
        <f>Sheet1!N662</f>
        <v>6663.98</v>
      </c>
      <c r="I662">
        <f t="shared" si="13"/>
        <v>1</v>
      </c>
    </row>
    <row r="663" spans="1:9" x14ac:dyDescent="0.3">
      <c r="A663">
        <f>Sheet1!A663</f>
        <v>1662</v>
      </c>
      <c r="B663" t="str">
        <f>Sheet1!B663</f>
        <v>2025-07-08</v>
      </c>
      <c r="C663" t="str">
        <f>TEXT(Sheet1!B663,"YYYY-MM")</f>
        <v>2025-07</v>
      </c>
      <c r="D663" t="str">
        <f>Sheet1!D663</f>
        <v>Mumbai</v>
      </c>
      <c r="E663" t="str">
        <f>Sheet1!F663</f>
        <v>Furniture</v>
      </c>
      <c r="F663" t="str">
        <f>Sheet1!H663</f>
        <v>Rahul</v>
      </c>
      <c r="G663">
        <f>Sheet1!K663</f>
        <v>235215.25</v>
      </c>
      <c r="H663">
        <f>Sheet1!N663</f>
        <v>56205.42</v>
      </c>
      <c r="I663">
        <f t="shared" si="13"/>
        <v>1</v>
      </c>
    </row>
    <row r="664" spans="1:9" x14ac:dyDescent="0.3">
      <c r="A664">
        <f>Sheet1!A664</f>
        <v>1663</v>
      </c>
      <c r="B664" t="str">
        <f>Sheet1!B664</f>
        <v>2025-07-09</v>
      </c>
      <c r="C664" t="str">
        <f>TEXT(Sheet1!B664,"YYYY-MM")</f>
        <v>2025-07</v>
      </c>
      <c r="D664" t="str">
        <f>Sheet1!D664</f>
        <v>Delhi</v>
      </c>
      <c r="E664" t="str">
        <f>Sheet1!F664</f>
        <v>Clothing</v>
      </c>
      <c r="F664" t="str">
        <f>Sheet1!H664</f>
        <v>Sneha</v>
      </c>
      <c r="G664">
        <f>Sheet1!K664</f>
        <v>109840.5</v>
      </c>
      <c r="H664">
        <f>Sheet1!N664</f>
        <v>20509.599999999999</v>
      </c>
      <c r="I664">
        <f t="shared" si="13"/>
        <v>1</v>
      </c>
    </row>
    <row r="665" spans="1:9" x14ac:dyDescent="0.3">
      <c r="A665">
        <f>Sheet1!A665</f>
        <v>1664</v>
      </c>
      <c r="B665" t="str">
        <f>Sheet1!B665</f>
        <v>2025-07-09</v>
      </c>
      <c r="C665" t="str">
        <f>TEXT(Sheet1!B665,"YYYY-MM")</f>
        <v>2025-07</v>
      </c>
      <c r="D665" t="str">
        <f>Sheet1!D665</f>
        <v>Hyderabad</v>
      </c>
      <c r="E665" t="str">
        <f>Sheet1!F665</f>
        <v>Electronics</v>
      </c>
      <c r="F665" t="str">
        <f>Sheet1!H665</f>
        <v>Ajay</v>
      </c>
      <c r="G665">
        <f>Sheet1!K665</f>
        <v>57250.8</v>
      </c>
      <c r="H665">
        <f>Sheet1!N665</f>
        <v>13098.14</v>
      </c>
      <c r="I665">
        <f t="shared" si="13"/>
        <v>1</v>
      </c>
    </row>
    <row r="666" spans="1:9" x14ac:dyDescent="0.3">
      <c r="A666">
        <f>Sheet1!A666</f>
        <v>1665</v>
      </c>
      <c r="B666" t="str">
        <f>Sheet1!B666</f>
        <v>2025-07-09</v>
      </c>
      <c r="C666" t="str">
        <f>TEXT(Sheet1!B666,"YYYY-MM")</f>
        <v>2025-07</v>
      </c>
      <c r="D666" t="str">
        <f>Sheet1!D666</f>
        <v>Pune</v>
      </c>
      <c r="E666" t="str">
        <f>Sheet1!F666</f>
        <v>Furniture</v>
      </c>
      <c r="F666" t="str">
        <f>Sheet1!H666</f>
        <v>Ajay</v>
      </c>
      <c r="G666">
        <f>Sheet1!K666</f>
        <v>73773.2</v>
      </c>
      <c r="H666">
        <f>Sheet1!N666</f>
        <v>19701.28</v>
      </c>
      <c r="I666">
        <f t="shared" si="13"/>
        <v>1</v>
      </c>
    </row>
    <row r="667" spans="1:9" x14ac:dyDescent="0.3">
      <c r="A667">
        <f>Sheet1!A667</f>
        <v>1666</v>
      </c>
      <c r="B667" t="str">
        <f>Sheet1!B667</f>
        <v>2025-07-09</v>
      </c>
      <c r="C667" t="str">
        <f>TEXT(Sheet1!B667,"YYYY-MM")</f>
        <v>2025-07</v>
      </c>
      <c r="D667" t="str">
        <f>Sheet1!D667</f>
        <v>Pune</v>
      </c>
      <c r="E667" t="str">
        <f>Sheet1!F667</f>
        <v>Furniture</v>
      </c>
      <c r="F667" t="str">
        <f>Sheet1!H667</f>
        <v>Ajay</v>
      </c>
      <c r="G667">
        <f>Sheet1!K667</f>
        <v>113700</v>
      </c>
      <c r="H667">
        <f>Sheet1!N667</f>
        <v>24743.360000000001</v>
      </c>
      <c r="I667">
        <f t="shared" si="13"/>
        <v>1</v>
      </c>
    </row>
    <row r="668" spans="1:9" x14ac:dyDescent="0.3">
      <c r="A668">
        <f>Sheet1!A668</f>
        <v>1667</v>
      </c>
      <c r="B668" t="str">
        <f>Sheet1!B668</f>
        <v>2025-07-09</v>
      </c>
      <c r="C668" t="str">
        <f>TEXT(Sheet1!B668,"YYYY-MM")</f>
        <v>2025-07</v>
      </c>
      <c r="D668" t="str">
        <f>Sheet1!D668</f>
        <v>Mumbai</v>
      </c>
      <c r="E668" t="str">
        <f>Sheet1!F668</f>
        <v>Furniture</v>
      </c>
      <c r="F668" t="str">
        <f>Sheet1!H668</f>
        <v>Ajay</v>
      </c>
      <c r="G668">
        <f>Sheet1!K668</f>
        <v>27183.599999999999</v>
      </c>
      <c r="H668">
        <f>Sheet1!N668</f>
        <v>3549.75</v>
      </c>
      <c r="I668">
        <f t="shared" si="13"/>
        <v>1</v>
      </c>
    </row>
    <row r="669" spans="1:9" x14ac:dyDescent="0.3">
      <c r="A669">
        <f>Sheet1!A669</f>
        <v>1668</v>
      </c>
      <c r="B669" t="str">
        <f>Sheet1!B669</f>
        <v>2025-07-10</v>
      </c>
      <c r="C669" t="str">
        <f>TEXT(Sheet1!B669,"YYYY-MM")</f>
        <v>2025-07</v>
      </c>
      <c r="D669" t="str">
        <f>Sheet1!D669</f>
        <v>Delhi</v>
      </c>
      <c r="E669" t="str">
        <f>Sheet1!F669</f>
        <v>Electronics</v>
      </c>
      <c r="F669" t="str">
        <f>Sheet1!H669</f>
        <v>Rahul</v>
      </c>
      <c r="G669">
        <f>Sheet1!K669</f>
        <v>146410.20000000001</v>
      </c>
      <c r="H669">
        <f>Sheet1!N669</f>
        <v>16996.34</v>
      </c>
      <c r="I669">
        <f t="shared" si="13"/>
        <v>1</v>
      </c>
    </row>
    <row r="670" spans="1:9" x14ac:dyDescent="0.3">
      <c r="A670">
        <f>Sheet1!A670</f>
        <v>1669</v>
      </c>
      <c r="B670" t="str">
        <f>Sheet1!B670</f>
        <v>2025-07-10</v>
      </c>
      <c r="C670" t="str">
        <f>TEXT(Sheet1!B670,"YYYY-MM")</f>
        <v>2025-07</v>
      </c>
      <c r="D670" t="str">
        <f>Sheet1!D670</f>
        <v>Delhi</v>
      </c>
      <c r="E670" t="str">
        <f>Sheet1!F670</f>
        <v>Electronics</v>
      </c>
      <c r="F670" t="str">
        <f>Sheet1!H670</f>
        <v>Ajay</v>
      </c>
      <c r="G670">
        <f>Sheet1!K670</f>
        <v>166567.5</v>
      </c>
      <c r="H670">
        <f>Sheet1!N670</f>
        <v>42179.73</v>
      </c>
      <c r="I670">
        <f t="shared" si="13"/>
        <v>1</v>
      </c>
    </row>
    <row r="671" spans="1:9" x14ac:dyDescent="0.3">
      <c r="A671">
        <f>Sheet1!A671</f>
        <v>1670</v>
      </c>
      <c r="B671" t="str">
        <f>Sheet1!B671</f>
        <v>2025-07-10</v>
      </c>
      <c r="C671" t="str">
        <f>TEXT(Sheet1!B671,"YYYY-MM")</f>
        <v>2025-07</v>
      </c>
      <c r="D671" t="str">
        <f>Sheet1!D671</f>
        <v>Delhi</v>
      </c>
      <c r="E671" t="str">
        <f>Sheet1!F671</f>
        <v>Furniture</v>
      </c>
      <c r="F671" t="str">
        <f>Sheet1!H671</f>
        <v>Pooja</v>
      </c>
      <c r="G671">
        <f>Sheet1!K671</f>
        <v>139798.20000000001</v>
      </c>
      <c r="H671">
        <f>Sheet1!N671</f>
        <v>39450.730000000003</v>
      </c>
      <c r="I671">
        <f t="shared" si="13"/>
        <v>1</v>
      </c>
    </row>
    <row r="672" spans="1:9" x14ac:dyDescent="0.3">
      <c r="A672">
        <f>Sheet1!A672</f>
        <v>1671</v>
      </c>
      <c r="B672" t="str">
        <f>Sheet1!B672</f>
        <v>2025-07-10</v>
      </c>
      <c r="C672" t="str">
        <f>TEXT(Sheet1!B672,"YYYY-MM")</f>
        <v>2025-07</v>
      </c>
      <c r="D672" t="str">
        <f>Sheet1!D672</f>
        <v>Bangalore</v>
      </c>
      <c r="E672" t="str">
        <f>Sheet1!F672</f>
        <v>Clothing</v>
      </c>
      <c r="F672" t="str">
        <f>Sheet1!H672</f>
        <v>Pooja</v>
      </c>
      <c r="G672">
        <f>Sheet1!K672</f>
        <v>115022</v>
      </c>
      <c r="H672">
        <f>Sheet1!N672</f>
        <v>29832.12</v>
      </c>
      <c r="I672">
        <f t="shared" si="13"/>
        <v>1</v>
      </c>
    </row>
    <row r="673" spans="1:9" x14ac:dyDescent="0.3">
      <c r="A673">
        <f>Sheet1!A673</f>
        <v>1672</v>
      </c>
      <c r="B673" t="str">
        <f>Sheet1!B673</f>
        <v>2025-07-10</v>
      </c>
      <c r="C673" t="str">
        <f>TEXT(Sheet1!B673,"YYYY-MM")</f>
        <v>2025-07</v>
      </c>
      <c r="D673" t="str">
        <f>Sheet1!D673</f>
        <v>Pune</v>
      </c>
      <c r="E673" t="str">
        <f>Sheet1!F673</f>
        <v>Electronics</v>
      </c>
      <c r="F673" t="str">
        <f>Sheet1!H673</f>
        <v>Rahul</v>
      </c>
      <c r="G673">
        <f>Sheet1!K673</f>
        <v>152989.79999999999</v>
      </c>
      <c r="H673">
        <f>Sheet1!N673</f>
        <v>24986.33</v>
      </c>
      <c r="I673">
        <f t="shared" si="13"/>
        <v>1</v>
      </c>
    </row>
    <row r="674" spans="1:9" x14ac:dyDescent="0.3">
      <c r="A674">
        <f>Sheet1!A674</f>
        <v>1673</v>
      </c>
      <c r="B674" t="str">
        <f>Sheet1!B674</f>
        <v>2025-07-11</v>
      </c>
      <c r="C674" t="str">
        <f>TEXT(Sheet1!B674,"YYYY-MM")</f>
        <v>2025-07</v>
      </c>
      <c r="D674" t="str">
        <f>Sheet1!D674</f>
        <v>Bangalore</v>
      </c>
      <c r="E674" t="str">
        <f>Sheet1!F674</f>
        <v>Clothing</v>
      </c>
      <c r="F674" t="str">
        <f>Sheet1!H674</f>
        <v>Ajay</v>
      </c>
      <c r="G674">
        <f>Sheet1!K674</f>
        <v>12206.7</v>
      </c>
      <c r="H674">
        <f>Sheet1!N674</f>
        <v>3623.16</v>
      </c>
      <c r="I674">
        <f t="shared" si="13"/>
        <v>1</v>
      </c>
    </row>
    <row r="675" spans="1:9" x14ac:dyDescent="0.3">
      <c r="A675">
        <f>Sheet1!A675</f>
        <v>1674</v>
      </c>
      <c r="B675" t="str">
        <f>Sheet1!B675</f>
        <v>2025-07-11</v>
      </c>
      <c r="C675" t="str">
        <f>TEXT(Sheet1!B675,"YYYY-MM")</f>
        <v>2025-07</v>
      </c>
      <c r="D675" t="str">
        <f>Sheet1!D675</f>
        <v>Delhi</v>
      </c>
      <c r="E675" t="str">
        <f>Sheet1!F675</f>
        <v>Furniture</v>
      </c>
      <c r="F675" t="str">
        <f>Sheet1!H675</f>
        <v>Pooja</v>
      </c>
      <c r="G675">
        <f>Sheet1!K675</f>
        <v>73068</v>
      </c>
      <c r="H675">
        <f>Sheet1!N675</f>
        <v>7354.59</v>
      </c>
      <c r="I675">
        <f t="shared" si="13"/>
        <v>1</v>
      </c>
    </row>
    <row r="676" spans="1:9" x14ac:dyDescent="0.3">
      <c r="A676">
        <f>Sheet1!A676</f>
        <v>1675</v>
      </c>
      <c r="B676" t="str">
        <f>Sheet1!B676</f>
        <v>2025-07-11</v>
      </c>
      <c r="C676" t="str">
        <f>TEXT(Sheet1!B676,"YYYY-MM")</f>
        <v>2025-07</v>
      </c>
      <c r="D676" t="str">
        <f>Sheet1!D676</f>
        <v>Bangalore</v>
      </c>
      <c r="E676" t="str">
        <f>Sheet1!F676</f>
        <v>Electronics</v>
      </c>
      <c r="F676" t="str">
        <f>Sheet1!H676</f>
        <v>Rahul</v>
      </c>
      <c r="G676">
        <f>Sheet1!K676</f>
        <v>25758</v>
      </c>
      <c r="H676">
        <f>Sheet1!N676</f>
        <v>6381.95</v>
      </c>
      <c r="I676">
        <f t="shared" si="13"/>
        <v>1</v>
      </c>
    </row>
    <row r="677" spans="1:9" x14ac:dyDescent="0.3">
      <c r="A677">
        <f>Sheet1!A677</f>
        <v>1676</v>
      </c>
      <c r="B677" t="str">
        <f>Sheet1!B677</f>
        <v>2025-07-11</v>
      </c>
      <c r="C677" t="str">
        <f>TEXT(Sheet1!B677,"YYYY-MM")</f>
        <v>2025-07</v>
      </c>
      <c r="D677" t="str">
        <f>Sheet1!D677</f>
        <v>Pune</v>
      </c>
      <c r="E677" t="str">
        <f>Sheet1!F677</f>
        <v>Clothing</v>
      </c>
      <c r="F677" t="str">
        <f>Sheet1!H677</f>
        <v>Pooja</v>
      </c>
      <c r="G677">
        <f>Sheet1!K677</f>
        <v>24436.65</v>
      </c>
      <c r="H677">
        <f>Sheet1!N677</f>
        <v>2609.39</v>
      </c>
      <c r="I677">
        <f t="shared" si="13"/>
        <v>1</v>
      </c>
    </row>
    <row r="678" spans="1:9" x14ac:dyDescent="0.3">
      <c r="A678">
        <f>Sheet1!A678</f>
        <v>1677</v>
      </c>
      <c r="B678" t="str">
        <f>Sheet1!B678</f>
        <v>2025-07-11</v>
      </c>
      <c r="C678" t="str">
        <f>TEXT(Sheet1!B678,"YYYY-MM")</f>
        <v>2025-07</v>
      </c>
      <c r="D678" t="str">
        <f>Sheet1!D678</f>
        <v>Pune</v>
      </c>
      <c r="E678" t="str">
        <f>Sheet1!F678</f>
        <v>Furniture</v>
      </c>
      <c r="F678" t="str">
        <f>Sheet1!H678</f>
        <v>Ajay</v>
      </c>
      <c r="G678">
        <f>Sheet1!K678</f>
        <v>13696.15</v>
      </c>
      <c r="H678">
        <f>Sheet1!N678</f>
        <v>1790.7</v>
      </c>
      <c r="I678">
        <f t="shared" si="13"/>
        <v>1</v>
      </c>
    </row>
    <row r="679" spans="1:9" x14ac:dyDescent="0.3">
      <c r="A679">
        <f>Sheet1!A679</f>
        <v>1678</v>
      </c>
      <c r="B679" t="str">
        <f>Sheet1!B679</f>
        <v>2025-07-12</v>
      </c>
      <c r="C679" t="str">
        <f>TEXT(Sheet1!B679,"YYYY-MM")</f>
        <v>2025-07</v>
      </c>
      <c r="D679" t="str">
        <f>Sheet1!D679</f>
        <v>Delhi</v>
      </c>
      <c r="E679" t="str">
        <f>Sheet1!F679</f>
        <v>Clothing</v>
      </c>
      <c r="F679" t="str">
        <f>Sheet1!H679</f>
        <v>Rahul</v>
      </c>
      <c r="G679">
        <f>Sheet1!K679</f>
        <v>109343.1</v>
      </c>
      <c r="H679">
        <f>Sheet1!N679</f>
        <v>11302.91</v>
      </c>
      <c r="I679">
        <f t="shared" si="13"/>
        <v>1</v>
      </c>
    </row>
    <row r="680" spans="1:9" x14ac:dyDescent="0.3">
      <c r="A680">
        <f>Sheet1!A680</f>
        <v>1679</v>
      </c>
      <c r="B680" t="str">
        <f>Sheet1!B680</f>
        <v>2025-07-12</v>
      </c>
      <c r="C680" t="str">
        <f>TEXT(Sheet1!B680,"YYYY-MM")</f>
        <v>2025-07</v>
      </c>
      <c r="D680" t="str">
        <f>Sheet1!D680</f>
        <v>Hyderabad</v>
      </c>
      <c r="E680" t="str">
        <f>Sheet1!F680</f>
        <v>Furniture</v>
      </c>
      <c r="F680" t="str">
        <f>Sheet1!H680</f>
        <v>Sneha</v>
      </c>
      <c r="G680">
        <f>Sheet1!K680</f>
        <v>7800.3</v>
      </c>
      <c r="H680">
        <f>Sheet1!N680</f>
        <v>1588.64</v>
      </c>
      <c r="I680">
        <f t="shared" si="13"/>
        <v>1</v>
      </c>
    </row>
    <row r="681" spans="1:9" x14ac:dyDescent="0.3">
      <c r="A681">
        <f>Sheet1!A681</f>
        <v>1680</v>
      </c>
      <c r="B681" t="str">
        <f>Sheet1!B681</f>
        <v>2025-07-13</v>
      </c>
      <c r="C681" t="str">
        <f>TEXT(Sheet1!B681,"YYYY-MM")</f>
        <v>2025-07</v>
      </c>
      <c r="D681" t="str">
        <f>Sheet1!D681</f>
        <v>Mumbai</v>
      </c>
      <c r="E681" t="str">
        <f>Sheet1!F681</f>
        <v>Electronics</v>
      </c>
      <c r="F681" t="str">
        <f>Sheet1!H681</f>
        <v>Pooja</v>
      </c>
      <c r="G681">
        <f>Sheet1!K681</f>
        <v>192764.5</v>
      </c>
      <c r="H681">
        <f>Sheet1!N681</f>
        <v>44053.120000000003</v>
      </c>
      <c r="I681">
        <f t="shared" si="13"/>
        <v>1</v>
      </c>
    </row>
    <row r="682" spans="1:9" x14ac:dyDescent="0.3">
      <c r="A682">
        <f>Sheet1!A682</f>
        <v>1681</v>
      </c>
      <c r="B682" t="str">
        <f>Sheet1!B682</f>
        <v>2025-07-13</v>
      </c>
      <c r="C682" t="str">
        <f>TEXT(Sheet1!B682,"YYYY-MM")</f>
        <v>2025-07</v>
      </c>
      <c r="D682" t="str">
        <f>Sheet1!D682</f>
        <v>Hyderabad</v>
      </c>
      <c r="E682" t="str">
        <f>Sheet1!F682</f>
        <v>Electronics</v>
      </c>
      <c r="F682" t="str">
        <f>Sheet1!H682</f>
        <v>Rahul</v>
      </c>
      <c r="G682">
        <f>Sheet1!K682</f>
        <v>50386.1</v>
      </c>
      <c r="H682">
        <f>Sheet1!N682</f>
        <v>7451.1</v>
      </c>
      <c r="I682">
        <f t="shared" si="13"/>
        <v>1</v>
      </c>
    </row>
    <row r="683" spans="1:9" x14ac:dyDescent="0.3">
      <c r="A683">
        <f>Sheet1!A683</f>
        <v>1682</v>
      </c>
      <c r="B683" t="str">
        <f>Sheet1!B683</f>
        <v>2025-07-13</v>
      </c>
      <c r="C683" t="str">
        <f>TEXT(Sheet1!B683,"YYYY-MM")</f>
        <v>2025-07</v>
      </c>
      <c r="D683" t="str">
        <f>Sheet1!D683</f>
        <v>Mumbai</v>
      </c>
      <c r="E683" t="str">
        <f>Sheet1!F683</f>
        <v>Furniture</v>
      </c>
      <c r="F683" t="str">
        <f>Sheet1!H683</f>
        <v>Ajay</v>
      </c>
      <c r="G683">
        <f>Sheet1!K683</f>
        <v>89152</v>
      </c>
      <c r="H683">
        <f>Sheet1!N683</f>
        <v>15732.57</v>
      </c>
      <c r="I683">
        <f t="shared" si="13"/>
        <v>1</v>
      </c>
    </row>
    <row r="684" spans="1:9" x14ac:dyDescent="0.3">
      <c r="A684">
        <f>Sheet1!A684</f>
        <v>1683</v>
      </c>
      <c r="B684" t="str">
        <f>Sheet1!B684</f>
        <v>2025-07-13</v>
      </c>
      <c r="C684" t="str">
        <f>TEXT(Sheet1!B684,"YYYY-MM")</f>
        <v>2025-07</v>
      </c>
      <c r="D684" t="str">
        <f>Sheet1!D684</f>
        <v>Hyderabad</v>
      </c>
      <c r="E684" t="str">
        <f>Sheet1!F684</f>
        <v>Clothing</v>
      </c>
      <c r="F684" t="str">
        <f>Sheet1!H684</f>
        <v>Pooja</v>
      </c>
      <c r="G684">
        <f>Sheet1!K684</f>
        <v>177802</v>
      </c>
      <c r="H684">
        <f>Sheet1!N684</f>
        <v>24050.3</v>
      </c>
      <c r="I684">
        <f t="shared" si="13"/>
        <v>1</v>
      </c>
    </row>
    <row r="685" spans="1:9" x14ac:dyDescent="0.3">
      <c r="A685">
        <f>Sheet1!A685</f>
        <v>1684</v>
      </c>
      <c r="B685" t="str">
        <f>Sheet1!B685</f>
        <v>2025-07-14</v>
      </c>
      <c r="C685" t="str">
        <f>TEXT(Sheet1!B685,"YYYY-MM")</f>
        <v>2025-07</v>
      </c>
      <c r="D685" t="str">
        <f>Sheet1!D685</f>
        <v>Pune</v>
      </c>
      <c r="E685" t="str">
        <f>Sheet1!F685</f>
        <v>Electronics</v>
      </c>
      <c r="F685" t="str">
        <f>Sheet1!H685</f>
        <v>Pooja</v>
      </c>
      <c r="G685">
        <f>Sheet1!K685</f>
        <v>80640</v>
      </c>
      <c r="H685">
        <f>Sheet1!N685</f>
        <v>9902.39</v>
      </c>
      <c r="I685">
        <f t="shared" si="13"/>
        <v>1</v>
      </c>
    </row>
    <row r="686" spans="1:9" x14ac:dyDescent="0.3">
      <c r="A686">
        <f>Sheet1!A686</f>
        <v>1685</v>
      </c>
      <c r="B686" t="str">
        <f>Sheet1!B686</f>
        <v>2025-07-14</v>
      </c>
      <c r="C686" t="str">
        <f>TEXT(Sheet1!B686,"YYYY-MM")</f>
        <v>2025-07</v>
      </c>
      <c r="D686" t="str">
        <f>Sheet1!D686</f>
        <v>Hyderabad</v>
      </c>
      <c r="E686" t="str">
        <f>Sheet1!F686</f>
        <v>Furniture</v>
      </c>
      <c r="F686" t="str">
        <f>Sheet1!H686</f>
        <v>Rahul</v>
      </c>
      <c r="G686">
        <f>Sheet1!K686</f>
        <v>42499.8</v>
      </c>
      <c r="H686">
        <f>Sheet1!N686</f>
        <v>10251.16</v>
      </c>
      <c r="I686">
        <f t="shared" si="13"/>
        <v>1</v>
      </c>
    </row>
    <row r="687" spans="1:9" x14ac:dyDescent="0.3">
      <c r="A687">
        <f>Sheet1!A687</f>
        <v>1686</v>
      </c>
      <c r="B687" t="str">
        <f>Sheet1!B687</f>
        <v>2025-07-15</v>
      </c>
      <c r="C687" t="str">
        <f>TEXT(Sheet1!B687,"YYYY-MM")</f>
        <v>2025-07</v>
      </c>
      <c r="D687" t="str">
        <f>Sheet1!D687</f>
        <v>Mumbai</v>
      </c>
      <c r="E687" t="str">
        <f>Sheet1!F687</f>
        <v>Clothing</v>
      </c>
      <c r="F687" t="str">
        <f>Sheet1!H687</f>
        <v>Sneha</v>
      </c>
      <c r="G687">
        <f>Sheet1!K687</f>
        <v>63408.3</v>
      </c>
      <c r="H687">
        <f>Sheet1!N687</f>
        <v>16998.919999999998</v>
      </c>
      <c r="I687">
        <f t="shared" si="13"/>
        <v>1</v>
      </c>
    </row>
    <row r="688" spans="1:9" x14ac:dyDescent="0.3">
      <c r="A688">
        <f>Sheet1!A688</f>
        <v>1687</v>
      </c>
      <c r="B688" t="str">
        <f>Sheet1!B688</f>
        <v>2025-07-15</v>
      </c>
      <c r="C688" t="str">
        <f>TEXT(Sheet1!B688,"YYYY-MM")</f>
        <v>2025-07</v>
      </c>
      <c r="D688" t="str">
        <f>Sheet1!D688</f>
        <v>Pune</v>
      </c>
      <c r="E688" t="str">
        <f>Sheet1!F688</f>
        <v>Clothing</v>
      </c>
      <c r="F688" t="str">
        <f>Sheet1!H688</f>
        <v>Rahul</v>
      </c>
      <c r="G688">
        <f>Sheet1!K688</f>
        <v>63268.2</v>
      </c>
      <c r="H688">
        <f>Sheet1!N688</f>
        <v>17413.330000000002</v>
      </c>
      <c r="I688">
        <f t="shared" si="13"/>
        <v>1</v>
      </c>
    </row>
    <row r="689" spans="1:9" x14ac:dyDescent="0.3">
      <c r="A689">
        <f>Sheet1!A689</f>
        <v>1688</v>
      </c>
      <c r="B689" t="str">
        <f>Sheet1!B689</f>
        <v>2025-07-15</v>
      </c>
      <c r="C689" t="str">
        <f>TEXT(Sheet1!B689,"YYYY-MM")</f>
        <v>2025-07</v>
      </c>
      <c r="D689" t="str">
        <f>Sheet1!D689</f>
        <v>Bangalore</v>
      </c>
      <c r="E689" t="str">
        <f>Sheet1!F689</f>
        <v>Clothing</v>
      </c>
      <c r="F689" t="str">
        <f>Sheet1!H689</f>
        <v>Rahul</v>
      </c>
      <c r="G689">
        <f>Sheet1!K689</f>
        <v>106141.5</v>
      </c>
      <c r="H689">
        <f>Sheet1!N689</f>
        <v>26768.67</v>
      </c>
      <c r="I689">
        <f t="shared" si="13"/>
        <v>1</v>
      </c>
    </row>
    <row r="690" spans="1:9" x14ac:dyDescent="0.3">
      <c r="A690">
        <f>Sheet1!A690</f>
        <v>1689</v>
      </c>
      <c r="B690" t="str">
        <f>Sheet1!B690</f>
        <v>2025-07-15</v>
      </c>
      <c r="C690" t="str">
        <f>TEXT(Sheet1!B690,"YYYY-MM")</f>
        <v>2025-07</v>
      </c>
      <c r="D690" t="str">
        <f>Sheet1!D690</f>
        <v>Mumbai</v>
      </c>
      <c r="E690" t="str">
        <f>Sheet1!F690</f>
        <v>Clothing</v>
      </c>
      <c r="F690" t="str">
        <f>Sheet1!H690</f>
        <v>Sneha</v>
      </c>
      <c r="G690">
        <f>Sheet1!K690</f>
        <v>15882.1</v>
      </c>
      <c r="H690">
        <f>Sheet1!N690</f>
        <v>3684.36</v>
      </c>
      <c r="I690">
        <f t="shared" si="13"/>
        <v>1</v>
      </c>
    </row>
    <row r="691" spans="1:9" x14ac:dyDescent="0.3">
      <c r="A691">
        <f>Sheet1!A691</f>
        <v>1690</v>
      </c>
      <c r="B691" t="str">
        <f>Sheet1!B691</f>
        <v>2025-07-15</v>
      </c>
      <c r="C691" t="str">
        <f>TEXT(Sheet1!B691,"YYYY-MM")</f>
        <v>2025-07</v>
      </c>
      <c r="D691" t="str">
        <f>Sheet1!D691</f>
        <v>Pune</v>
      </c>
      <c r="E691" t="str">
        <f>Sheet1!F691</f>
        <v>Furniture</v>
      </c>
      <c r="F691" t="str">
        <f>Sheet1!H691</f>
        <v>Sneha</v>
      </c>
      <c r="G691">
        <f>Sheet1!K691</f>
        <v>22653</v>
      </c>
      <c r="H691">
        <f>Sheet1!N691</f>
        <v>6159.9</v>
      </c>
      <c r="I691">
        <f t="shared" si="13"/>
        <v>1</v>
      </c>
    </row>
    <row r="692" spans="1:9" x14ac:dyDescent="0.3">
      <c r="A692">
        <f>Sheet1!A692</f>
        <v>1691</v>
      </c>
      <c r="B692" t="str">
        <f>Sheet1!B692</f>
        <v>2025-07-16</v>
      </c>
      <c r="C692" t="str">
        <f>TEXT(Sheet1!B692,"YYYY-MM")</f>
        <v>2025-07</v>
      </c>
      <c r="D692" t="str">
        <f>Sheet1!D692</f>
        <v>Pune</v>
      </c>
      <c r="E692" t="str">
        <f>Sheet1!F692</f>
        <v>Furniture</v>
      </c>
      <c r="F692" t="str">
        <f>Sheet1!H692</f>
        <v>Pooja</v>
      </c>
      <c r="G692">
        <f>Sheet1!K692</f>
        <v>180895.5</v>
      </c>
      <c r="H692">
        <f>Sheet1!N692</f>
        <v>47343.22</v>
      </c>
      <c r="I692">
        <f t="shared" si="13"/>
        <v>1</v>
      </c>
    </row>
    <row r="693" spans="1:9" x14ac:dyDescent="0.3">
      <c r="A693">
        <f>Sheet1!A693</f>
        <v>1692</v>
      </c>
      <c r="B693" t="str">
        <f>Sheet1!B693</f>
        <v>2025-07-16</v>
      </c>
      <c r="C693" t="str">
        <f>TEXT(Sheet1!B693,"YYYY-MM")</f>
        <v>2025-07</v>
      </c>
      <c r="D693" t="str">
        <f>Sheet1!D693</f>
        <v>Delhi</v>
      </c>
      <c r="E693" t="str">
        <f>Sheet1!F693</f>
        <v>Electronics</v>
      </c>
      <c r="F693" t="str">
        <f>Sheet1!H693</f>
        <v>Sneha</v>
      </c>
      <c r="G693">
        <f>Sheet1!K693</f>
        <v>77490</v>
      </c>
      <c r="H693">
        <f>Sheet1!N693</f>
        <v>13591.42</v>
      </c>
      <c r="I693">
        <f t="shared" si="13"/>
        <v>1</v>
      </c>
    </row>
    <row r="694" spans="1:9" x14ac:dyDescent="0.3">
      <c r="A694">
        <f>Sheet1!A694</f>
        <v>1693</v>
      </c>
      <c r="B694" t="str">
        <f>Sheet1!B694</f>
        <v>2025-07-16</v>
      </c>
      <c r="C694" t="str">
        <f>TEXT(Sheet1!B694,"YYYY-MM")</f>
        <v>2025-07</v>
      </c>
      <c r="D694" t="str">
        <f>Sheet1!D694</f>
        <v>Hyderabad</v>
      </c>
      <c r="E694" t="str">
        <f>Sheet1!F694</f>
        <v>Furniture</v>
      </c>
      <c r="F694" t="str">
        <f>Sheet1!H694</f>
        <v>Ajay</v>
      </c>
      <c r="G694">
        <f>Sheet1!K694</f>
        <v>36860.400000000001</v>
      </c>
      <c r="H694">
        <f>Sheet1!N694</f>
        <v>5513.39</v>
      </c>
      <c r="I694">
        <f t="shared" si="13"/>
        <v>1</v>
      </c>
    </row>
    <row r="695" spans="1:9" x14ac:dyDescent="0.3">
      <c r="A695">
        <f>Sheet1!A695</f>
        <v>1694</v>
      </c>
      <c r="B695" t="str">
        <f>Sheet1!B695</f>
        <v>2025-07-16</v>
      </c>
      <c r="C695" t="str">
        <f>TEXT(Sheet1!B695,"YYYY-MM")</f>
        <v>2025-07</v>
      </c>
      <c r="D695" t="str">
        <f>Sheet1!D695</f>
        <v>Bangalore</v>
      </c>
      <c r="E695" t="str">
        <f>Sheet1!F695</f>
        <v>Furniture</v>
      </c>
      <c r="F695" t="str">
        <f>Sheet1!H695</f>
        <v>Sneha</v>
      </c>
      <c r="G695">
        <f>Sheet1!K695</f>
        <v>109423.05</v>
      </c>
      <c r="H695">
        <f>Sheet1!N695</f>
        <v>27748.46</v>
      </c>
      <c r="I695">
        <f t="shared" si="13"/>
        <v>1</v>
      </c>
    </row>
    <row r="696" spans="1:9" x14ac:dyDescent="0.3">
      <c r="A696">
        <f>Sheet1!A696</f>
        <v>1695</v>
      </c>
      <c r="B696" t="str">
        <f>Sheet1!B696</f>
        <v>2025-07-17</v>
      </c>
      <c r="C696" t="str">
        <f>TEXT(Sheet1!B696,"YYYY-MM")</f>
        <v>2025-07</v>
      </c>
      <c r="D696" t="str">
        <f>Sheet1!D696</f>
        <v>Pune</v>
      </c>
      <c r="E696" t="str">
        <f>Sheet1!F696</f>
        <v>Electronics</v>
      </c>
      <c r="F696" t="str">
        <f>Sheet1!H696</f>
        <v>Pooja</v>
      </c>
      <c r="G696">
        <f>Sheet1!K696</f>
        <v>31489.200000000001</v>
      </c>
      <c r="H696">
        <f>Sheet1!N696</f>
        <v>5405.53</v>
      </c>
      <c r="I696">
        <f t="shared" si="13"/>
        <v>1</v>
      </c>
    </row>
    <row r="697" spans="1:9" x14ac:dyDescent="0.3">
      <c r="A697">
        <f>Sheet1!A697</f>
        <v>1696</v>
      </c>
      <c r="B697" t="str">
        <f>Sheet1!B697</f>
        <v>2025-07-17</v>
      </c>
      <c r="C697" t="str">
        <f>TEXT(Sheet1!B697,"YYYY-MM")</f>
        <v>2025-07</v>
      </c>
      <c r="D697" t="str">
        <f>Sheet1!D697</f>
        <v>Hyderabad</v>
      </c>
      <c r="E697" t="str">
        <f>Sheet1!F697</f>
        <v>Clothing</v>
      </c>
      <c r="F697" t="str">
        <f>Sheet1!H697</f>
        <v>Pooja</v>
      </c>
      <c r="G697">
        <f>Sheet1!K697</f>
        <v>7041.4</v>
      </c>
      <c r="H697">
        <f>Sheet1!N697</f>
        <v>1682.51</v>
      </c>
      <c r="I697">
        <f t="shared" si="13"/>
        <v>1</v>
      </c>
    </row>
    <row r="698" spans="1:9" x14ac:dyDescent="0.3">
      <c r="A698">
        <f>Sheet1!A698</f>
        <v>1697</v>
      </c>
      <c r="B698" t="str">
        <f>Sheet1!B698</f>
        <v>2025-07-17</v>
      </c>
      <c r="C698" t="str">
        <f>TEXT(Sheet1!B698,"YYYY-MM")</f>
        <v>2025-07</v>
      </c>
      <c r="D698" t="str">
        <f>Sheet1!D698</f>
        <v>Mumbai</v>
      </c>
      <c r="E698" t="str">
        <f>Sheet1!F698</f>
        <v>Electronics</v>
      </c>
      <c r="F698" t="str">
        <f>Sheet1!H698</f>
        <v>Sneha</v>
      </c>
      <c r="G698">
        <f>Sheet1!K698</f>
        <v>66522.600000000006</v>
      </c>
      <c r="H698">
        <f>Sheet1!N698</f>
        <v>6681.1</v>
      </c>
      <c r="I698">
        <f t="shared" si="13"/>
        <v>1</v>
      </c>
    </row>
    <row r="699" spans="1:9" x14ac:dyDescent="0.3">
      <c r="A699">
        <f>Sheet1!A699</f>
        <v>1698</v>
      </c>
      <c r="B699" t="str">
        <f>Sheet1!B699</f>
        <v>2025-07-17</v>
      </c>
      <c r="C699" t="str">
        <f>TEXT(Sheet1!B699,"YYYY-MM")</f>
        <v>2025-07</v>
      </c>
      <c r="D699" t="str">
        <f>Sheet1!D699</f>
        <v>Mumbai</v>
      </c>
      <c r="E699" t="str">
        <f>Sheet1!F699</f>
        <v>Furniture</v>
      </c>
      <c r="F699" t="str">
        <f>Sheet1!H699</f>
        <v>Rahul</v>
      </c>
      <c r="G699">
        <f>Sheet1!K699</f>
        <v>25316</v>
      </c>
      <c r="H699">
        <f>Sheet1!N699</f>
        <v>3027.7</v>
      </c>
      <c r="I699">
        <f t="shared" si="13"/>
        <v>1</v>
      </c>
    </row>
    <row r="700" spans="1:9" x14ac:dyDescent="0.3">
      <c r="A700">
        <f>Sheet1!A700</f>
        <v>1699</v>
      </c>
      <c r="B700" t="str">
        <f>Sheet1!B700</f>
        <v>2025-07-18</v>
      </c>
      <c r="C700" t="str">
        <f>TEXT(Sheet1!B700,"YYYY-MM")</f>
        <v>2025-07</v>
      </c>
      <c r="D700" t="str">
        <f>Sheet1!D700</f>
        <v>Delhi</v>
      </c>
      <c r="E700" t="str">
        <f>Sheet1!F700</f>
        <v>Clothing</v>
      </c>
      <c r="F700" t="str">
        <f>Sheet1!H700</f>
        <v>Pooja</v>
      </c>
      <c r="G700">
        <f>Sheet1!K700</f>
        <v>80720.25</v>
      </c>
      <c r="H700">
        <f>Sheet1!N700</f>
        <v>24015.93</v>
      </c>
      <c r="I700">
        <f t="shared" si="13"/>
        <v>1</v>
      </c>
    </row>
    <row r="701" spans="1:9" x14ac:dyDescent="0.3">
      <c r="A701">
        <f>Sheet1!A701</f>
        <v>1700</v>
      </c>
      <c r="B701" t="str">
        <f>Sheet1!B701</f>
        <v>2025-07-18</v>
      </c>
      <c r="C701" t="str">
        <f>TEXT(Sheet1!B701,"YYYY-MM")</f>
        <v>2025-07</v>
      </c>
      <c r="D701" t="str">
        <f>Sheet1!D701</f>
        <v>Mumbai</v>
      </c>
      <c r="E701" t="str">
        <f>Sheet1!F701</f>
        <v>Clothing</v>
      </c>
      <c r="F701" t="str">
        <f>Sheet1!H701</f>
        <v>Pooja</v>
      </c>
      <c r="G701">
        <f>Sheet1!K701</f>
        <v>20192.400000000001</v>
      </c>
      <c r="H701">
        <f>Sheet1!N701</f>
        <v>3177.22</v>
      </c>
      <c r="I701">
        <f t="shared" si="13"/>
        <v>1</v>
      </c>
    </row>
    <row r="702" spans="1:9" x14ac:dyDescent="0.3">
      <c r="A702">
        <f>Sheet1!A702</f>
        <v>1701</v>
      </c>
      <c r="B702" t="str">
        <f>Sheet1!B702</f>
        <v>2025-07-18</v>
      </c>
      <c r="C702" t="str">
        <f>TEXT(Sheet1!B702,"YYYY-MM")</f>
        <v>2025-07</v>
      </c>
      <c r="D702" t="str">
        <f>Sheet1!D702</f>
        <v>Delhi</v>
      </c>
      <c r="E702" t="str">
        <f>Sheet1!F702</f>
        <v>Furniture</v>
      </c>
      <c r="F702" t="str">
        <f>Sheet1!H702</f>
        <v>Ajay</v>
      </c>
      <c r="G702">
        <f>Sheet1!K702</f>
        <v>82617.3</v>
      </c>
      <c r="H702">
        <f>Sheet1!N702</f>
        <v>12380.89</v>
      </c>
      <c r="I702">
        <f t="shared" si="13"/>
        <v>1</v>
      </c>
    </row>
    <row r="703" spans="1:9" x14ac:dyDescent="0.3">
      <c r="A703">
        <f>Sheet1!A703</f>
        <v>1702</v>
      </c>
      <c r="B703" t="str">
        <f>Sheet1!B703</f>
        <v>2025-07-19</v>
      </c>
      <c r="C703" t="str">
        <f>TEXT(Sheet1!B703,"YYYY-MM")</f>
        <v>2025-07</v>
      </c>
      <c r="D703" t="str">
        <f>Sheet1!D703</f>
        <v>Bangalore</v>
      </c>
      <c r="E703" t="str">
        <f>Sheet1!F703</f>
        <v>Furniture</v>
      </c>
      <c r="F703" t="str">
        <f>Sheet1!H703</f>
        <v>Pooja</v>
      </c>
      <c r="G703">
        <f>Sheet1!K703</f>
        <v>46586</v>
      </c>
      <c r="H703">
        <f>Sheet1!N703</f>
        <v>5764.97</v>
      </c>
      <c r="I703">
        <f t="shared" si="13"/>
        <v>1</v>
      </c>
    </row>
    <row r="704" spans="1:9" x14ac:dyDescent="0.3">
      <c r="A704">
        <f>Sheet1!A704</f>
        <v>1703</v>
      </c>
      <c r="B704" t="str">
        <f>Sheet1!B704</f>
        <v>2025-07-19</v>
      </c>
      <c r="C704" t="str">
        <f>TEXT(Sheet1!B704,"YYYY-MM")</f>
        <v>2025-07</v>
      </c>
      <c r="D704" t="str">
        <f>Sheet1!D704</f>
        <v>Hyderabad</v>
      </c>
      <c r="E704" t="str">
        <f>Sheet1!F704</f>
        <v>Clothing</v>
      </c>
      <c r="F704" t="str">
        <f>Sheet1!H704</f>
        <v>Pooja</v>
      </c>
      <c r="G704">
        <f>Sheet1!K704</f>
        <v>77001.5</v>
      </c>
      <c r="H704">
        <f>Sheet1!N704</f>
        <v>14232.23</v>
      </c>
      <c r="I704">
        <f t="shared" si="13"/>
        <v>1</v>
      </c>
    </row>
    <row r="705" spans="1:9" x14ac:dyDescent="0.3">
      <c r="A705">
        <f>Sheet1!A705</f>
        <v>1704</v>
      </c>
      <c r="B705" t="str">
        <f>Sheet1!B705</f>
        <v>2025-07-19</v>
      </c>
      <c r="C705" t="str">
        <f>TEXT(Sheet1!B705,"YYYY-MM")</f>
        <v>2025-07</v>
      </c>
      <c r="D705" t="str">
        <f>Sheet1!D705</f>
        <v>Hyderabad</v>
      </c>
      <c r="E705" t="str">
        <f>Sheet1!F705</f>
        <v>Electronics</v>
      </c>
      <c r="F705" t="str">
        <f>Sheet1!H705</f>
        <v>Rahul</v>
      </c>
      <c r="G705">
        <f>Sheet1!K705</f>
        <v>32685.7</v>
      </c>
      <c r="H705">
        <f>Sheet1!N705</f>
        <v>4998.63</v>
      </c>
      <c r="I705">
        <f t="shared" si="13"/>
        <v>1</v>
      </c>
    </row>
    <row r="706" spans="1:9" x14ac:dyDescent="0.3">
      <c r="A706">
        <f>Sheet1!A706</f>
        <v>1705</v>
      </c>
      <c r="B706" t="str">
        <f>Sheet1!B706</f>
        <v>2025-07-19</v>
      </c>
      <c r="C706" t="str">
        <f>TEXT(Sheet1!B706,"YYYY-MM")</f>
        <v>2025-07</v>
      </c>
      <c r="D706" t="str">
        <f>Sheet1!D706</f>
        <v>Pune</v>
      </c>
      <c r="E706" t="str">
        <f>Sheet1!F706</f>
        <v>Furniture</v>
      </c>
      <c r="F706" t="str">
        <f>Sheet1!H706</f>
        <v>Rahul</v>
      </c>
      <c r="G706">
        <f>Sheet1!K706</f>
        <v>16682.400000000001</v>
      </c>
      <c r="H706">
        <f>Sheet1!N706</f>
        <v>4399.5</v>
      </c>
      <c r="I706">
        <f t="shared" ref="I706:I769" si="14">IF(AND(OR(FilterCity="All",D706=FilterCity),OR(FilterCategory="All",E706=FilterCategory),OR(FilterRep="All",F706=FilterRep),C706&gt;=FilterMonthFrom,C706&lt;=FilterMonthTo),1,0)</f>
        <v>1</v>
      </c>
    </row>
    <row r="707" spans="1:9" x14ac:dyDescent="0.3">
      <c r="A707">
        <f>Sheet1!A707</f>
        <v>1706</v>
      </c>
      <c r="B707" t="str">
        <f>Sheet1!B707</f>
        <v>2025-07-20</v>
      </c>
      <c r="C707" t="str">
        <f>TEXT(Sheet1!B707,"YYYY-MM")</f>
        <v>2025-07</v>
      </c>
      <c r="D707" t="str">
        <f>Sheet1!D707</f>
        <v>Hyderabad</v>
      </c>
      <c r="E707" t="str">
        <f>Sheet1!F707</f>
        <v>Furniture</v>
      </c>
      <c r="F707" t="str">
        <f>Sheet1!H707</f>
        <v>Rahul</v>
      </c>
      <c r="G707">
        <f>Sheet1!K707</f>
        <v>72459</v>
      </c>
      <c r="H707">
        <f>Sheet1!N707</f>
        <v>15890.13</v>
      </c>
      <c r="I707">
        <f t="shared" si="14"/>
        <v>1</v>
      </c>
    </row>
    <row r="708" spans="1:9" x14ac:dyDescent="0.3">
      <c r="A708">
        <f>Sheet1!A708</f>
        <v>1707</v>
      </c>
      <c r="B708" t="str">
        <f>Sheet1!B708</f>
        <v>2025-07-20</v>
      </c>
      <c r="C708" t="str">
        <f>TEXT(Sheet1!B708,"YYYY-MM")</f>
        <v>2025-07</v>
      </c>
      <c r="D708" t="str">
        <f>Sheet1!D708</f>
        <v>Bangalore</v>
      </c>
      <c r="E708" t="str">
        <f>Sheet1!F708</f>
        <v>Clothing</v>
      </c>
      <c r="F708" t="str">
        <f>Sheet1!H708</f>
        <v>Ajay</v>
      </c>
      <c r="G708">
        <f>Sheet1!K708</f>
        <v>46514.85</v>
      </c>
      <c r="H708">
        <f>Sheet1!N708</f>
        <v>6892.34</v>
      </c>
      <c r="I708">
        <f t="shared" si="14"/>
        <v>1</v>
      </c>
    </row>
    <row r="709" spans="1:9" x14ac:dyDescent="0.3">
      <c r="A709">
        <f>Sheet1!A709</f>
        <v>1708</v>
      </c>
      <c r="B709" t="str">
        <f>Sheet1!B709</f>
        <v>2025-07-20</v>
      </c>
      <c r="C709" t="str">
        <f>TEXT(Sheet1!B709,"YYYY-MM")</f>
        <v>2025-07</v>
      </c>
      <c r="D709" t="str">
        <f>Sheet1!D709</f>
        <v>Mumbai</v>
      </c>
      <c r="E709" t="str">
        <f>Sheet1!F709</f>
        <v>Furniture</v>
      </c>
      <c r="F709" t="str">
        <f>Sheet1!H709</f>
        <v>Sneha</v>
      </c>
      <c r="G709">
        <f>Sheet1!K709</f>
        <v>180718.5</v>
      </c>
      <c r="H709">
        <f>Sheet1!N709</f>
        <v>24725.69</v>
      </c>
      <c r="I709">
        <f t="shared" si="14"/>
        <v>1</v>
      </c>
    </row>
    <row r="710" spans="1:9" x14ac:dyDescent="0.3">
      <c r="A710">
        <f>Sheet1!A710</f>
        <v>1709</v>
      </c>
      <c r="B710" t="str">
        <f>Sheet1!B710</f>
        <v>2025-07-20</v>
      </c>
      <c r="C710" t="str">
        <f>TEXT(Sheet1!B710,"YYYY-MM")</f>
        <v>2025-07</v>
      </c>
      <c r="D710" t="str">
        <f>Sheet1!D710</f>
        <v>Pune</v>
      </c>
      <c r="E710" t="str">
        <f>Sheet1!F710</f>
        <v>Clothing</v>
      </c>
      <c r="F710" t="str">
        <f>Sheet1!H710</f>
        <v>Rahul</v>
      </c>
      <c r="G710">
        <f>Sheet1!K710</f>
        <v>86486.399999999994</v>
      </c>
      <c r="H710">
        <f>Sheet1!N710</f>
        <v>12521.43</v>
      </c>
      <c r="I710">
        <f t="shared" si="14"/>
        <v>1</v>
      </c>
    </row>
    <row r="711" spans="1:9" x14ac:dyDescent="0.3">
      <c r="A711">
        <f>Sheet1!A711</f>
        <v>1710</v>
      </c>
      <c r="B711" t="str">
        <f>Sheet1!B711</f>
        <v>2025-07-20</v>
      </c>
      <c r="C711" t="str">
        <f>TEXT(Sheet1!B711,"YYYY-MM")</f>
        <v>2025-07</v>
      </c>
      <c r="D711" t="str">
        <f>Sheet1!D711</f>
        <v>Delhi</v>
      </c>
      <c r="E711" t="str">
        <f>Sheet1!F711</f>
        <v>Furniture</v>
      </c>
      <c r="F711" t="str">
        <f>Sheet1!H711</f>
        <v>Pooja</v>
      </c>
      <c r="G711">
        <f>Sheet1!K711</f>
        <v>41712.9</v>
      </c>
      <c r="H711">
        <f>Sheet1!N711</f>
        <v>8116.6</v>
      </c>
      <c r="I711">
        <f t="shared" si="14"/>
        <v>1</v>
      </c>
    </row>
    <row r="712" spans="1:9" x14ac:dyDescent="0.3">
      <c r="A712">
        <f>Sheet1!A712</f>
        <v>1711</v>
      </c>
      <c r="B712" t="str">
        <f>Sheet1!B712</f>
        <v>2025-07-21</v>
      </c>
      <c r="C712" t="str">
        <f>TEXT(Sheet1!B712,"YYYY-MM")</f>
        <v>2025-07</v>
      </c>
      <c r="D712" t="str">
        <f>Sheet1!D712</f>
        <v>Bangalore</v>
      </c>
      <c r="E712" t="str">
        <f>Sheet1!F712</f>
        <v>Furniture</v>
      </c>
      <c r="F712" t="str">
        <f>Sheet1!H712</f>
        <v>Sneha</v>
      </c>
      <c r="G712">
        <f>Sheet1!K712</f>
        <v>114321</v>
      </c>
      <c r="H712">
        <f>Sheet1!N712</f>
        <v>22169.64</v>
      </c>
      <c r="I712">
        <f t="shared" si="14"/>
        <v>1</v>
      </c>
    </row>
    <row r="713" spans="1:9" x14ac:dyDescent="0.3">
      <c r="A713">
        <f>Sheet1!A713</f>
        <v>1712</v>
      </c>
      <c r="B713" t="str">
        <f>Sheet1!B713</f>
        <v>2025-07-21</v>
      </c>
      <c r="C713" t="str">
        <f>TEXT(Sheet1!B713,"YYYY-MM")</f>
        <v>2025-07</v>
      </c>
      <c r="D713" t="str">
        <f>Sheet1!D713</f>
        <v>Hyderabad</v>
      </c>
      <c r="E713" t="str">
        <f>Sheet1!F713</f>
        <v>Electronics</v>
      </c>
      <c r="F713" t="str">
        <f>Sheet1!H713</f>
        <v>Pooja</v>
      </c>
      <c r="G713">
        <f>Sheet1!K713</f>
        <v>92816</v>
      </c>
      <c r="H713">
        <f>Sheet1!N713</f>
        <v>23785.16</v>
      </c>
      <c r="I713">
        <f t="shared" si="14"/>
        <v>1</v>
      </c>
    </row>
    <row r="714" spans="1:9" x14ac:dyDescent="0.3">
      <c r="A714">
        <f>Sheet1!A714</f>
        <v>1713</v>
      </c>
      <c r="B714" t="str">
        <f>Sheet1!B714</f>
        <v>2025-07-21</v>
      </c>
      <c r="C714" t="str">
        <f>TEXT(Sheet1!B714,"YYYY-MM")</f>
        <v>2025-07</v>
      </c>
      <c r="D714" t="str">
        <f>Sheet1!D714</f>
        <v>Bangalore</v>
      </c>
      <c r="E714" t="str">
        <f>Sheet1!F714</f>
        <v>Clothing</v>
      </c>
      <c r="F714" t="str">
        <f>Sheet1!H714</f>
        <v>Ajay</v>
      </c>
      <c r="G714">
        <f>Sheet1!K714</f>
        <v>32384</v>
      </c>
      <c r="H714">
        <f>Sheet1!N714</f>
        <v>5100.79</v>
      </c>
      <c r="I714">
        <f t="shared" si="14"/>
        <v>1</v>
      </c>
    </row>
    <row r="715" spans="1:9" x14ac:dyDescent="0.3">
      <c r="A715">
        <f>Sheet1!A715</f>
        <v>1714</v>
      </c>
      <c r="B715" t="str">
        <f>Sheet1!B715</f>
        <v>2025-07-22</v>
      </c>
      <c r="C715" t="str">
        <f>TEXT(Sheet1!B715,"YYYY-MM")</f>
        <v>2025-07</v>
      </c>
      <c r="D715" t="str">
        <f>Sheet1!D715</f>
        <v>Delhi</v>
      </c>
      <c r="E715" t="str">
        <f>Sheet1!F715</f>
        <v>Furniture</v>
      </c>
      <c r="F715" t="str">
        <f>Sheet1!H715</f>
        <v>Rahul</v>
      </c>
      <c r="G715">
        <f>Sheet1!K715</f>
        <v>45895.5</v>
      </c>
      <c r="H715">
        <f>Sheet1!N715</f>
        <v>7380.56</v>
      </c>
      <c r="I715">
        <f t="shared" si="14"/>
        <v>1</v>
      </c>
    </row>
    <row r="716" spans="1:9" x14ac:dyDescent="0.3">
      <c r="A716">
        <f>Sheet1!A716</f>
        <v>1715</v>
      </c>
      <c r="B716" t="str">
        <f>Sheet1!B716</f>
        <v>2025-07-22</v>
      </c>
      <c r="C716" t="str">
        <f>TEXT(Sheet1!B716,"YYYY-MM")</f>
        <v>2025-07</v>
      </c>
      <c r="D716" t="str">
        <f>Sheet1!D716</f>
        <v>Pune</v>
      </c>
      <c r="E716" t="str">
        <f>Sheet1!F716</f>
        <v>Clothing</v>
      </c>
      <c r="F716" t="str">
        <f>Sheet1!H716</f>
        <v>Ajay</v>
      </c>
      <c r="G716">
        <f>Sheet1!K716</f>
        <v>82144</v>
      </c>
      <c r="H716">
        <f>Sheet1!N716</f>
        <v>14624.02</v>
      </c>
      <c r="I716">
        <f t="shared" si="14"/>
        <v>1</v>
      </c>
    </row>
    <row r="717" spans="1:9" x14ac:dyDescent="0.3">
      <c r="A717">
        <f>Sheet1!A717</f>
        <v>1716</v>
      </c>
      <c r="B717" t="str">
        <f>Sheet1!B717</f>
        <v>2025-07-22</v>
      </c>
      <c r="C717" t="str">
        <f>TEXT(Sheet1!B717,"YYYY-MM")</f>
        <v>2025-07</v>
      </c>
      <c r="D717" t="str">
        <f>Sheet1!D717</f>
        <v>Delhi</v>
      </c>
      <c r="E717" t="str">
        <f>Sheet1!F717</f>
        <v>Electronics</v>
      </c>
      <c r="F717" t="str">
        <f>Sheet1!H717</f>
        <v>Rahul</v>
      </c>
      <c r="G717">
        <f>Sheet1!K717</f>
        <v>127696</v>
      </c>
      <c r="H717">
        <f>Sheet1!N717</f>
        <v>25913.16</v>
      </c>
      <c r="I717">
        <f t="shared" si="14"/>
        <v>1</v>
      </c>
    </row>
    <row r="718" spans="1:9" x14ac:dyDescent="0.3">
      <c r="A718">
        <f>Sheet1!A718</f>
        <v>1717</v>
      </c>
      <c r="B718" t="str">
        <f>Sheet1!B718</f>
        <v>2025-07-22</v>
      </c>
      <c r="C718" t="str">
        <f>TEXT(Sheet1!B718,"YYYY-MM")</f>
        <v>2025-07</v>
      </c>
      <c r="D718" t="str">
        <f>Sheet1!D718</f>
        <v>Mumbai</v>
      </c>
      <c r="E718" t="str">
        <f>Sheet1!F718</f>
        <v>Furniture</v>
      </c>
      <c r="F718" t="str">
        <f>Sheet1!H718</f>
        <v>Pooja</v>
      </c>
      <c r="G718">
        <f>Sheet1!K718</f>
        <v>62390</v>
      </c>
      <c r="H718">
        <f>Sheet1!N718</f>
        <v>11237.04</v>
      </c>
      <c r="I718">
        <f t="shared" si="14"/>
        <v>1</v>
      </c>
    </row>
    <row r="719" spans="1:9" x14ac:dyDescent="0.3">
      <c r="A719">
        <f>Sheet1!A719</f>
        <v>1718</v>
      </c>
      <c r="B719" t="str">
        <f>Sheet1!B719</f>
        <v>2025-07-23</v>
      </c>
      <c r="C719" t="str">
        <f>TEXT(Sheet1!B719,"YYYY-MM")</f>
        <v>2025-07</v>
      </c>
      <c r="D719" t="str">
        <f>Sheet1!D719</f>
        <v>Mumbai</v>
      </c>
      <c r="E719" t="str">
        <f>Sheet1!F719</f>
        <v>Clothing</v>
      </c>
      <c r="F719" t="str">
        <f>Sheet1!H719</f>
        <v>Ajay</v>
      </c>
      <c r="G719">
        <f>Sheet1!K719</f>
        <v>82058</v>
      </c>
      <c r="H719">
        <f>Sheet1!N719</f>
        <v>22050.2</v>
      </c>
      <c r="I719">
        <f t="shared" si="14"/>
        <v>1</v>
      </c>
    </row>
    <row r="720" spans="1:9" x14ac:dyDescent="0.3">
      <c r="A720">
        <f>Sheet1!A720</f>
        <v>1719</v>
      </c>
      <c r="B720" t="str">
        <f>Sheet1!B720</f>
        <v>2025-07-23</v>
      </c>
      <c r="C720" t="str">
        <f>TEXT(Sheet1!B720,"YYYY-MM")</f>
        <v>2025-07</v>
      </c>
      <c r="D720" t="str">
        <f>Sheet1!D720</f>
        <v>Delhi</v>
      </c>
      <c r="E720" t="str">
        <f>Sheet1!F720</f>
        <v>Clothing</v>
      </c>
      <c r="F720" t="str">
        <f>Sheet1!H720</f>
        <v>Rahul</v>
      </c>
      <c r="G720">
        <f>Sheet1!K720</f>
        <v>95696</v>
      </c>
      <c r="H720">
        <f>Sheet1!N720</f>
        <v>22818.34</v>
      </c>
      <c r="I720">
        <f t="shared" si="14"/>
        <v>1</v>
      </c>
    </row>
    <row r="721" spans="1:9" x14ac:dyDescent="0.3">
      <c r="A721">
        <f>Sheet1!A721</f>
        <v>1720</v>
      </c>
      <c r="B721" t="str">
        <f>Sheet1!B721</f>
        <v>2025-07-23</v>
      </c>
      <c r="C721" t="str">
        <f>TEXT(Sheet1!B721,"YYYY-MM")</f>
        <v>2025-07</v>
      </c>
      <c r="D721" t="str">
        <f>Sheet1!D721</f>
        <v>Bangalore</v>
      </c>
      <c r="E721" t="str">
        <f>Sheet1!F721</f>
        <v>Furniture</v>
      </c>
      <c r="F721" t="str">
        <f>Sheet1!H721</f>
        <v>Rahul</v>
      </c>
      <c r="G721">
        <f>Sheet1!K721</f>
        <v>206290.75</v>
      </c>
      <c r="H721">
        <f>Sheet1!N721</f>
        <v>51875.360000000001</v>
      </c>
      <c r="I721">
        <f t="shared" si="14"/>
        <v>1</v>
      </c>
    </row>
    <row r="722" spans="1:9" x14ac:dyDescent="0.3">
      <c r="A722">
        <f>Sheet1!A722</f>
        <v>1721</v>
      </c>
      <c r="B722" t="str">
        <f>Sheet1!B722</f>
        <v>2025-07-23</v>
      </c>
      <c r="C722" t="str">
        <f>TEXT(Sheet1!B722,"YYYY-MM")</f>
        <v>2025-07</v>
      </c>
      <c r="D722" t="str">
        <f>Sheet1!D722</f>
        <v>Hyderabad</v>
      </c>
      <c r="E722" t="str">
        <f>Sheet1!F722</f>
        <v>Clothing</v>
      </c>
      <c r="F722" t="str">
        <f>Sheet1!H722</f>
        <v>Pooja</v>
      </c>
      <c r="G722">
        <f>Sheet1!K722</f>
        <v>95864.5</v>
      </c>
      <c r="H722">
        <f>Sheet1!N722</f>
        <v>17676.73</v>
      </c>
      <c r="I722">
        <f t="shared" si="14"/>
        <v>1</v>
      </c>
    </row>
    <row r="723" spans="1:9" x14ac:dyDescent="0.3">
      <c r="A723">
        <f>Sheet1!A723</f>
        <v>1722</v>
      </c>
      <c r="B723" t="str">
        <f>Sheet1!B723</f>
        <v>2025-07-23</v>
      </c>
      <c r="C723" t="str">
        <f>TEXT(Sheet1!B723,"YYYY-MM")</f>
        <v>2025-07</v>
      </c>
      <c r="D723" t="str">
        <f>Sheet1!D723</f>
        <v>Hyderabad</v>
      </c>
      <c r="E723" t="str">
        <f>Sheet1!F723</f>
        <v>Furniture</v>
      </c>
      <c r="F723" t="str">
        <f>Sheet1!H723</f>
        <v>Pooja</v>
      </c>
      <c r="G723">
        <f>Sheet1!K723</f>
        <v>125989</v>
      </c>
      <c r="H723">
        <f>Sheet1!N723</f>
        <v>22669.4</v>
      </c>
      <c r="I723">
        <f t="shared" si="14"/>
        <v>1</v>
      </c>
    </row>
    <row r="724" spans="1:9" x14ac:dyDescent="0.3">
      <c r="A724">
        <f>Sheet1!A724</f>
        <v>1723</v>
      </c>
      <c r="B724" t="str">
        <f>Sheet1!B724</f>
        <v>2025-07-24</v>
      </c>
      <c r="C724" t="str">
        <f>TEXT(Sheet1!B724,"YYYY-MM")</f>
        <v>2025-07</v>
      </c>
      <c r="D724" t="str">
        <f>Sheet1!D724</f>
        <v>Bangalore</v>
      </c>
      <c r="E724" t="str">
        <f>Sheet1!F724</f>
        <v>Clothing</v>
      </c>
      <c r="F724" t="str">
        <f>Sheet1!H724</f>
        <v>Ajay</v>
      </c>
      <c r="G724">
        <f>Sheet1!K724</f>
        <v>50396</v>
      </c>
      <c r="H724">
        <f>Sheet1!N724</f>
        <v>12531.27</v>
      </c>
      <c r="I724">
        <f t="shared" si="14"/>
        <v>1</v>
      </c>
    </row>
    <row r="725" spans="1:9" x14ac:dyDescent="0.3">
      <c r="A725">
        <f>Sheet1!A725</f>
        <v>1724</v>
      </c>
      <c r="B725" t="str">
        <f>Sheet1!B725</f>
        <v>2025-07-24</v>
      </c>
      <c r="C725" t="str">
        <f>TEXT(Sheet1!B725,"YYYY-MM")</f>
        <v>2025-07</v>
      </c>
      <c r="D725" t="str">
        <f>Sheet1!D725</f>
        <v>Bangalore</v>
      </c>
      <c r="E725" t="str">
        <f>Sheet1!F725</f>
        <v>Clothing</v>
      </c>
      <c r="F725" t="str">
        <f>Sheet1!H725</f>
        <v>Ajay</v>
      </c>
      <c r="G725">
        <f>Sheet1!K725</f>
        <v>90534</v>
      </c>
      <c r="H725">
        <f>Sheet1!N725</f>
        <v>23552.05</v>
      </c>
      <c r="I725">
        <f t="shared" si="14"/>
        <v>1</v>
      </c>
    </row>
    <row r="726" spans="1:9" x14ac:dyDescent="0.3">
      <c r="A726">
        <f>Sheet1!A726</f>
        <v>1725</v>
      </c>
      <c r="B726" t="str">
        <f>Sheet1!B726</f>
        <v>2025-07-24</v>
      </c>
      <c r="C726" t="str">
        <f>TEXT(Sheet1!B726,"YYYY-MM")</f>
        <v>2025-07</v>
      </c>
      <c r="D726" t="str">
        <f>Sheet1!D726</f>
        <v>Pune</v>
      </c>
      <c r="E726" t="str">
        <f>Sheet1!F726</f>
        <v>Electronics</v>
      </c>
      <c r="F726" t="str">
        <f>Sheet1!H726</f>
        <v>Sneha</v>
      </c>
      <c r="G726">
        <f>Sheet1!K726</f>
        <v>221555</v>
      </c>
      <c r="H726">
        <f>Sheet1!N726</f>
        <v>44818.34</v>
      </c>
      <c r="I726">
        <f t="shared" si="14"/>
        <v>1</v>
      </c>
    </row>
    <row r="727" spans="1:9" x14ac:dyDescent="0.3">
      <c r="A727">
        <f>Sheet1!A727</f>
        <v>1726</v>
      </c>
      <c r="B727" t="str">
        <f>Sheet1!B727</f>
        <v>2025-07-24</v>
      </c>
      <c r="C727" t="str">
        <f>TEXT(Sheet1!B727,"YYYY-MM")</f>
        <v>2025-07</v>
      </c>
      <c r="D727" t="str">
        <f>Sheet1!D727</f>
        <v>Mumbai</v>
      </c>
      <c r="E727" t="str">
        <f>Sheet1!F727</f>
        <v>Electronics</v>
      </c>
      <c r="F727" t="str">
        <f>Sheet1!H727</f>
        <v>Pooja</v>
      </c>
      <c r="G727">
        <f>Sheet1!K727</f>
        <v>82144.800000000003</v>
      </c>
      <c r="H727">
        <f>Sheet1!N727</f>
        <v>16042.28</v>
      </c>
      <c r="I727">
        <f t="shared" si="14"/>
        <v>1</v>
      </c>
    </row>
    <row r="728" spans="1:9" x14ac:dyDescent="0.3">
      <c r="A728">
        <f>Sheet1!A728</f>
        <v>1727</v>
      </c>
      <c r="B728" t="str">
        <f>Sheet1!B728</f>
        <v>2025-07-25</v>
      </c>
      <c r="C728" t="str">
        <f>TEXT(Sheet1!B728,"YYYY-MM")</f>
        <v>2025-07</v>
      </c>
      <c r="D728" t="str">
        <f>Sheet1!D728</f>
        <v>Mumbai</v>
      </c>
      <c r="E728" t="str">
        <f>Sheet1!F728</f>
        <v>Furniture</v>
      </c>
      <c r="F728" t="str">
        <f>Sheet1!H728</f>
        <v>Pooja</v>
      </c>
      <c r="G728">
        <f>Sheet1!K728</f>
        <v>62126.2</v>
      </c>
      <c r="H728">
        <f>Sheet1!N728</f>
        <v>9104.67</v>
      </c>
      <c r="I728">
        <f t="shared" si="14"/>
        <v>1</v>
      </c>
    </row>
    <row r="729" spans="1:9" x14ac:dyDescent="0.3">
      <c r="A729">
        <f>Sheet1!A729</f>
        <v>1728</v>
      </c>
      <c r="B729" t="str">
        <f>Sheet1!B729</f>
        <v>2025-07-25</v>
      </c>
      <c r="C729" t="str">
        <f>TEXT(Sheet1!B729,"YYYY-MM")</f>
        <v>2025-07</v>
      </c>
      <c r="D729" t="str">
        <f>Sheet1!D729</f>
        <v>Bangalore</v>
      </c>
      <c r="E729" t="str">
        <f>Sheet1!F729</f>
        <v>Electronics</v>
      </c>
      <c r="F729" t="str">
        <f>Sheet1!H729</f>
        <v>Rahul</v>
      </c>
      <c r="G729">
        <f>Sheet1!K729</f>
        <v>130799.8</v>
      </c>
      <c r="H729">
        <f>Sheet1!N729</f>
        <v>13915.91</v>
      </c>
      <c r="I729">
        <f t="shared" si="14"/>
        <v>1</v>
      </c>
    </row>
    <row r="730" spans="1:9" x14ac:dyDescent="0.3">
      <c r="A730">
        <f>Sheet1!A730</f>
        <v>1729</v>
      </c>
      <c r="B730" t="str">
        <f>Sheet1!B730</f>
        <v>2025-07-25</v>
      </c>
      <c r="C730" t="str">
        <f>TEXT(Sheet1!B730,"YYYY-MM")</f>
        <v>2025-07</v>
      </c>
      <c r="D730" t="str">
        <f>Sheet1!D730</f>
        <v>Pune</v>
      </c>
      <c r="E730" t="str">
        <f>Sheet1!F730</f>
        <v>Clothing</v>
      </c>
      <c r="F730" t="str">
        <f>Sheet1!H730</f>
        <v>Sneha</v>
      </c>
      <c r="G730">
        <f>Sheet1!K730</f>
        <v>10978.2</v>
      </c>
      <c r="H730">
        <f>Sheet1!N730</f>
        <v>3224.14</v>
      </c>
      <c r="I730">
        <f t="shared" si="14"/>
        <v>1</v>
      </c>
    </row>
    <row r="731" spans="1:9" x14ac:dyDescent="0.3">
      <c r="A731">
        <f>Sheet1!A731</f>
        <v>1730</v>
      </c>
      <c r="B731" t="str">
        <f>Sheet1!B731</f>
        <v>2025-07-26</v>
      </c>
      <c r="C731" t="str">
        <f>TEXT(Sheet1!B731,"YYYY-MM")</f>
        <v>2025-07</v>
      </c>
      <c r="D731" t="str">
        <f>Sheet1!D731</f>
        <v>Delhi</v>
      </c>
      <c r="E731" t="str">
        <f>Sheet1!F731</f>
        <v>Furniture</v>
      </c>
      <c r="F731" t="str">
        <f>Sheet1!H731</f>
        <v>Rahul</v>
      </c>
      <c r="G731">
        <f>Sheet1!K731</f>
        <v>69394</v>
      </c>
      <c r="H731">
        <f>Sheet1!N731</f>
        <v>20009.009999999998</v>
      </c>
      <c r="I731">
        <f t="shared" si="14"/>
        <v>1</v>
      </c>
    </row>
    <row r="732" spans="1:9" x14ac:dyDescent="0.3">
      <c r="A732">
        <f>Sheet1!A732</f>
        <v>1731</v>
      </c>
      <c r="B732" t="str">
        <f>Sheet1!B732</f>
        <v>2025-07-26</v>
      </c>
      <c r="C732" t="str">
        <f>TEXT(Sheet1!B732,"YYYY-MM")</f>
        <v>2025-07</v>
      </c>
      <c r="D732" t="str">
        <f>Sheet1!D732</f>
        <v>Pune</v>
      </c>
      <c r="E732" t="str">
        <f>Sheet1!F732</f>
        <v>Electronics</v>
      </c>
      <c r="F732" t="str">
        <f>Sheet1!H732</f>
        <v>Pooja</v>
      </c>
      <c r="G732">
        <f>Sheet1!K732</f>
        <v>122092</v>
      </c>
      <c r="H732">
        <f>Sheet1!N732</f>
        <v>17031.560000000001</v>
      </c>
      <c r="I732">
        <f t="shared" si="14"/>
        <v>1</v>
      </c>
    </row>
    <row r="733" spans="1:9" x14ac:dyDescent="0.3">
      <c r="A733">
        <f>Sheet1!A733</f>
        <v>1732</v>
      </c>
      <c r="B733" t="str">
        <f>Sheet1!B733</f>
        <v>2025-07-27</v>
      </c>
      <c r="C733" t="str">
        <f>TEXT(Sheet1!B733,"YYYY-MM")</f>
        <v>2025-07</v>
      </c>
      <c r="D733" t="str">
        <f>Sheet1!D733</f>
        <v>Delhi</v>
      </c>
      <c r="E733" t="str">
        <f>Sheet1!F733</f>
        <v>Electronics</v>
      </c>
      <c r="F733" t="str">
        <f>Sheet1!H733</f>
        <v>Ajay</v>
      </c>
      <c r="G733">
        <f>Sheet1!K733</f>
        <v>10053.799999999999</v>
      </c>
      <c r="H733">
        <f>Sheet1!N733</f>
        <v>2824.75</v>
      </c>
      <c r="I733">
        <f t="shared" si="14"/>
        <v>1</v>
      </c>
    </row>
    <row r="734" spans="1:9" x14ac:dyDescent="0.3">
      <c r="A734">
        <f>Sheet1!A734</f>
        <v>1733</v>
      </c>
      <c r="B734" t="str">
        <f>Sheet1!B734</f>
        <v>2025-07-27</v>
      </c>
      <c r="C734" t="str">
        <f>TEXT(Sheet1!B734,"YYYY-MM")</f>
        <v>2025-07</v>
      </c>
      <c r="D734" t="str">
        <f>Sheet1!D734</f>
        <v>Hyderabad</v>
      </c>
      <c r="E734" t="str">
        <f>Sheet1!F734</f>
        <v>Furniture</v>
      </c>
      <c r="F734" t="str">
        <f>Sheet1!H734</f>
        <v>Pooja</v>
      </c>
      <c r="G734">
        <f>Sheet1!K734</f>
        <v>42111.55</v>
      </c>
      <c r="H734">
        <f>Sheet1!N734</f>
        <v>5217.59</v>
      </c>
      <c r="I734">
        <f t="shared" si="14"/>
        <v>1</v>
      </c>
    </row>
    <row r="735" spans="1:9" x14ac:dyDescent="0.3">
      <c r="A735">
        <f>Sheet1!A735</f>
        <v>1734</v>
      </c>
      <c r="B735" t="str">
        <f>Sheet1!B735</f>
        <v>2025-07-28</v>
      </c>
      <c r="C735" t="str">
        <f>TEXT(Sheet1!B735,"YYYY-MM")</f>
        <v>2025-07</v>
      </c>
      <c r="D735" t="str">
        <f>Sheet1!D735</f>
        <v>Pune</v>
      </c>
      <c r="E735" t="str">
        <f>Sheet1!F735</f>
        <v>Clothing</v>
      </c>
      <c r="F735" t="str">
        <f>Sheet1!H735</f>
        <v>Sneha</v>
      </c>
      <c r="G735">
        <f>Sheet1!K735</f>
        <v>58804</v>
      </c>
      <c r="H735">
        <f>Sheet1!N735</f>
        <v>10243.200000000001</v>
      </c>
      <c r="I735">
        <f t="shared" si="14"/>
        <v>1</v>
      </c>
    </row>
    <row r="736" spans="1:9" x14ac:dyDescent="0.3">
      <c r="A736">
        <f>Sheet1!A736</f>
        <v>1735</v>
      </c>
      <c r="B736" t="str">
        <f>Sheet1!B736</f>
        <v>2025-07-28</v>
      </c>
      <c r="C736" t="str">
        <f>TEXT(Sheet1!B736,"YYYY-MM")</f>
        <v>2025-07</v>
      </c>
      <c r="D736" t="str">
        <f>Sheet1!D736</f>
        <v>Bangalore</v>
      </c>
      <c r="E736" t="str">
        <f>Sheet1!F736</f>
        <v>Furniture</v>
      </c>
      <c r="F736" t="str">
        <f>Sheet1!H736</f>
        <v>Pooja</v>
      </c>
      <c r="G736">
        <f>Sheet1!K736</f>
        <v>4271.2</v>
      </c>
      <c r="H736">
        <f>Sheet1!N736</f>
        <v>1193.93</v>
      </c>
      <c r="I736">
        <f t="shared" si="14"/>
        <v>1</v>
      </c>
    </row>
    <row r="737" spans="1:9" x14ac:dyDescent="0.3">
      <c r="A737">
        <f>Sheet1!A737</f>
        <v>1736</v>
      </c>
      <c r="B737" t="str">
        <f>Sheet1!B737</f>
        <v>2025-07-28</v>
      </c>
      <c r="C737" t="str">
        <f>TEXT(Sheet1!B737,"YYYY-MM")</f>
        <v>2025-07</v>
      </c>
      <c r="D737" t="str">
        <f>Sheet1!D737</f>
        <v>Hyderabad</v>
      </c>
      <c r="E737" t="str">
        <f>Sheet1!F737</f>
        <v>Furniture</v>
      </c>
      <c r="F737" t="str">
        <f>Sheet1!H737</f>
        <v>Pooja</v>
      </c>
      <c r="G737">
        <f>Sheet1!K737</f>
        <v>51629</v>
      </c>
      <c r="H737">
        <f>Sheet1!N737</f>
        <v>9599.08</v>
      </c>
      <c r="I737">
        <f t="shared" si="14"/>
        <v>1</v>
      </c>
    </row>
    <row r="738" spans="1:9" x14ac:dyDescent="0.3">
      <c r="A738">
        <f>Sheet1!A738</f>
        <v>1737</v>
      </c>
      <c r="B738" t="str">
        <f>Sheet1!B738</f>
        <v>2025-07-28</v>
      </c>
      <c r="C738" t="str">
        <f>TEXT(Sheet1!B738,"YYYY-MM")</f>
        <v>2025-07</v>
      </c>
      <c r="D738" t="str">
        <f>Sheet1!D738</f>
        <v>Bangalore</v>
      </c>
      <c r="E738" t="str">
        <f>Sheet1!F738</f>
        <v>Electronics</v>
      </c>
      <c r="F738" t="str">
        <f>Sheet1!H738</f>
        <v>Ajay</v>
      </c>
      <c r="G738">
        <f>Sheet1!K738</f>
        <v>88581.6</v>
      </c>
      <c r="H738">
        <f>Sheet1!N738</f>
        <v>11959.82</v>
      </c>
      <c r="I738">
        <f t="shared" si="14"/>
        <v>1</v>
      </c>
    </row>
    <row r="739" spans="1:9" x14ac:dyDescent="0.3">
      <c r="A739">
        <f>Sheet1!A739</f>
        <v>1738</v>
      </c>
      <c r="B739" t="str">
        <f>Sheet1!B739</f>
        <v>2025-07-29</v>
      </c>
      <c r="C739" t="str">
        <f>TEXT(Sheet1!B739,"YYYY-MM")</f>
        <v>2025-07</v>
      </c>
      <c r="D739" t="str">
        <f>Sheet1!D739</f>
        <v>Mumbai</v>
      </c>
      <c r="E739" t="str">
        <f>Sheet1!F739</f>
        <v>Clothing</v>
      </c>
      <c r="F739" t="str">
        <f>Sheet1!H739</f>
        <v>Pooja</v>
      </c>
      <c r="G739">
        <f>Sheet1!K739</f>
        <v>48528</v>
      </c>
      <c r="H739">
        <f>Sheet1!N739</f>
        <v>10389.35</v>
      </c>
      <c r="I739">
        <f t="shared" si="14"/>
        <v>1</v>
      </c>
    </row>
    <row r="740" spans="1:9" x14ac:dyDescent="0.3">
      <c r="A740">
        <f>Sheet1!A740</f>
        <v>1739</v>
      </c>
      <c r="B740" t="str">
        <f>Sheet1!B740</f>
        <v>2025-07-29</v>
      </c>
      <c r="C740" t="str">
        <f>TEXT(Sheet1!B740,"YYYY-MM")</f>
        <v>2025-07</v>
      </c>
      <c r="D740" t="str">
        <f>Sheet1!D740</f>
        <v>Hyderabad</v>
      </c>
      <c r="E740" t="str">
        <f>Sheet1!F740</f>
        <v>Electronics</v>
      </c>
      <c r="F740" t="str">
        <f>Sheet1!H740</f>
        <v>Sneha</v>
      </c>
      <c r="G740">
        <f>Sheet1!K740</f>
        <v>15308</v>
      </c>
      <c r="H740">
        <f>Sheet1!N740</f>
        <v>3896.23</v>
      </c>
      <c r="I740">
        <f t="shared" si="14"/>
        <v>1</v>
      </c>
    </row>
    <row r="741" spans="1:9" x14ac:dyDescent="0.3">
      <c r="A741">
        <f>Sheet1!A741</f>
        <v>1740</v>
      </c>
      <c r="B741" t="str">
        <f>Sheet1!B741</f>
        <v>2025-07-29</v>
      </c>
      <c r="C741" t="str">
        <f>TEXT(Sheet1!B741,"YYYY-MM")</f>
        <v>2025-07</v>
      </c>
      <c r="D741" t="str">
        <f>Sheet1!D741</f>
        <v>Mumbai</v>
      </c>
      <c r="E741" t="str">
        <f>Sheet1!F741</f>
        <v>Furniture</v>
      </c>
      <c r="F741" t="str">
        <f>Sheet1!H741</f>
        <v>Ajay</v>
      </c>
      <c r="G741">
        <f>Sheet1!K741</f>
        <v>91332.5</v>
      </c>
      <c r="H741">
        <f>Sheet1!N741</f>
        <v>16744.259999999998</v>
      </c>
      <c r="I741">
        <f t="shared" si="14"/>
        <v>1</v>
      </c>
    </row>
    <row r="742" spans="1:9" x14ac:dyDescent="0.3">
      <c r="A742">
        <f>Sheet1!A742</f>
        <v>1741</v>
      </c>
      <c r="B742" t="str">
        <f>Sheet1!B742</f>
        <v>2025-07-29</v>
      </c>
      <c r="C742" t="str">
        <f>TEXT(Sheet1!B742,"YYYY-MM")</f>
        <v>2025-07</v>
      </c>
      <c r="D742" t="str">
        <f>Sheet1!D742</f>
        <v>Pune</v>
      </c>
      <c r="E742" t="str">
        <f>Sheet1!F742</f>
        <v>Electronics</v>
      </c>
      <c r="F742" t="str">
        <f>Sheet1!H742</f>
        <v>Sneha</v>
      </c>
      <c r="G742">
        <f>Sheet1!K742</f>
        <v>133756</v>
      </c>
      <c r="H742">
        <f>Sheet1!N742</f>
        <v>37932.89</v>
      </c>
      <c r="I742">
        <f t="shared" si="14"/>
        <v>1</v>
      </c>
    </row>
    <row r="743" spans="1:9" x14ac:dyDescent="0.3">
      <c r="A743">
        <f>Sheet1!A743</f>
        <v>1742</v>
      </c>
      <c r="B743" t="str">
        <f>Sheet1!B743</f>
        <v>2025-07-29</v>
      </c>
      <c r="C743" t="str">
        <f>TEXT(Sheet1!B743,"YYYY-MM")</f>
        <v>2025-07</v>
      </c>
      <c r="D743" t="str">
        <f>Sheet1!D743</f>
        <v>Bangalore</v>
      </c>
      <c r="E743" t="str">
        <f>Sheet1!F743</f>
        <v>Electronics</v>
      </c>
      <c r="F743" t="str">
        <f>Sheet1!H743</f>
        <v>Rahul</v>
      </c>
      <c r="G743">
        <f>Sheet1!K743</f>
        <v>188627.75</v>
      </c>
      <c r="H743">
        <f>Sheet1!N743</f>
        <v>28496</v>
      </c>
      <c r="I743">
        <f t="shared" si="14"/>
        <v>1</v>
      </c>
    </row>
    <row r="744" spans="1:9" x14ac:dyDescent="0.3">
      <c r="A744">
        <f>Sheet1!A744</f>
        <v>1743</v>
      </c>
      <c r="B744" t="str">
        <f>Sheet1!B744</f>
        <v>2025-07-30</v>
      </c>
      <c r="C744" t="str">
        <f>TEXT(Sheet1!B744,"YYYY-MM")</f>
        <v>2025-07</v>
      </c>
      <c r="D744" t="str">
        <f>Sheet1!D744</f>
        <v>Pune</v>
      </c>
      <c r="E744" t="str">
        <f>Sheet1!F744</f>
        <v>Clothing</v>
      </c>
      <c r="F744" t="str">
        <f>Sheet1!H744</f>
        <v>Rahul</v>
      </c>
      <c r="G744">
        <f>Sheet1!K744</f>
        <v>82591.100000000006</v>
      </c>
      <c r="H744">
        <f>Sheet1!N744</f>
        <v>8402.3799999999992</v>
      </c>
      <c r="I744">
        <f t="shared" si="14"/>
        <v>1</v>
      </c>
    </row>
    <row r="745" spans="1:9" x14ac:dyDescent="0.3">
      <c r="A745">
        <f>Sheet1!A745</f>
        <v>1744</v>
      </c>
      <c r="B745" t="str">
        <f>Sheet1!B745</f>
        <v>2025-07-30</v>
      </c>
      <c r="C745" t="str">
        <f>TEXT(Sheet1!B745,"YYYY-MM")</f>
        <v>2025-07</v>
      </c>
      <c r="D745" t="str">
        <f>Sheet1!D745</f>
        <v>Hyderabad</v>
      </c>
      <c r="E745" t="str">
        <f>Sheet1!F745</f>
        <v>Electronics</v>
      </c>
      <c r="F745" t="str">
        <f>Sheet1!H745</f>
        <v>Sneha</v>
      </c>
      <c r="G745">
        <f>Sheet1!K745</f>
        <v>211641</v>
      </c>
      <c r="H745">
        <f>Sheet1!N745</f>
        <v>22341.02</v>
      </c>
      <c r="I745">
        <f t="shared" si="14"/>
        <v>1</v>
      </c>
    </row>
    <row r="746" spans="1:9" x14ac:dyDescent="0.3">
      <c r="A746">
        <f>Sheet1!A746</f>
        <v>1745</v>
      </c>
      <c r="B746" t="str">
        <f>Sheet1!B746</f>
        <v>2025-07-31</v>
      </c>
      <c r="C746" t="str">
        <f>TEXT(Sheet1!B746,"YYYY-MM")</f>
        <v>2025-07</v>
      </c>
      <c r="D746" t="str">
        <f>Sheet1!D746</f>
        <v>Mumbai</v>
      </c>
      <c r="E746" t="str">
        <f>Sheet1!F746</f>
        <v>Furniture</v>
      </c>
      <c r="F746" t="str">
        <f>Sheet1!H746</f>
        <v>Ajay</v>
      </c>
      <c r="G746">
        <f>Sheet1!K746</f>
        <v>3636</v>
      </c>
      <c r="H746">
        <f>Sheet1!N746</f>
        <v>972.21</v>
      </c>
      <c r="I746">
        <f t="shared" si="14"/>
        <v>1</v>
      </c>
    </row>
    <row r="747" spans="1:9" x14ac:dyDescent="0.3">
      <c r="A747">
        <f>Sheet1!A747</f>
        <v>1746</v>
      </c>
      <c r="B747" t="str">
        <f>Sheet1!B747</f>
        <v>2025-07-31</v>
      </c>
      <c r="C747" t="str">
        <f>TEXT(Sheet1!B747,"YYYY-MM")</f>
        <v>2025-07</v>
      </c>
      <c r="D747" t="str">
        <f>Sheet1!D747</f>
        <v>Delhi</v>
      </c>
      <c r="E747" t="str">
        <f>Sheet1!F747</f>
        <v>Furniture</v>
      </c>
      <c r="F747" t="str">
        <f>Sheet1!H747</f>
        <v>Pooja</v>
      </c>
      <c r="G747">
        <f>Sheet1!K747</f>
        <v>120067.6</v>
      </c>
      <c r="H747">
        <f>Sheet1!N747</f>
        <v>21401.61</v>
      </c>
      <c r="I747">
        <f t="shared" si="14"/>
        <v>1</v>
      </c>
    </row>
    <row r="748" spans="1:9" x14ac:dyDescent="0.3">
      <c r="A748">
        <f>Sheet1!A748</f>
        <v>1747</v>
      </c>
      <c r="B748" t="str">
        <f>Sheet1!B748</f>
        <v>2025-08-01</v>
      </c>
      <c r="C748" t="str">
        <f>TEXT(Sheet1!B748,"YYYY-MM")</f>
        <v>2025-08</v>
      </c>
      <c r="D748" t="str">
        <f>Sheet1!D748</f>
        <v>Pune</v>
      </c>
      <c r="E748" t="str">
        <f>Sheet1!F748</f>
        <v>Electronics</v>
      </c>
      <c r="F748" t="str">
        <f>Sheet1!H748</f>
        <v>Pooja</v>
      </c>
      <c r="G748">
        <f>Sheet1!K748</f>
        <v>24563.200000000001</v>
      </c>
      <c r="H748">
        <f>Sheet1!N748</f>
        <v>2697.36</v>
      </c>
      <c r="I748">
        <f t="shared" si="14"/>
        <v>1</v>
      </c>
    </row>
    <row r="749" spans="1:9" x14ac:dyDescent="0.3">
      <c r="A749">
        <f>Sheet1!A749</f>
        <v>1748</v>
      </c>
      <c r="B749" t="str">
        <f>Sheet1!B749</f>
        <v>2025-08-01</v>
      </c>
      <c r="C749" t="str">
        <f>TEXT(Sheet1!B749,"YYYY-MM")</f>
        <v>2025-08</v>
      </c>
      <c r="D749" t="str">
        <f>Sheet1!D749</f>
        <v>Delhi</v>
      </c>
      <c r="E749" t="str">
        <f>Sheet1!F749</f>
        <v>Furniture</v>
      </c>
      <c r="F749" t="str">
        <f>Sheet1!H749</f>
        <v>Rahul</v>
      </c>
      <c r="G749">
        <f>Sheet1!K749</f>
        <v>122026</v>
      </c>
      <c r="H749">
        <f>Sheet1!N749</f>
        <v>35855.519999999997</v>
      </c>
      <c r="I749">
        <f t="shared" si="14"/>
        <v>1</v>
      </c>
    </row>
    <row r="750" spans="1:9" x14ac:dyDescent="0.3">
      <c r="A750">
        <f>Sheet1!A750</f>
        <v>1749</v>
      </c>
      <c r="B750" t="str">
        <f>Sheet1!B750</f>
        <v>2025-08-01</v>
      </c>
      <c r="C750" t="str">
        <f>TEXT(Sheet1!B750,"YYYY-MM")</f>
        <v>2025-08</v>
      </c>
      <c r="D750" t="str">
        <f>Sheet1!D750</f>
        <v>Pune</v>
      </c>
      <c r="E750" t="str">
        <f>Sheet1!F750</f>
        <v>Electronics</v>
      </c>
      <c r="F750" t="str">
        <f>Sheet1!H750</f>
        <v>Sneha</v>
      </c>
      <c r="G750">
        <f>Sheet1!K750</f>
        <v>11412.1</v>
      </c>
      <c r="H750">
        <f>Sheet1!N750</f>
        <v>3243.32</v>
      </c>
      <c r="I750">
        <f t="shared" si="14"/>
        <v>1</v>
      </c>
    </row>
    <row r="751" spans="1:9" x14ac:dyDescent="0.3">
      <c r="A751">
        <f>Sheet1!A751</f>
        <v>1750</v>
      </c>
      <c r="B751" t="str">
        <f>Sheet1!B751</f>
        <v>2025-08-01</v>
      </c>
      <c r="C751" t="str">
        <f>TEXT(Sheet1!B751,"YYYY-MM")</f>
        <v>2025-08</v>
      </c>
      <c r="D751" t="str">
        <f>Sheet1!D751</f>
        <v>Delhi</v>
      </c>
      <c r="E751" t="str">
        <f>Sheet1!F751</f>
        <v>Electronics</v>
      </c>
      <c r="F751" t="str">
        <f>Sheet1!H751</f>
        <v>Rahul</v>
      </c>
      <c r="G751">
        <f>Sheet1!K751</f>
        <v>66840</v>
      </c>
      <c r="H751">
        <f>Sheet1!N751</f>
        <v>16739.23</v>
      </c>
      <c r="I751">
        <f t="shared" si="14"/>
        <v>1</v>
      </c>
    </row>
    <row r="752" spans="1:9" x14ac:dyDescent="0.3">
      <c r="A752">
        <f>Sheet1!A752</f>
        <v>1751</v>
      </c>
      <c r="B752" t="str">
        <f>Sheet1!B752</f>
        <v>2025-08-01</v>
      </c>
      <c r="C752" t="str">
        <f>TEXT(Sheet1!B752,"YYYY-MM")</f>
        <v>2025-08</v>
      </c>
      <c r="D752" t="str">
        <f>Sheet1!D752</f>
        <v>Hyderabad</v>
      </c>
      <c r="E752" t="str">
        <f>Sheet1!F752</f>
        <v>Clothing</v>
      </c>
      <c r="F752" t="str">
        <f>Sheet1!H752</f>
        <v>Pooja</v>
      </c>
      <c r="G752">
        <f>Sheet1!K752</f>
        <v>22196.7</v>
      </c>
      <c r="H752">
        <f>Sheet1!N752</f>
        <v>4131.5200000000004</v>
      </c>
      <c r="I752">
        <f t="shared" si="14"/>
        <v>1</v>
      </c>
    </row>
    <row r="753" spans="1:9" x14ac:dyDescent="0.3">
      <c r="A753">
        <f>Sheet1!A753</f>
        <v>1752</v>
      </c>
      <c r="B753" t="str">
        <f>Sheet1!B753</f>
        <v>2025-08-02</v>
      </c>
      <c r="C753" t="str">
        <f>TEXT(Sheet1!B753,"YYYY-MM")</f>
        <v>2025-08</v>
      </c>
      <c r="D753" t="str">
        <f>Sheet1!D753</f>
        <v>Bangalore</v>
      </c>
      <c r="E753" t="str">
        <f>Sheet1!F753</f>
        <v>Electronics</v>
      </c>
      <c r="F753" t="str">
        <f>Sheet1!H753</f>
        <v>Ajay</v>
      </c>
      <c r="G753">
        <f>Sheet1!K753</f>
        <v>1629</v>
      </c>
      <c r="H753">
        <f>Sheet1!N753</f>
        <v>411.83</v>
      </c>
      <c r="I753">
        <f t="shared" si="14"/>
        <v>1</v>
      </c>
    </row>
    <row r="754" spans="1:9" x14ac:dyDescent="0.3">
      <c r="A754">
        <f>Sheet1!A754</f>
        <v>1753</v>
      </c>
      <c r="B754" t="str">
        <f>Sheet1!B754</f>
        <v>2025-08-02</v>
      </c>
      <c r="C754" t="str">
        <f>TEXT(Sheet1!B754,"YYYY-MM")</f>
        <v>2025-08</v>
      </c>
      <c r="D754" t="str">
        <f>Sheet1!D754</f>
        <v>Hyderabad</v>
      </c>
      <c r="E754" t="str">
        <f>Sheet1!F754</f>
        <v>Clothing</v>
      </c>
      <c r="F754" t="str">
        <f>Sheet1!H754</f>
        <v>Sneha</v>
      </c>
      <c r="G754">
        <f>Sheet1!K754</f>
        <v>165011.20000000001</v>
      </c>
      <c r="H754">
        <f>Sheet1!N754</f>
        <v>31517.52</v>
      </c>
      <c r="I754">
        <f t="shared" si="14"/>
        <v>1</v>
      </c>
    </row>
    <row r="755" spans="1:9" x14ac:dyDescent="0.3">
      <c r="A755">
        <f>Sheet1!A755</f>
        <v>1754</v>
      </c>
      <c r="B755" t="str">
        <f>Sheet1!B755</f>
        <v>2025-08-03</v>
      </c>
      <c r="C755" t="str">
        <f>TEXT(Sheet1!B755,"YYYY-MM")</f>
        <v>2025-08</v>
      </c>
      <c r="D755" t="str">
        <f>Sheet1!D755</f>
        <v>Hyderabad</v>
      </c>
      <c r="E755" t="str">
        <f>Sheet1!F755</f>
        <v>Clothing</v>
      </c>
      <c r="F755" t="str">
        <f>Sheet1!H755</f>
        <v>Rahul</v>
      </c>
      <c r="G755">
        <f>Sheet1!K755</f>
        <v>126906</v>
      </c>
      <c r="H755">
        <f>Sheet1!N755</f>
        <v>31703.41</v>
      </c>
      <c r="I755">
        <f t="shared" si="14"/>
        <v>1</v>
      </c>
    </row>
    <row r="756" spans="1:9" x14ac:dyDescent="0.3">
      <c r="A756">
        <f>Sheet1!A756</f>
        <v>1755</v>
      </c>
      <c r="B756" t="str">
        <f>Sheet1!B756</f>
        <v>2025-08-03</v>
      </c>
      <c r="C756" t="str">
        <f>TEXT(Sheet1!B756,"YYYY-MM")</f>
        <v>2025-08</v>
      </c>
      <c r="D756" t="str">
        <f>Sheet1!D756</f>
        <v>Pune</v>
      </c>
      <c r="E756" t="str">
        <f>Sheet1!F756</f>
        <v>Furniture</v>
      </c>
      <c r="F756" t="str">
        <f>Sheet1!H756</f>
        <v>Rahul</v>
      </c>
      <c r="G756">
        <f>Sheet1!K756</f>
        <v>80454.2</v>
      </c>
      <c r="H756">
        <f>Sheet1!N756</f>
        <v>20919.150000000001</v>
      </c>
      <c r="I756">
        <f t="shared" si="14"/>
        <v>1</v>
      </c>
    </row>
    <row r="757" spans="1:9" x14ac:dyDescent="0.3">
      <c r="A757">
        <f>Sheet1!A757</f>
        <v>1756</v>
      </c>
      <c r="B757" t="str">
        <f>Sheet1!B757</f>
        <v>2025-08-03</v>
      </c>
      <c r="C757" t="str">
        <f>TEXT(Sheet1!B757,"YYYY-MM")</f>
        <v>2025-08</v>
      </c>
      <c r="D757" t="str">
        <f>Sheet1!D757</f>
        <v>Mumbai</v>
      </c>
      <c r="E757" t="str">
        <f>Sheet1!F757</f>
        <v>Clothing</v>
      </c>
      <c r="F757" t="str">
        <f>Sheet1!H757</f>
        <v>Sneha</v>
      </c>
      <c r="G757">
        <f>Sheet1!K757</f>
        <v>27844.5</v>
      </c>
      <c r="H757">
        <f>Sheet1!N757</f>
        <v>4071.01</v>
      </c>
      <c r="I757">
        <f t="shared" si="14"/>
        <v>1</v>
      </c>
    </row>
    <row r="758" spans="1:9" x14ac:dyDescent="0.3">
      <c r="A758">
        <f>Sheet1!A758</f>
        <v>1757</v>
      </c>
      <c r="B758" t="str">
        <f>Sheet1!B758</f>
        <v>2025-08-04</v>
      </c>
      <c r="C758" t="str">
        <f>TEXT(Sheet1!B758,"YYYY-MM")</f>
        <v>2025-08</v>
      </c>
      <c r="D758" t="str">
        <f>Sheet1!D758</f>
        <v>Mumbai</v>
      </c>
      <c r="E758" t="str">
        <f>Sheet1!F758</f>
        <v>Furniture</v>
      </c>
      <c r="F758" t="str">
        <f>Sheet1!H758</f>
        <v>Pooja</v>
      </c>
      <c r="G758">
        <f>Sheet1!K758</f>
        <v>229453.5</v>
      </c>
      <c r="H758">
        <f>Sheet1!N758</f>
        <v>62505.19</v>
      </c>
      <c r="I758">
        <f t="shared" si="14"/>
        <v>1</v>
      </c>
    </row>
    <row r="759" spans="1:9" x14ac:dyDescent="0.3">
      <c r="A759">
        <f>Sheet1!A759</f>
        <v>1758</v>
      </c>
      <c r="B759" t="str">
        <f>Sheet1!B759</f>
        <v>2025-08-04</v>
      </c>
      <c r="C759" t="str">
        <f>TEXT(Sheet1!B759,"YYYY-MM")</f>
        <v>2025-08</v>
      </c>
      <c r="D759" t="str">
        <f>Sheet1!D759</f>
        <v>Pune</v>
      </c>
      <c r="E759" t="str">
        <f>Sheet1!F759</f>
        <v>Clothing</v>
      </c>
      <c r="F759" t="str">
        <f>Sheet1!H759</f>
        <v>Sneha</v>
      </c>
      <c r="G759">
        <f>Sheet1!K759</f>
        <v>103524</v>
      </c>
      <c r="H759">
        <f>Sheet1!N759</f>
        <v>10803.62</v>
      </c>
      <c r="I759">
        <f t="shared" si="14"/>
        <v>1</v>
      </c>
    </row>
    <row r="760" spans="1:9" x14ac:dyDescent="0.3">
      <c r="A760">
        <f>Sheet1!A760</f>
        <v>1759</v>
      </c>
      <c r="B760" t="str">
        <f>Sheet1!B760</f>
        <v>2025-08-04</v>
      </c>
      <c r="C760" t="str">
        <f>TEXT(Sheet1!B760,"YYYY-MM")</f>
        <v>2025-08</v>
      </c>
      <c r="D760" t="str">
        <f>Sheet1!D760</f>
        <v>Bangalore</v>
      </c>
      <c r="E760" t="str">
        <f>Sheet1!F760</f>
        <v>Furniture</v>
      </c>
      <c r="F760" t="str">
        <f>Sheet1!H760</f>
        <v>Ajay</v>
      </c>
      <c r="G760">
        <f>Sheet1!K760</f>
        <v>96497.1</v>
      </c>
      <c r="H760">
        <f>Sheet1!N760</f>
        <v>18315.25</v>
      </c>
      <c r="I760">
        <f t="shared" si="14"/>
        <v>1</v>
      </c>
    </row>
    <row r="761" spans="1:9" x14ac:dyDescent="0.3">
      <c r="A761">
        <f>Sheet1!A761</f>
        <v>1760</v>
      </c>
      <c r="B761" t="str">
        <f>Sheet1!B761</f>
        <v>2025-08-05</v>
      </c>
      <c r="C761" t="str">
        <f>TEXT(Sheet1!B761,"YYYY-MM")</f>
        <v>2025-08</v>
      </c>
      <c r="D761" t="str">
        <f>Sheet1!D761</f>
        <v>Pune</v>
      </c>
      <c r="E761" t="str">
        <f>Sheet1!F761</f>
        <v>Furniture</v>
      </c>
      <c r="F761" t="str">
        <f>Sheet1!H761</f>
        <v>Ajay</v>
      </c>
      <c r="G761">
        <f>Sheet1!K761</f>
        <v>132267.6</v>
      </c>
      <c r="H761">
        <f>Sheet1!N761</f>
        <v>21622.13</v>
      </c>
      <c r="I761">
        <f t="shared" si="14"/>
        <v>1</v>
      </c>
    </row>
    <row r="762" spans="1:9" x14ac:dyDescent="0.3">
      <c r="A762">
        <f>Sheet1!A762</f>
        <v>1761</v>
      </c>
      <c r="B762" t="str">
        <f>Sheet1!B762</f>
        <v>2025-08-05</v>
      </c>
      <c r="C762" t="str">
        <f>TEXT(Sheet1!B762,"YYYY-MM")</f>
        <v>2025-08</v>
      </c>
      <c r="D762" t="str">
        <f>Sheet1!D762</f>
        <v>Hyderabad</v>
      </c>
      <c r="E762" t="str">
        <f>Sheet1!F762</f>
        <v>Electronics</v>
      </c>
      <c r="F762" t="str">
        <f>Sheet1!H762</f>
        <v>Sneha</v>
      </c>
      <c r="G762">
        <f>Sheet1!K762</f>
        <v>6370.2</v>
      </c>
      <c r="H762">
        <f>Sheet1!N762</f>
        <v>1259.6400000000001</v>
      </c>
      <c r="I762">
        <f t="shared" si="14"/>
        <v>1</v>
      </c>
    </row>
    <row r="763" spans="1:9" x14ac:dyDescent="0.3">
      <c r="A763">
        <f>Sheet1!A763</f>
        <v>1762</v>
      </c>
      <c r="B763" t="str">
        <f>Sheet1!B763</f>
        <v>2025-08-05</v>
      </c>
      <c r="C763" t="str">
        <f>TEXT(Sheet1!B763,"YYYY-MM")</f>
        <v>2025-08</v>
      </c>
      <c r="D763" t="str">
        <f>Sheet1!D763</f>
        <v>Hyderabad</v>
      </c>
      <c r="E763" t="str">
        <f>Sheet1!F763</f>
        <v>Clothing</v>
      </c>
      <c r="F763" t="str">
        <f>Sheet1!H763</f>
        <v>Ajay</v>
      </c>
      <c r="G763">
        <f>Sheet1!K763</f>
        <v>100931.8</v>
      </c>
      <c r="H763">
        <f>Sheet1!N763</f>
        <v>25389.77</v>
      </c>
      <c r="I763">
        <f t="shared" si="14"/>
        <v>1</v>
      </c>
    </row>
    <row r="764" spans="1:9" x14ac:dyDescent="0.3">
      <c r="A764">
        <f>Sheet1!A764</f>
        <v>1763</v>
      </c>
      <c r="B764" t="str">
        <f>Sheet1!B764</f>
        <v>2025-08-06</v>
      </c>
      <c r="C764" t="str">
        <f>TEXT(Sheet1!B764,"YYYY-MM")</f>
        <v>2025-08</v>
      </c>
      <c r="D764" t="str">
        <f>Sheet1!D764</f>
        <v>Mumbai</v>
      </c>
      <c r="E764" t="str">
        <f>Sheet1!F764</f>
        <v>Clothing</v>
      </c>
      <c r="F764" t="str">
        <f>Sheet1!H764</f>
        <v>Pooja</v>
      </c>
      <c r="G764">
        <f>Sheet1!K764</f>
        <v>81200</v>
      </c>
      <c r="H764">
        <f>Sheet1!N764</f>
        <v>19092.29</v>
      </c>
      <c r="I764">
        <f t="shared" si="14"/>
        <v>1</v>
      </c>
    </row>
    <row r="765" spans="1:9" x14ac:dyDescent="0.3">
      <c r="A765">
        <f>Sheet1!A765</f>
        <v>1764</v>
      </c>
      <c r="B765" t="str">
        <f>Sheet1!B765</f>
        <v>2025-08-06</v>
      </c>
      <c r="C765" t="str">
        <f>TEXT(Sheet1!B765,"YYYY-MM")</f>
        <v>2025-08</v>
      </c>
      <c r="D765" t="str">
        <f>Sheet1!D765</f>
        <v>Bangalore</v>
      </c>
      <c r="E765" t="str">
        <f>Sheet1!F765</f>
        <v>Electronics</v>
      </c>
      <c r="F765" t="str">
        <f>Sheet1!H765</f>
        <v>Ajay</v>
      </c>
      <c r="G765">
        <f>Sheet1!K765</f>
        <v>219897</v>
      </c>
      <c r="H765">
        <f>Sheet1!N765</f>
        <v>65438.65</v>
      </c>
      <c r="I765">
        <f t="shared" si="14"/>
        <v>1</v>
      </c>
    </row>
    <row r="766" spans="1:9" x14ac:dyDescent="0.3">
      <c r="A766">
        <f>Sheet1!A766</f>
        <v>1765</v>
      </c>
      <c r="B766" t="str">
        <f>Sheet1!B766</f>
        <v>2025-08-06</v>
      </c>
      <c r="C766" t="str">
        <f>TEXT(Sheet1!B766,"YYYY-MM")</f>
        <v>2025-08</v>
      </c>
      <c r="D766" t="str">
        <f>Sheet1!D766</f>
        <v>Delhi</v>
      </c>
      <c r="E766" t="str">
        <f>Sheet1!F766</f>
        <v>Furniture</v>
      </c>
      <c r="F766" t="str">
        <f>Sheet1!H766</f>
        <v>Ajay</v>
      </c>
      <c r="G766">
        <f>Sheet1!K766</f>
        <v>63121.8</v>
      </c>
      <c r="H766">
        <f>Sheet1!N766</f>
        <v>17970.080000000002</v>
      </c>
      <c r="I766">
        <f t="shared" si="14"/>
        <v>1</v>
      </c>
    </row>
    <row r="767" spans="1:9" x14ac:dyDescent="0.3">
      <c r="A767">
        <f>Sheet1!A767</f>
        <v>1766</v>
      </c>
      <c r="B767" t="str">
        <f>Sheet1!B767</f>
        <v>2025-08-06</v>
      </c>
      <c r="C767" t="str">
        <f>TEXT(Sheet1!B767,"YYYY-MM")</f>
        <v>2025-08</v>
      </c>
      <c r="D767" t="str">
        <f>Sheet1!D767</f>
        <v>Delhi</v>
      </c>
      <c r="E767" t="str">
        <f>Sheet1!F767</f>
        <v>Furniture</v>
      </c>
      <c r="F767" t="str">
        <f>Sheet1!H767</f>
        <v>Sneha</v>
      </c>
      <c r="G767">
        <f>Sheet1!K767</f>
        <v>33878.449999999997</v>
      </c>
      <c r="H767">
        <f>Sheet1!N767</f>
        <v>5330.74</v>
      </c>
      <c r="I767">
        <f t="shared" si="14"/>
        <v>1</v>
      </c>
    </row>
    <row r="768" spans="1:9" x14ac:dyDescent="0.3">
      <c r="A768">
        <f>Sheet1!A768</f>
        <v>1767</v>
      </c>
      <c r="B768" t="str">
        <f>Sheet1!B768</f>
        <v>2025-08-07</v>
      </c>
      <c r="C768" t="str">
        <f>TEXT(Sheet1!B768,"YYYY-MM")</f>
        <v>2025-08</v>
      </c>
      <c r="D768" t="str">
        <f>Sheet1!D768</f>
        <v>Hyderabad</v>
      </c>
      <c r="E768" t="str">
        <f>Sheet1!F768</f>
        <v>Furniture</v>
      </c>
      <c r="F768" t="str">
        <f>Sheet1!H768</f>
        <v>Sneha</v>
      </c>
      <c r="G768">
        <f>Sheet1!K768</f>
        <v>26324.1</v>
      </c>
      <c r="H768">
        <f>Sheet1!N768</f>
        <v>7581.96</v>
      </c>
      <c r="I768">
        <f t="shared" si="14"/>
        <v>1</v>
      </c>
    </row>
    <row r="769" spans="1:9" x14ac:dyDescent="0.3">
      <c r="A769">
        <f>Sheet1!A769</f>
        <v>1768</v>
      </c>
      <c r="B769" t="str">
        <f>Sheet1!B769</f>
        <v>2025-08-07</v>
      </c>
      <c r="C769" t="str">
        <f>TEXT(Sheet1!B769,"YYYY-MM")</f>
        <v>2025-08</v>
      </c>
      <c r="D769" t="str">
        <f>Sheet1!D769</f>
        <v>Mumbai</v>
      </c>
      <c r="E769" t="str">
        <f>Sheet1!F769</f>
        <v>Electronics</v>
      </c>
      <c r="F769" t="str">
        <f>Sheet1!H769</f>
        <v>Rahul</v>
      </c>
      <c r="G769">
        <f>Sheet1!K769</f>
        <v>13147.2</v>
      </c>
      <c r="H769">
        <f>Sheet1!N769</f>
        <v>3671.62</v>
      </c>
      <c r="I769">
        <f t="shared" si="14"/>
        <v>1</v>
      </c>
    </row>
    <row r="770" spans="1:9" x14ac:dyDescent="0.3">
      <c r="A770">
        <f>Sheet1!A770</f>
        <v>1769</v>
      </c>
      <c r="B770" t="str">
        <f>Sheet1!B770</f>
        <v>2025-08-07</v>
      </c>
      <c r="C770" t="str">
        <f>TEXT(Sheet1!B770,"YYYY-MM")</f>
        <v>2025-08</v>
      </c>
      <c r="D770" t="str">
        <f>Sheet1!D770</f>
        <v>Delhi</v>
      </c>
      <c r="E770" t="str">
        <f>Sheet1!F770</f>
        <v>Electronics</v>
      </c>
      <c r="F770" t="str">
        <f>Sheet1!H770</f>
        <v>Pooja</v>
      </c>
      <c r="G770">
        <f>Sheet1!K770</f>
        <v>25376.400000000001</v>
      </c>
      <c r="H770">
        <f>Sheet1!N770</f>
        <v>2886.99</v>
      </c>
      <c r="I770">
        <f t="shared" ref="I770:I833" si="15">IF(AND(OR(FilterCity="All",D770=FilterCity),OR(FilterCategory="All",E770=FilterCategory),OR(FilterRep="All",F770=FilterRep),C770&gt;=FilterMonthFrom,C770&lt;=FilterMonthTo),1,0)</f>
        <v>1</v>
      </c>
    </row>
    <row r="771" spans="1:9" x14ac:dyDescent="0.3">
      <c r="A771">
        <f>Sheet1!A771</f>
        <v>1770</v>
      </c>
      <c r="B771" t="str">
        <f>Sheet1!B771</f>
        <v>2025-08-08</v>
      </c>
      <c r="C771" t="str">
        <f>TEXT(Sheet1!B771,"YYYY-MM")</f>
        <v>2025-08</v>
      </c>
      <c r="D771" t="str">
        <f>Sheet1!D771</f>
        <v>Hyderabad</v>
      </c>
      <c r="E771" t="str">
        <f>Sheet1!F771</f>
        <v>Furniture</v>
      </c>
      <c r="F771" t="str">
        <f>Sheet1!H771</f>
        <v>Pooja</v>
      </c>
      <c r="G771">
        <f>Sheet1!K771</f>
        <v>133368</v>
      </c>
      <c r="H771">
        <f>Sheet1!N771</f>
        <v>26031.61</v>
      </c>
      <c r="I771">
        <f t="shared" si="15"/>
        <v>1</v>
      </c>
    </row>
    <row r="772" spans="1:9" x14ac:dyDescent="0.3">
      <c r="A772">
        <f>Sheet1!A772</f>
        <v>1771</v>
      </c>
      <c r="B772" t="str">
        <f>Sheet1!B772</f>
        <v>2025-08-08</v>
      </c>
      <c r="C772" t="str">
        <f>TEXT(Sheet1!B772,"YYYY-MM")</f>
        <v>2025-08</v>
      </c>
      <c r="D772" t="str">
        <f>Sheet1!D772</f>
        <v>Bangalore</v>
      </c>
      <c r="E772" t="str">
        <f>Sheet1!F772</f>
        <v>Electronics</v>
      </c>
      <c r="F772" t="str">
        <f>Sheet1!H772</f>
        <v>Rahul</v>
      </c>
      <c r="G772">
        <f>Sheet1!K772</f>
        <v>183169.5</v>
      </c>
      <c r="H772">
        <f>Sheet1!N772</f>
        <v>45956.69</v>
      </c>
      <c r="I772">
        <f t="shared" si="15"/>
        <v>1</v>
      </c>
    </row>
    <row r="773" spans="1:9" x14ac:dyDescent="0.3">
      <c r="A773">
        <f>Sheet1!A773</f>
        <v>1772</v>
      </c>
      <c r="B773" t="str">
        <f>Sheet1!B773</f>
        <v>2025-08-08</v>
      </c>
      <c r="C773" t="str">
        <f>TEXT(Sheet1!B773,"YYYY-MM")</f>
        <v>2025-08</v>
      </c>
      <c r="D773" t="str">
        <f>Sheet1!D773</f>
        <v>Mumbai</v>
      </c>
      <c r="E773" t="str">
        <f>Sheet1!F773</f>
        <v>Furniture</v>
      </c>
      <c r="F773" t="str">
        <f>Sheet1!H773</f>
        <v>Ajay</v>
      </c>
      <c r="G773">
        <f>Sheet1!K773</f>
        <v>27621</v>
      </c>
      <c r="H773">
        <f>Sheet1!N773</f>
        <v>7860.54</v>
      </c>
      <c r="I773">
        <f t="shared" si="15"/>
        <v>1</v>
      </c>
    </row>
    <row r="774" spans="1:9" x14ac:dyDescent="0.3">
      <c r="A774">
        <f>Sheet1!A774</f>
        <v>1773</v>
      </c>
      <c r="B774" t="str">
        <f>Sheet1!B774</f>
        <v>2025-08-08</v>
      </c>
      <c r="C774" t="str">
        <f>TEXT(Sheet1!B774,"YYYY-MM")</f>
        <v>2025-08</v>
      </c>
      <c r="D774" t="str">
        <f>Sheet1!D774</f>
        <v>Mumbai</v>
      </c>
      <c r="E774" t="str">
        <f>Sheet1!F774</f>
        <v>Furniture</v>
      </c>
      <c r="F774" t="str">
        <f>Sheet1!H774</f>
        <v>Pooja</v>
      </c>
      <c r="G774">
        <f>Sheet1!K774</f>
        <v>20973.75</v>
      </c>
      <c r="H774">
        <f>Sheet1!N774</f>
        <v>5156.13</v>
      </c>
      <c r="I774">
        <f t="shared" si="15"/>
        <v>1</v>
      </c>
    </row>
    <row r="775" spans="1:9" x14ac:dyDescent="0.3">
      <c r="A775">
        <f>Sheet1!A775</f>
        <v>1774</v>
      </c>
      <c r="B775" t="str">
        <f>Sheet1!B775</f>
        <v>2025-08-09</v>
      </c>
      <c r="C775" t="str">
        <f>TEXT(Sheet1!B775,"YYYY-MM")</f>
        <v>2025-08</v>
      </c>
      <c r="D775" t="str">
        <f>Sheet1!D775</f>
        <v>Hyderabad</v>
      </c>
      <c r="E775" t="str">
        <f>Sheet1!F775</f>
        <v>Clothing</v>
      </c>
      <c r="F775" t="str">
        <f>Sheet1!H775</f>
        <v>Pooja</v>
      </c>
      <c r="G775">
        <f>Sheet1!K775</f>
        <v>168192.75</v>
      </c>
      <c r="H775">
        <f>Sheet1!N775</f>
        <v>31827.07</v>
      </c>
      <c r="I775">
        <f t="shared" si="15"/>
        <v>1</v>
      </c>
    </row>
    <row r="776" spans="1:9" x14ac:dyDescent="0.3">
      <c r="A776">
        <f>Sheet1!A776</f>
        <v>1775</v>
      </c>
      <c r="B776" t="str">
        <f>Sheet1!B776</f>
        <v>2025-08-09</v>
      </c>
      <c r="C776" t="str">
        <f>TEXT(Sheet1!B776,"YYYY-MM")</f>
        <v>2025-08</v>
      </c>
      <c r="D776" t="str">
        <f>Sheet1!D776</f>
        <v>Pune</v>
      </c>
      <c r="E776" t="str">
        <f>Sheet1!F776</f>
        <v>Clothing</v>
      </c>
      <c r="F776" t="str">
        <f>Sheet1!H776</f>
        <v>Ajay</v>
      </c>
      <c r="G776">
        <f>Sheet1!K776</f>
        <v>97918.2</v>
      </c>
      <c r="H776">
        <f>Sheet1!N776</f>
        <v>27270.3</v>
      </c>
      <c r="I776">
        <f t="shared" si="15"/>
        <v>1</v>
      </c>
    </row>
    <row r="777" spans="1:9" x14ac:dyDescent="0.3">
      <c r="A777">
        <f>Sheet1!A777</f>
        <v>1776</v>
      </c>
      <c r="B777" t="str">
        <f>Sheet1!B777</f>
        <v>2025-08-09</v>
      </c>
      <c r="C777" t="str">
        <f>TEXT(Sheet1!B777,"YYYY-MM")</f>
        <v>2025-08</v>
      </c>
      <c r="D777" t="str">
        <f>Sheet1!D777</f>
        <v>Mumbai</v>
      </c>
      <c r="E777" t="str">
        <f>Sheet1!F777</f>
        <v>Furniture</v>
      </c>
      <c r="F777" t="str">
        <f>Sheet1!H777</f>
        <v>Sneha</v>
      </c>
      <c r="G777">
        <f>Sheet1!K777</f>
        <v>115947</v>
      </c>
      <c r="H777">
        <f>Sheet1!N777</f>
        <v>20840.759999999998</v>
      </c>
      <c r="I777">
        <f t="shared" si="15"/>
        <v>1</v>
      </c>
    </row>
    <row r="778" spans="1:9" x14ac:dyDescent="0.3">
      <c r="A778">
        <f>Sheet1!A778</f>
        <v>1777</v>
      </c>
      <c r="B778" t="str">
        <f>Sheet1!B778</f>
        <v>2025-08-09</v>
      </c>
      <c r="C778" t="str">
        <f>TEXT(Sheet1!B778,"YYYY-MM")</f>
        <v>2025-08</v>
      </c>
      <c r="D778" t="str">
        <f>Sheet1!D778</f>
        <v>Hyderabad</v>
      </c>
      <c r="E778" t="str">
        <f>Sheet1!F778</f>
        <v>Furniture</v>
      </c>
      <c r="F778" t="str">
        <f>Sheet1!H778</f>
        <v>Sneha</v>
      </c>
      <c r="G778">
        <f>Sheet1!K778</f>
        <v>42936.2</v>
      </c>
      <c r="H778">
        <f>Sheet1!N778</f>
        <v>5123.97</v>
      </c>
      <c r="I778">
        <f t="shared" si="15"/>
        <v>1</v>
      </c>
    </row>
    <row r="779" spans="1:9" x14ac:dyDescent="0.3">
      <c r="A779">
        <f>Sheet1!A779</f>
        <v>1778</v>
      </c>
      <c r="B779" t="str">
        <f>Sheet1!B779</f>
        <v>2025-08-09</v>
      </c>
      <c r="C779" t="str">
        <f>TEXT(Sheet1!B779,"YYYY-MM")</f>
        <v>2025-08</v>
      </c>
      <c r="D779" t="str">
        <f>Sheet1!D779</f>
        <v>Mumbai</v>
      </c>
      <c r="E779" t="str">
        <f>Sheet1!F779</f>
        <v>Furniture</v>
      </c>
      <c r="F779" t="str">
        <f>Sheet1!H779</f>
        <v>Rahul</v>
      </c>
      <c r="G779">
        <f>Sheet1!K779</f>
        <v>44042.95</v>
      </c>
      <c r="H779">
        <f>Sheet1!N779</f>
        <v>9220.43</v>
      </c>
      <c r="I779">
        <f t="shared" si="15"/>
        <v>1</v>
      </c>
    </row>
    <row r="780" spans="1:9" x14ac:dyDescent="0.3">
      <c r="A780">
        <f>Sheet1!A780</f>
        <v>1779</v>
      </c>
      <c r="B780" t="str">
        <f>Sheet1!B780</f>
        <v>2025-08-10</v>
      </c>
      <c r="C780" t="str">
        <f>TEXT(Sheet1!B780,"YYYY-MM")</f>
        <v>2025-08</v>
      </c>
      <c r="D780" t="str">
        <f>Sheet1!D780</f>
        <v>Bangalore</v>
      </c>
      <c r="E780" t="str">
        <f>Sheet1!F780</f>
        <v>Furniture</v>
      </c>
      <c r="F780" t="str">
        <f>Sheet1!H780</f>
        <v>Sneha</v>
      </c>
      <c r="G780">
        <f>Sheet1!K780</f>
        <v>71971.199999999997</v>
      </c>
      <c r="H780">
        <f>Sheet1!N780</f>
        <v>9583.75</v>
      </c>
      <c r="I780">
        <f t="shared" si="15"/>
        <v>1</v>
      </c>
    </row>
    <row r="781" spans="1:9" x14ac:dyDescent="0.3">
      <c r="A781">
        <f>Sheet1!A781</f>
        <v>1780</v>
      </c>
      <c r="B781" t="str">
        <f>Sheet1!B781</f>
        <v>2025-08-10</v>
      </c>
      <c r="C781" t="str">
        <f>TEXT(Sheet1!B781,"YYYY-MM")</f>
        <v>2025-08</v>
      </c>
      <c r="D781" t="str">
        <f>Sheet1!D781</f>
        <v>Pune</v>
      </c>
      <c r="E781" t="str">
        <f>Sheet1!F781</f>
        <v>Electronics</v>
      </c>
      <c r="F781" t="str">
        <f>Sheet1!H781</f>
        <v>Ajay</v>
      </c>
      <c r="G781">
        <f>Sheet1!K781</f>
        <v>32271.1</v>
      </c>
      <c r="H781">
        <f>Sheet1!N781</f>
        <v>6591.12</v>
      </c>
      <c r="I781">
        <f t="shared" si="15"/>
        <v>1</v>
      </c>
    </row>
    <row r="782" spans="1:9" x14ac:dyDescent="0.3">
      <c r="A782">
        <f>Sheet1!A782</f>
        <v>1781</v>
      </c>
      <c r="B782" t="str">
        <f>Sheet1!B782</f>
        <v>2025-08-10</v>
      </c>
      <c r="C782" t="str">
        <f>TEXT(Sheet1!B782,"YYYY-MM")</f>
        <v>2025-08</v>
      </c>
      <c r="D782" t="str">
        <f>Sheet1!D782</f>
        <v>Delhi</v>
      </c>
      <c r="E782" t="str">
        <f>Sheet1!F782</f>
        <v>Furniture</v>
      </c>
      <c r="F782" t="str">
        <f>Sheet1!H782</f>
        <v>Sneha</v>
      </c>
      <c r="G782">
        <f>Sheet1!K782</f>
        <v>110177</v>
      </c>
      <c r="H782">
        <f>Sheet1!N782</f>
        <v>32518.080000000002</v>
      </c>
      <c r="I782">
        <f t="shared" si="15"/>
        <v>1</v>
      </c>
    </row>
    <row r="783" spans="1:9" x14ac:dyDescent="0.3">
      <c r="A783">
        <f>Sheet1!A783</f>
        <v>1782</v>
      </c>
      <c r="B783" t="str">
        <f>Sheet1!B783</f>
        <v>2025-08-10</v>
      </c>
      <c r="C783" t="str">
        <f>TEXT(Sheet1!B783,"YYYY-MM")</f>
        <v>2025-08</v>
      </c>
      <c r="D783" t="str">
        <f>Sheet1!D783</f>
        <v>Bangalore</v>
      </c>
      <c r="E783" t="str">
        <f>Sheet1!F783</f>
        <v>Clothing</v>
      </c>
      <c r="F783" t="str">
        <f>Sheet1!H783</f>
        <v>Sneha</v>
      </c>
      <c r="G783">
        <f>Sheet1!K783</f>
        <v>146566.79999999999</v>
      </c>
      <c r="H783">
        <f>Sheet1!N783</f>
        <v>30037.13</v>
      </c>
      <c r="I783">
        <f t="shared" si="15"/>
        <v>1</v>
      </c>
    </row>
    <row r="784" spans="1:9" x14ac:dyDescent="0.3">
      <c r="A784">
        <f>Sheet1!A784</f>
        <v>1783</v>
      </c>
      <c r="B784" t="str">
        <f>Sheet1!B784</f>
        <v>2025-08-11</v>
      </c>
      <c r="C784" t="str">
        <f>TEXT(Sheet1!B784,"YYYY-MM")</f>
        <v>2025-08</v>
      </c>
      <c r="D784" t="str">
        <f>Sheet1!D784</f>
        <v>Delhi</v>
      </c>
      <c r="E784" t="str">
        <f>Sheet1!F784</f>
        <v>Clothing</v>
      </c>
      <c r="F784" t="str">
        <f>Sheet1!H784</f>
        <v>Rahul</v>
      </c>
      <c r="G784">
        <f>Sheet1!K784</f>
        <v>56057.599999999999</v>
      </c>
      <c r="H784">
        <f>Sheet1!N784</f>
        <v>12259.06</v>
      </c>
      <c r="I784">
        <f t="shared" si="15"/>
        <v>1</v>
      </c>
    </row>
    <row r="785" spans="1:9" x14ac:dyDescent="0.3">
      <c r="A785">
        <f>Sheet1!A785</f>
        <v>1784</v>
      </c>
      <c r="B785" t="str">
        <f>Sheet1!B785</f>
        <v>2025-08-11</v>
      </c>
      <c r="C785" t="str">
        <f>TEXT(Sheet1!B785,"YYYY-MM")</f>
        <v>2025-08</v>
      </c>
      <c r="D785" t="str">
        <f>Sheet1!D785</f>
        <v>Bangalore</v>
      </c>
      <c r="E785" t="str">
        <f>Sheet1!F785</f>
        <v>Electronics</v>
      </c>
      <c r="F785" t="str">
        <f>Sheet1!H785</f>
        <v>Pooja</v>
      </c>
      <c r="G785">
        <f>Sheet1!K785</f>
        <v>105988.2</v>
      </c>
      <c r="H785">
        <f>Sheet1!N785</f>
        <v>24586.53</v>
      </c>
      <c r="I785">
        <f t="shared" si="15"/>
        <v>1</v>
      </c>
    </row>
    <row r="786" spans="1:9" x14ac:dyDescent="0.3">
      <c r="A786">
        <f>Sheet1!A786</f>
        <v>1785</v>
      </c>
      <c r="B786" t="str">
        <f>Sheet1!B786</f>
        <v>2025-08-12</v>
      </c>
      <c r="C786" t="str">
        <f>TEXT(Sheet1!B786,"YYYY-MM")</f>
        <v>2025-08</v>
      </c>
      <c r="D786" t="str">
        <f>Sheet1!D786</f>
        <v>Pune</v>
      </c>
      <c r="E786" t="str">
        <f>Sheet1!F786</f>
        <v>Clothing</v>
      </c>
      <c r="F786" t="str">
        <f>Sheet1!H786</f>
        <v>Ajay</v>
      </c>
      <c r="G786">
        <f>Sheet1!K786</f>
        <v>136028.6</v>
      </c>
      <c r="H786">
        <f>Sheet1!N786</f>
        <v>18618.43</v>
      </c>
      <c r="I786">
        <f t="shared" si="15"/>
        <v>1</v>
      </c>
    </row>
    <row r="787" spans="1:9" x14ac:dyDescent="0.3">
      <c r="A787">
        <f>Sheet1!A787</f>
        <v>1786</v>
      </c>
      <c r="B787" t="str">
        <f>Sheet1!B787</f>
        <v>2025-08-12</v>
      </c>
      <c r="C787" t="str">
        <f>TEXT(Sheet1!B787,"YYYY-MM")</f>
        <v>2025-08</v>
      </c>
      <c r="D787" t="str">
        <f>Sheet1!D787</f>
        <v>Mumbai</v>
      </c>
      <c r="E787" t="str">
        <f>Sheet1!F787</f>
        <v>Furniture</v>
      </c>
      <c r="F787" t="str">
        <f>Sheet1!H787</f>
        <v>Sneha</v>
      </c>
      <c r="G787">
        <f>Sheet1!K787</f>
        <v>179468</v>
      </c>
      <c r="H787">
        <f>Sheet1!N787</f>
        <v>39735.699999999997</v>
      </c>
      <c r="I787">
        <f t="shared" si="15"/>
        <v>1</v>
      </c>
    </row>
    <row r="788" spans="1:9" x14ac:dyDescent="0.3">
      <c r="A788">
        <f>Sheet1!A788</f>
        <v>1787</v>
      </c>
      <c r="B788" t="str">
        <f>Sheet1!B788</f>
        <v>2025-08-12</v>
      </c>
      <c r="C788" t="str">
        <f>TEXT(Sheet1!B788,"YYYY-MM")</f>
        <v>2025-08</v>
      </c>
      <c r="D788" t="str">
        <f>Sheet1!D788</f>
        <v>Delhi</v>
      </c>
      <c r="E788" t="str">
        <f>Sheet1!F788</f>
        <v>Furniture</v>
      </c>
      <c r="F788" t="str">
        <f>Sheet1!H788</f>
        <v>Rahul</v>
      </c>
      <c r="G788">
        <f>Sheet1!K788</f>
        <v>93624</v>
      </c>
      <c r="H788">
        <f>Sheet1!N788</f>
        <v>23475.49</v>
      </c>
      <c r="I788">
        <f t="shared" si="15"/>
        <v>1</v>
      </c>
    </row>
    <row r="789" spans="1:9" x14ac:dyDescent="0.3">
      <c r="A789">
        <f>Sheet1!A789</f>
        <v>1788</v>
      </c>
      <c r="B789" t="str">
        <f>Sheet1!B789</f>
        <v>2025-08-12</v>
      </c>
      <c r="C789" t="str">
        <f>TEXT(Sheet1!B789,"YYYY-MM")</f>
        <v>2025-08</v>
      </c>
      <c r="D789" t="str">
        <f>Sheet1!D789</f>
        <v>Delhi</v>
      </c>
      <c r="E789" t="str">
        <f>Sheet1!F789</f>
        <v>Furniture</v>
      </c>
      <c r="F789" t="str">
        <f>Sheet1!H789</f>
        <v>Rahul</v>
      </c>
      <c r="G789">
        <f>Sheet1!K789</f>
        <v>27502</v>
      </c>
      <c r="H789">
        <f>Sheet1!N789</f>
        <v>4242.88</v>
      </c>
      <c r="I789">
        <f t="shared" si="15"/>
        <v>1</v>
      </c>
    </row>
    <row r="790" spans="1:9" x14ac:dyDescent="0.3">
      <c r="A790">
        <f>Sheet1!A790</f>
        <v>1789</v>
      </c>
      <c r="B790" t="str">
        <f>Sheet1!B790</f>
        <v>2025-08-13</v>
      </c>
      <c r="C790" t="str">
        <f>TEXT(Sheet1!B790,"YYYY-MM")</f>
        <v>2025-08</v>
      </c>
      <c r="D790" t="str">
        <f>Sheet1!D790</f>
        <v>Pune</v>
      </c>
      <c r="E790" t="str">
        <f>Sheet1!F790</f>
        <v>Clothing</v>
      </c>
      <c r="F790" t="str">
        <f>Sheet1!H790</f>
        <v>Sneha</v>
      </c>
      <c r="G790">
        <f>Sheet1!K790</f>
        <v>55305.2</v>
      </c>
      <c r="H790">
        <f>Sheet1!N790</f>
        <v>12465.61</v>
      </c>
      <c r="I790">
        <f t="shared" si="15"/>
        <v>1</v>
      </c>
    </row>
    <row r="791" spans="1:9" x14ac:dyDescent="0.3">
      <c r="A791">
        <f>Sheet1!A791</f>
        <v>1790</v>
      </c>
      <c r="B791" t="str">
        <f>Sheet1!B791</f>
        <v>2025-08-13</v>
      </c>
      <c r="C791" t="str">
        <f>TEXT(Sheet1!B791,"YYYY-MM")</f>
        <v>2025-08</v>
      </c>
      <c r="D791" t="str">
        <f>Sheet1!D791</f>
        <v>Bangalore</v>
      </c>
      <c r="E791" t="str">
        <f>Sheet1!F791</f>
        <v>Electronics</v>
      </c>
      <c r="F791" t="str">
        <f>Sheet1!H791</f>
        <v>Pooja</v>
      </c>
      <c r="G791">
        <f>Sheet1!K791</f>
        <v>109716</v>
      </c>
      <c r="H791">
        <f>Sheet1!N791</f>
        <v>15144.14</v>
      </c>
      <c r="I791">
        <f t="shared" si="15"/>
        <v>1</v>
      </c>
    </row>
    <row r="792" spans="1:9" x14ac:dyDescent="0.3">
      <c r="A792">
        <f>Sheet1!A792</f>
        <v>1791</v>
      </c>
      <c r="B792" t="str">
        <f>Sheet1!B792</f>
        <v>2025-08-13</v>
      </c>
      <c r="C792" t="str">
        <f>TEXT(Sheet1!B792,"YYYY-MM")</f>
        <v>2025-08</v>
      </c>
      <c r="D792" t="str">
        <f>Sheet1!D792</f>
        <v>Mumbai</v>
      </c>
      <c r="E792" t="str">
        <f>Sheet1!F792</f>
        <v>Electronics</v>
      </c>
      <c r="F792" t="str">
        <f>Sheet1!H792</f>
        <v>Sneha</v>
      </c>
      <c r="G792">
        <f>Sheet1!K792</f>
        <v>122189</v>
      </c>
      <c r="H792">
        <f>Sheet1!N792</f>
        <v>16590.62</v>
      </c>
      <c r="I792">
        <f t="shared" si="15"/>
        <v>1</v>
      </c>
    </row>
    <row r="793" spans="1:9" x14ac:dyDescent="0.3">
      <c r="A793">
        <f>Sheet1!A793</f>
        <v>1792</v>
      </c>
      <c r="B793" t="str">
        <f>Sheet1!B793</f>
        <v>2025-08-14</v>
      </c>
      <c r="C793" t="str">
        <f>TEXT(Sheet1!B793,"YYYY-MM")</f>
        <v>2025-08</v>
      </c>
      <c r="D793" t="str">
        <f>Sheet1!D793</f>
        <v>Bangalore</v>
      </c>
      <c r="E793" t="str">
        <f>Sheet1!F793</f>
        <v>Electronics</v>
      </c>
      <c r="F793" t="str">
        <f>Sheet1!H793</f>
        <v>Rahul</v>
      </c>
      <c r="G793">
        <f>Sheet1!K793</f>
        <v>87979.5</v>
      </c>
      <c r="H793">
        <f>Sheet1!N793</f>
        <v>24468.14</v>
      </c>
      <c r="I793">
        <f t="shared" si="15"/>
        <v>1</v>
      </c>
    </row>
    <row r="794" spans="1:9" x14ac:dyDescent="0.3">
      <c r="A794">
        <f>Sheet1!A794</f>
        <v>1793</v>
      </c>
      <c r="B794" t="str">
        <f>Sheet1!B794</f>
        <v>2025-08-14</v>
      </c>
      <c r="C794" t="str">
        <f>TEXT(Sheet1!B794,"YYYY-MM")</f>
        <v>2025-08</v>
      </c>
      <c r="D794" t="str">
        <f>Sheet1!D794</f>
        <v>Mumbai</v>
      </c>
      <c r="E794" t="str">
        <f>Sheet1!F794</f>
        <v>Electronics</v>
      </c>
      <c r="F794" t="str">
        <f>Sheet1!H794</f>
        <v>Pooja</v>
      </c>
      <c r="G794">
        <f>Sheet1!K794</f>
        <v>205425</v>
      </c>
      <c r="H794">
        <f>Sheet1!N794</f>
        <v>33194.29</v>
      </c>
      <c r="I794">
        <f t="shared" si="15"/>
        <v>1</v>
      </c>
    </row>
    <row r="795" spans="1:9" x14ac:dyDescent="0.3">
      <c r="A795">
        <f>Sheet1!A795</f>
        <v>1794</v>
      </c>
      <c r="B795" t="str">
        <f>Sheet1!B795</f>
        <v>2025-08-14</v>
      </c>
      <c r="C795" t="str">
        <f>TEXT(Sheet1!B795,"YYYY-MM")</f>
        <v>2025-08</v>
      </c>
      <c r="D795" t="str">
        <f>Sheet1!D795</f>
        <v>Hyderabad</v>
      </c>
      <c r="E795" t="str">
        <f>Sheet1!F795</f>
        <v>Furniture</v>
      </c>
      <c r="F795" t="str">
        <f>Sheet1!H795</f>
        <v>Ajay</v>
      </c>
      <c r="G795">
        <f>Sheet1!K795</f>
        <v>38470.15</v>
      </c>
      <c r="H795">
        <f>Sheet1!N795</f>
        <v>10761.91</v>
      </c>
      <c r="I795">
        <f t="shared" si="15"/>
        <v>1</v>
      </c>
    </row>
    <row r="796" spans="1:9" x14ac:dyDescent="0.3">
      <c r="A796">
        <f>Sheet1!A796</f>
        <v>1795</v>
      </c>
      <c r="B796" t="str">
        <f>Sheet1!B796</f>
        <v>2025-08-14</v>
      </c>
      <c r="C796" t="str">
        <f>TEXT(Sheet1!B796,"YYYY-MM")</f>
        <v>2025-08</v>
      </c>
      <c r="D796" t="str">
        <f>Sheet1!D796</f>
        <v>Bangalore</v>
      </c>
      <c r="E796" t="str">
        <f>Sheet1!F796</f>
        <v>Clothing</v>
      </c>
      <c r="F796" t="str">
        <f>Sheet1!H796</f>
        <v>Sneha</v>
      </c>
      <c r="G796">
        <f>Sheet1!K796</f>
        <v>181504</v>
      </c>
      <c r="H796">
        <f>Sheet1!N796</f>
        <v>53017.14</v>
      </c>
      <c r="I796">
        <f t="shared" si="15"/>
        <v>1</v>
      </c>
    </row>
    <row r="797" spans="1:9" x14ac:dyDescent="0.3">
      <c r="A797">
        <f>Sheet1!A797</f>
        <v>1796</v>
      </c>
      <c r="B797" t="str">
        <f>Sheet1!B797</f>
        <v>2025-08-15</v>
      </c>
      <c r="C797" t="str">
        <f>TEXT(Sheet1!B797,"YYYY-MM")</f>
        <v>2025-08</v>
      </c>
      <c r="D797" t="str">
        <f>Sheet1!D797</f>
        <v>Bangalore</v>
      </c>
      <c r="E797" t="str">
        <f>Sheet1!F797</f>
        <v>Furniture</v>
      </c>
      <c r="F797" t="str">
        <f>Sheet1!H797</f>
        <v>Rahul</v>
      </c>
      <c r="G797">
        <f>Sheet1!K797</f>
        <v>101817.2</v>
      </c>
      <c r="H797">
        <f>Sheet1!N797</f>
        <v>22965.63</v>
      </c>
      <c r="I797">
        <f t="shared" si="15"/>
        <v>1</v>
      </c>
    </row>
    <row r="798" spans="1:9" x14ac:dyDescent="0.3">
      <c r="A798">
        <f>Sheet1!A798</f>
        <v>1797</v>
      </c>
      <c r="B798" t="str">
        <f>Sheet1!B798</f>
        <v>2025-08-15</v>
      </c>
      <c r="C798" t="str">
        <f>TEXT(Sheet1!B798,"YYYY-MM")</f>
        <v>2025-08</v>
      </c>
      <c r="D798" t="str">
        <f>Sheet1!D798</f>
        <v>Pune</v>
      </c>
      <c r="E798" t="str">
        <f>Sheet1!F798</f>
        <v>Electronics</v>
      </c>
      <c r="F798" t="str">
        <f>Sheet1!H798</f>
        <v>Ajay</v>
      </c>
      <c r="G798">
        <f>Sheet1!K798</f>
        <v>85335.75</v>
      </c>
      <c r="H798">
        <f>Sheet1!N798</f>
        <v>18528.29</v>
      </c>
      <c r="I798">
        <f t="shared" si="15"/>
        <v>1</v>
      </c>
    </row>
    <row r="799" spans="1:9" x14ac:dyDescent="0.3">
      <c r="A799">
        <f>Sheet1!A799</f>
        <v>1798</v>
      </c>
      <c r="B799" t="str">
        <f>Sheet1!B799</f>
        <v>2025-08-15</v>
      </c>
      <c r="C799" t="str">
        <f>TEXT(Sheet1!B799,"YYYY-MM")</f>
        <v>2025-08</v>
      </c>
      <c r="D799" t="str">
        <f>Sheet1!D799</f>
        <v>Hyderabad</v>
      </c>
      <c r="E799" t="str">
        <f>Sheet1!F799</f>
        <v>Electronics</v>
      </c>
      <c r="F799" t="str">
        <f>Sheet1!H799</f>
        <v>Ajay</v>
      </c>
      <c r="G799">
        <f>Sheet1!K799</f>
        <v>92182.5</v>
      </c>
      <c r="H799">
        <f>Sheet1!N799</f>
        <v>14453.74</v>
      </c>
      <c r="I799">
        <f t="shared" si="15"/>
        <v>1</v>
      </c>
    </row>
    <row r="800" spans="1:9" x14ac:dyDescent="0.3">
      <c r="A800">
        <f>Sheet1!A800</f>
        <v>1799</v>
      </c>
      <c r="B800" t="str">
        <f>Sheet1!B800</f>
        <v>2025-08-15</v>
      </c>
      <c r="C800" t="str">
        <f>TEXT(Sheet1!B800,"YYYY-MM")</f>
        <v>2025-08</v>
      </c>
      <c r="D800" t="str">
        <f>Sheet1!D800</f>
        <v>Mumbai</v>
      </c>
      <c r="E800" t="str">
        <f>Sheet1!F800</f>
        <v>Furniture</v>
      </c>
      <c r="F800" t="str">
        <f>Sheet1!H800</f>
        <v>Sneha</v>
      </c>
      <c r="G800">
        <f>Sheet1!K800</f>
        <v>57140.4</v>
      </c>
      <c r="H800">
        <f>Sheet1!N800</f>
        <v>13806.16</v>
      </c>
      <c r="I800">
        <f t="shared" si="15"/>
        <v>1</v>
      </c>
    </row>
    <row r="801" spans="1:9" x14ac:dyDescent="0.3">
      <c r="A801">
        <f>Sheet1!A801</f>
        <v>1800</v>
      </c>
      <c r="B801" t="str">
        <f>Sheet1!B801</f>
        <v>2025-08-16</v>
      </c>
      <c r="C801" t="str">
        <f>TEXT(Sheet1!B801,"YYYY-MM")</f>
        <v>2025-08</v>
      </c>
      <c r="D801" t="str">
        <f>Sheet1!D801</f>
        <v>Hyderabad</v>
      </c>
      <c r="E801" t="str">
        <f>Sheet1!F801</f>
        <v>Clothing</v>
      </c>
      <c r="F801" t="str">
        <f>Sheet1!H801</f>
        <v>Ajay</v>
      </c>
      <c r="G801">
        <f>Sheet1!K801</f>
        <v>87852</v>
      </c>
      <c r="H801">
        <f>Sheet1!N801</f>
        <v>14273.25</v>
      </c>
      <c r="I801">
        <f t="shared" si="15"/>
        <v>1</v>
      </c>
    </row>
    <row r="802" spans="1:9" x14ac:dyDescent="0.3">
      <c r="A802">
        <f>Sheet1!A802</f>
        <v>1801</v>
      </c>
      <c r="B802" t="str">
        <f>Sheet1!B802</f>
        <v>2025-08-16</v>
      </c>
      <c r="C802" t="str">
        <f>TEXT(Sheet1!B802,"YYYY-MM")</f>
        <v>2025-08</v>
      </c>
      <c r="D802" t="str">
        <f>Sheet1!D802</f>
        <v>Bangalore</v>
      </c>
      <c r="E802" t="str">
        <f>Sheet1!F802</f>
        <v>Furniture</v>
      </c>
      <c r="F802" t="str">
        <f>Sheet1!H802</f>
        <v>Pooja</v>
      </c>
      <c r="G802">
        <f>Sheet1!K802</f>
        <v>96812</v>
      </c>
      <c r="H802">
        <f>Sheet1!N802</f>
        <v>15354.44</v>
      </c>
      <c r="I802">
        <f t="shared" si="15"/>
        <v>1</v>
      </c>
    </row>
    <row r="803" spans="1:9" x14ac:dyDescent="0.3">
      <c r="A803">
        <f>Sheet1!A803</f>
        <v>1802</v>
      </c>
      <c r="B803" t="str">
        <f>Sheet1!B803</f>
        <v>2025-08-16</v>
      </c>
      <c r="C803" t="str">
        <f>TEXT(Sheet1!B803,"YYYY-MM")</f>
        <v>2025-08</v>
      </c>
      <c r="D803" t="str">
        <f>Sheet1!D803</f>
        <v>Pune</v>
      </c>
      <c r="E803" t="str">
        <f>Sheet1!F803</f>
        <v>Electronics</v>
      </c>
      <c r="F803" t="str">
        <f>Sheet1!H803</f>
        <v>Sneha</v>
      </c>
      <c r="G803">
        <f>Sheet1!K803</f>
        <v>70785</v>
      </c>
      <c r="H803">
        <f>Sheet1!N803</f>
        <v>12824.92</v>
      </c>
      <c r="I803">
        <f t="shared" si="15"/>
        <v>1</v>
      </c>
    </row>
    <row r="804" spans="1:9" x14ac:dyDescent="0.3">
      <c r="A804">
        <f>Sheet1!A804</f>
        <v>1803</v>
      </c>
      <c r="B804" t="str">
        <f>Sheet1!B804</f>
        <v>2025-08-16</v>
      </c>
      <c r="C804" t="str">
        <f>TEXT(Sheet1!B804,"YYYY-MM")</f>
        <v>2025-08</v>
      </c>
      <c r="D804" t="str">
        <f>Sheet1!D804</f>
        <v>Bangalore</v>
      </c>
      <c r="E804" t="str">
        <f>Sheet1!F804</f>
        <v>Electronics</v>
      </c>
      <c r="F804" t="str">
        <f>Sheet1!H804</f>
        <v>Ajay</v>
      </c>
      <c r="G804">
        <f>Sheet1!K804</f>
        <v>181066.2</v>
      </c>
      <c r="H804">
        <f>Sheet1!N804</f>
        <v>31307.48</v>
      </c>
      <c r="I804">
        <f t="shared" si="15"/>
        <v>1</v>
      </c>
    </row>
    <row r="805" spans="1:9" x14ac:dyDescent="0.3">
      <c r="A805">
        <f>Sheet1!A805</f>
        <v>1804</v>
      </c>
      <c r="B805" t="str">
        <f>Sheet1!B805</f>
        <v>2025-08-17</v>
      </c>
      <c r="C805" t="str">
        <f>TEXT(Sheet1!B805,"YYYY-MM")</f>
        <v>2025-08</v>
      </c>
      <c r="D805" t="str">
        <f>Sheet1!D805</f>
        <v>Hyderabad</v>
      </c>
      <c r="E805" t="str">
        <f>Sheet1!F805</f>
        <v>Clothing</v>
      </c>
      <c r="F805" t="str">
        <f>Sheet1!H805</f>
        <v>Ajay</v>
      </c>
      <c r="G805">
        <f>Sheet1!K805</f>
        <v>60252</v>
      </c>
      <c r="H805">
        <f>Sheet1!N805</f>
        <v>6212.6</v>
      </c>
      <c r="I805">
        <f t="shared" si="15"/>
        <v>1</v>
      </c>
    </row>
    <row r="806" spans="1:9" x14ac:dyDescent="0.3">
      <c r="A806">
        <f>Sheet1!A806</f>
        <v>1805</v>
      </c>
      <c r="B806" t="str">
        <f>Sheet1!B806</f>
        <v>2025-08-17</v>
      </c>
      <c r="C806" t="str">
        <f>TEXT(Sheet1!B806,"YYYY-MM")</f>
        <v>2025-08</v>
      </c>
      <c r="D806" t="str">
        <f>Sheet1!D806</f>
        <v>Hyderabad</v>
      </c>
      <c r="E806" t="str">
        <f>Sheet1!F806</f>
        <v>Electronics</v>
      </c>
      <c r="F806" t="str">
        <f>Sheet1!H806</f>
        <v>Sneha</v>
      </c>
      <c r="G806">
        <f>Sheet1!K806</f>
        <v>60180.6</v>
      </c>
      <c r="H806">
        <f>Sheet1!N806</f>
        <v>8363.89</v>
      </c>
      <c r="I806">
        <f t="shared" si="15"/>
        <v>1</v>
      </c>
    </row>
    <row r="807" spans="1:9" x14ac:dyDescent="0.3">
      <c r="A807">
        <f>Sheet1!A807</f>
        <v>1806</v>
      </c>
      <c r="B807" t="str">
        <f>Sheet1!B807</f>
        <v>2025-08-17</v>
      </c>
      <c r="C807" t="str">
        <f>TEXT(Sheet1!B807,"YYYY-MM")</f>
        <v>2025-08</v>
      </c>
      <c r="D807" t="str">
        <f>Sheet1!D807</f>
        <v>Delhi</v>
      </c>
      <c r="E807" t="str">
        <f>Sheet1!F807</f>
        <v>Electronics</v>
      </c>
      <c r="F807" t="str">
        <f>Sheet1!H807</f>
        <v>Pooja</v>
      </c>
      <c r="G807">
        <f>Sheet1!K807</f>
        <v>26316</v>
      </c>
      <c r="H807">
        <f>Sheet1!N807</f>
        <v>7112.79</v>
      </c>
      <c r="I807">
        <f t="shared" si="15"/>
        <v>1</v>
      </c>
    </row>
    <row r="808" spans="1:9" x14ac:dyDescent="0.3">
      <c r="A808">
        <f>Sheet1!A808</f>
        <v>1807</v>
      </c>
      <c r="B808" t="str">
        <f>Sheet1!B808</f>
        <v>2025-08-17</v>
      </c>
      <c r="C808" t="str">
        <f>TEXT(Sheet1!B808,"YYYY-MM")</f>
        <v>2025-08</v>
      </c>
      <c r="D808" t="str">
        <f>Sheet1!D808</f>
        <v>Delhi</v>
      </c>
      <c r="E808" t="str">
        <f>Sheet1!F808</f>
        <v>Clothing</v>
      </c>
      <c r="F808" t="str">
        <f>Sheet1!H808</f>
        <v>Ajay</v>
      </c>
      <c r="G808">
        <f>Sheet1!K808</f>
        <v>65850.2</v>
      </c>
      <c r="H808">
        <f>Sheet1!N808</f>
        <v>11583.43</v>
      </c>
      <c r="I808">
        <f t="shared" si="15"/>
        <v>1</v>
      </c>
    </row>
    <row r="809" spans="1:9" x14ac:dyDescent="0.3">
      <c r="A809">
        <f>Sheet1!A809</f>
        <v>1808</v>
      </c>
      <c r="B809" t="str">
        <f>Sheet1!B809</f>
        <v>2025-08-17</v>
      </c>
      <c r="C809" t="str">
        <f>TEXT(Sheet1!B809,"YYYY-MM")</f>
        <v>2025-08</v>
      </c>
      <c r="D809" t="str">
        <f>Sheet1!D809</f>
        <v>Mumbai</v>
      </c>
      <c r="E809" t="str">
        <f>Sheet1!F809</f>
        <v>Clothing</v>
      </c>
      <c r="F809" t="str">
        <f>Sheet1!H809</f>
        <v>Pooja</v>
      </c>
      <c r="G809">
        <f>Sheet1!K809</f>
        <v>158850</v>
      </c>
      <c r="H809">
        <f>Sheet1!N809</f>
        <v>32094.400000000001</v>
      </c>
      <c r="I809">
        <f t="shared" si="15"/>
        <v>1</v>
      </c>
    </row>
    <row r="810" spans="1:9" x14ac:dyDescent="0.3">
      <c r="A810">
        <f>Sheet1!A810</f>
        <v>1809</v>
      </c>
      <c r="B810" t="str">
        <f>Sheet1!B810</f>
        <v>2025-08-18</v>
      </c>
      <c r="C810" t="str">
        <f>TEXT(Sheet1!B810,"YYYY-MM")</f>
        <v>2025-08</v>
      </c>
      <c r="D810" t="str">
        <f>Sheet1!D810</f>
        <v>Bangalore</v>
      </c>
      <c r="E810" t="str">
        <f>Sheet1!F810</f>
        <v>Electronics</v>
      </c>
      <c r="F810" t="str">
        <f>Sheet1!H810</f>
        <v>Rahul</v>
      </c>
      <c r="G810">
        <f>Sheet1!K810</f>
        <v>45524</v>
      </c>
      <c r="H810">
        <f>Sheet1!N810</f>
        <v>11576.82</v>
      </c>
      <c r="I810">
        <f t="shared" si="15"/>
        <v>1</v>
      </c>
    </row>
    <row r="811" spans="1:9" x14ac:dyDescent="0.3">
      <c r="A811">
        <f>Sheet1!A811</f>
        <v>1810</v>
      </c>
      <c r="B811" t="str">
        <f>Sheet1!B811</f>
        <v>2025-08-18</v>
      </c>
      <c r="C811" t="str">
        <f>TEXT(Sheet1!B811,"YYYY-MM")</f>
        <v>2025-08</v>
      </c>
      <c r="D811" t="str">
        <f>Sheet1!D811</f>
        <v>Delhi</v>
      </c>
      <c r="E811" t="str">
        <f>Sheet1!F811</f>
        <v>Clothing</v>
      </c>
      <c r="F811" t="str">
        <f>Sheet1!H811</f>
        <v>Sneha</v>
      </c>
      <c r="G811">
        <f>Sheet1!K811</f>
        <v>20689</v>
      </c>
      <c r="H811">
        <f>Sheet1!N811</f>
        <v>4528.9399999999996</v>
      </c>
      <c r="I811">
        <f t="shared" si="15"/>
        <v>1</v>
      </c>
    </row>
    <row r="812" spans="1:9" x14ac:dyDescent="0.3">
      <c r="A812">
        <f>Sheet1!A812</f>
        <v>1811</v>
      </c>
      <c r="B812" t="str">
        <f>Sheet1!B812</f>
        <v>2025-08-18</v>
      </c>
      <c r="C812" t="str">
        <f>TEXT(Sheet1!B812,"YYYY-MM")</f>
        <v>2025-08</v>
      </c>
      <c r="D812" t="str">
        <f>Sheet1!D812</f>
        <v>Pune</v>
      </c>
      <c r="E812" t="str">
        <f>Sheet1!F812</f>
        <v>Clothing</v>
      </c>
      <c r="F812" t="str">
        <f>Sheet1!H812</f>
        <v>Pooja</v>
      </c>
      <c r="G812">
        <f>Sheet1!K812</f>
        <v>41580.9</v>
      </c>
      <c r="H812">
        <f>Sheet1!N812</f>
        <v>11336.25</v>
      </c>
      <c r="I812">
        <f t="shared" si="15"/>
        <v>1</v>
      </c>
    </row>
    <row r="813" spans="1:9" x14ac:dyDescent="0.3">
      <c r="A813">
        <f>Sheet1!A813</f>
        <v>1812</v>
      </c>
      <c r="B813" t="str">
        <f>Sheet1!B813</f>
        <v>2025-08-18</v>
      </c>
      <c r="C813" t="str">
        <f>TEXT(Sheet1!B813,"YYYY-MM")</f>
        <v>2025-08</v>
      </c>
      <c r="D813" t="str">
        <f>Sheet1!D813</f>
        <v>Delhi</v>
      </c>
      <c r="E813" t="str">
        <f>Sheet1!F813</f>
        <v>Electronics</v>
      </c>
      <c r="F813" t="str">
        <f>Sheet1!H813</f>
        <v>Rahul</v>
      </c>
      <c r="G813">
        <f>Sheet1!K813</f>
        <v>79052.399999999994</v>
      </c>
      <c r="H813">
        <f>Sheet1!N813</f>
        <v>14684.06</v>
      </c>
      <c r="I813">
        <f t="shared" si="15"/>
        <v>1</v>
      </c>
    </row>
    <row r="814" spans="1:9" x14ac:dyDescent="0.3">
      <c r="A814">
        <f>Sheet1!A814</f>
        <v>1813</v>
      </c>
      <c r="B814" t="str">
        <f>Sheet1!B814</f>
        <v>2025-08-18</v>
      </c>
      <c r="C814" t="str">
        <f>TEXT(Sheet1!B814,"YYYY-MM")</f>
        <v>2025-08</v>
      </c>
      <c r="D814" t="str">
        <f>Sheet1!D814</f>
        <v>Bangalore</v>
      </c>
      <c r="E814" t="str">
        <f>Sheet1!F814</f>
        <v>Clothing</v>
      </c>
      <c r="F814" t="str">
        <f>Sheet1!H814</f>
        <v>Pooja</v>
      </c>
      <c r="G814">
        <f>Sheet1!K814</f>
        <v>183328</v>
      </c>
      <c r="H814">
        <f>Sheet1!N814</f>
        <v>42764.07</v>
      </c>
      <c r="I814">
        <f t="shared" si="15"/>
        <v>1</v>
      </c>
    </row>
    <row r="815" spans="1:9" x14ac:dyDescent="0.3">
      <c r="A815">
        <f>Sheet1!A815</f>
        <v>1814</v>
      </c>
      <c r="B815" t="str">
        <f>Sheet1!B815</f>
        <v>2025-08-19</v>
      </c>
      <c r="C815" t="str">
        <f>TEXT(Sheet1!B815,"YYYY-MM")</f>
        <v>2025-08</v>
      </c>
      <c r="D815" t="str">
        <f>Sheet1!D815</f>
        <v>Pune</v>
      </c>
      <c r="E815" t="str">
        <f>Sheet1!F815</f>
        <v>Furniture</v>
      </c>
      <c r="F815" t="str">
        <f>Sheet1!H815</f>
        <v>Sneha</v>
      </c>
      <c r="G815">
        <f>Sheet1!K815</f>
        <v>101880.15</v>
      </c>
      <c r="H815">
        <f>Sheet1!N815</f>
        <v>25967.68</v>
      </c>
      <c r="I815">
        <f t="shared" si="15"/>
        <v>1</v>
      </c>
    </row>
    <row r="816" spans="1:9" x14ac:dyDescent="0.3">
      <c r="A816">
        <f>Sheet1!A816</f>
        <v>1815</v>
      </c>
      <c r="B816" t="str">
        <f>Sheet1!B816</f>
        <v>2025-08-19</v>
      </c>
      <c r="C816" t="str">
        <f>TEXT(Sheet1!B816,"YYYY-MM")</f>
        <v>2025-08</v>
      </c>
      <c r="D816" t="str">
        <f>Sheet1!D816</f>
        <v>Hyderabad</v>
      </c>
      <c r="E816" t="str">
        <f>Sheet1!F816</f>
        <v>Clothing</v>
      </c>
      <c r="F816" t="str">
        <f>Sheet1!H816</f>
        <v>Ajay</v>
      </c>
      <c r="G816">
        <f>Sheet1!K816</f>
        <v>45383.199999999997</v>
      </c>
      <c r="H816">
        <f>Sheet1!N816</f>
        <v>6509.45</v>
      </c>
      <c r="I816">
        <f t="shared" si="15"/>
        <v>1</v>
      </c>
    </row>
    <row r="817" spans="1:9" x14ac:dyDescent="0.3">
      <c r="A817">
        <f>Sheet1!A817</f>
        <v>1816</v>
      </c>
      <c r="B817" t="str">
        <f>Sheet1!B817</f>
        <v>2025-08-20</v>
      </c>
      <c r="C817" t="str">
        <f>TEXT(Sheet1!B817,"YYYY-MM")</f>
        <v>2025-08</v>
      </c>
      <c r="D817" t="str">
        <f>Sheet1!D817</f>
        <v>Bangalore</v>
      </c>
      <c r="E817" t="str">
        <f>Sheet1!F817</f>
        <v>Furniture</v>
      </c>
      <c r="F817" t="str">
        <f>Sheet1!H817</f>
        <v>Sneha</v>
      </c>
      <c r="G817">
        <f>Sheet1!K817</f>
        <v>89780.4</v>
      </c>
      <c r="H817">
        <f>Sheet1!N817</f>
        <v>18658.419999999998</v>
      </c>
      <c r="I817">
        <f t="shared" si="15"/>
        <v>1</v>
      </c>
    </row>
    <row r="818" spans="1:9" x14ac:dyDescent="0.3">
      <c r="A818">
        <f>Sheet1!A818</f>
        <v>1817</v>
      </c>
      <c r="B818" t="str">
        <f>Sheet1!B818</f>
        <v>2025-08-20</v>
      </c>
      <c r="C818" t="str">
        <f>TEXT(Sheet1!B818,"YYYY-MM")</f>
        <v>2025-08</v>
      </c>
      <c r="D818" t="str">
        <f>Sheet1!D818</f>
        <v>Pune</v>
      </c>
      <c r="E818" t="str">
        <f>Sheet1!F818</f>
        <v>Electronics</v>
      </c>
      <c r="F818" t="str">
        <f>Sheet1!H818</f>
        <v>Rahul</v>
      </c>
      <c r="G818">
        <f>Sheet1!K818</f>
        <v>76779</v>
      </c>
      <c r="H818">
        <f>Sheet1!N818</f>
        <v>13473.4</v>
      </c>
      <c r="I818">
        <f t="shared" si="15"/>
        <v>1</v>
      </c>
    </row>
    <row r="819" spans="1:9" x14ac:dyDescent="0.3">
      <c r="A819">
        <f>Sheet1!A819</f>
        <v>1818</v>
      </c>
      <c r="B819" t="str">
        <f>Sheet1!B819</f>
        <v>2025-08-20</v>
      </c>
      <c r="C819" t="str">
        <f>TEXT(Sheet1!B819,"YYYY-MM")</f>
        <v>2025-08</v>
      </c>
      <c r="D819" t="str">
        <f>Sheet1!D819</f>
        <v>Mumbai</v>
      </c>
      <c r="E819" t="str">
        <f>Sheet1!F819</f>
        <v>Furniture</v>
      </c>
      <c r="F819" t="str">
        <f>Sheet1!H819</f>
        <v>Rahul</v>
      </c>
      <c r="G819">
        <f>Sheet1!K819</f>
        <v>33257.599999999999</v>
      </c>
      <c r="H819">
        <f>Sheet1!N819</f>
        <v>4343.1899999999996</v>
      </c>
      <c r="I819">
        <f t="shared" si="15"/>
        <v>1</v>
      </c>
    </row>
    <row r="820" spans="1:9" x14ac:dyDescent="0.3">
      <c r="A820">
        <f>Sheet1!A820</f>
        <v>1819</v>
      </c>
      <c r="B820" t="str">
        <f>Sheet1!B820</f>
        <v>2025-08-20</v>
      </c>
      <c r="C820" t="str">
        <f>TEXT(Sheet1!B820,"YYYY-MM")</f>
        <v>2025-08</v>
      </c>
      <c r="D820" t="str">
        <f>Sheet1!D820</f>
        <v>Bangalore</v>
      </c>
      <c r="E820" t="str">
        <f>Sheet1!F820</f>
        <v>Furniture</v>
      </c>
      <c r="F820" t="str">
        <f>Sheet1!H820</f>
        <v>Rahul</v>
      </c>
      <c r="G820">
        <f>Sheet1!K820</f>
        <v>209005</v>
      </c>
      <c r="H820">
        <f>Sheet1!N820</f>
        <v>34777.94</v>
      </c>
      <c r="I820">
        <f t="shared" si="15"/>
        <v>1</v>
      </c>
    </row>
    <row r="821" spans="1:9" x14ac:dyDescent="0.3">
      <c r="A821">
        <f>Sheet1!A821</f>
        <v>1820</v>
      </c>
      <c r="B821" t="str">
        <f>Sheet1!B821</f>
        <v>2025-08-21</v>
      </c>
      <c r="C821" t="str">
        <f>TEXT(Sheet1!B821,"YYYY-MM")</f>
        <v>2025-08</v>
      </c>
      <c r="D821" t="str">
        <f>Sheet1!D821</f>
        <v>Mumbai</v>
      </c>
      <c r="E821" t="str">
        <f>Sheet1!F821</f>
        <v>Clothing</v>
      </c>
      <c r="F821" t="str">
        <f>Sheet1!H821</f>
        <v>Ajay</v>
      </c>
      <c r="G821">
        <f>Sheet1!K821</f>
        <v>106509</v>
      </c>
      <c r="H821">
        <f>Sheet1!N821</f>
        <v>15638.01</v>
      </c>
      <c r="I821">
        <f t="shared" si="15"/>
        <v>1</v>
      </c>
    </row>
    <row r="822" spans="1:9" x14ac:dyDescent="0.3">
      <c r="A822">
        <f>Sheet1!A822</f>
        <v>1821</v>
      </c>
      <c r="B822" t="str">
        <f>Sheet1!B822</f>
        <v>2025-08-21</v>
      </c>
      <c r="C822" t="str">
        <f>TEXT(Sheet1!B822,"YYYY-MM")</f>
        <v>2025-08</v>
      </c>
      <c r="D822" t="str">
        <f>Sheet1!D822</f>
        <v>Pune</v>
      </c>
      <c r="E822" t="str">
        <f>Sheet1!F822</f>
        <v>Clothing</v>
      </c>
      <c r="F822" t="str">
        <f>Sheet1!H822</f>
        <v>Ajay</v>
      </c>
      <c r="G822">
        <f>Sheet1!K822</f>
        <v>2865.6</v>
      </c>
      <c r="H822">
        <f>Sheet1!N822</f>
        <v>664.35</v>
      </c>
      <c r="I822">
        <f t="shared" si="15"/>
        <v>1</v>
      </c>
    </row>
    <row r="823" spans="1:9" x14ac:dyDescent="0.3">
      <c r="A823">
        <f>Sheet1!A823</f>
        <v>1822</v>
      </c>
      <c r="B823" t="str">
        <f>Sheet1!B823</f>
        <v>2025-08-21</v>
      </c>
      <c r="C823" t="str">
        <f>TEXT(Sheet1!B823,"YYYY-MM")</f>
        <v>2025-08</v>
      </c>
      <c r="D823" t="str">
        <f>Sheet1!D823</f>
        <v>Hyderabad</v>
      </c>
      <c r="E823" t="str">
        <f>Sheet1!F823</f>
        <v>Furniture</v>
      </c>
      <c r="F823" t="str">
        <f>Sheet1!H823</f>
        <v>Rahul</v>
      </c>
      <c r="G823">
        <f>Sheet1!K823</f>
        <v>28764</v>
      </c>
      <c r="H823">
        <f>Sheet1!N823</f>
        <v>7542.98</v>
      </c>
      <c r="I823">
        <f t="shared" si="15"/>
        <v>1</v>
      </c>
    </row>
    <row r="824" spans="1:9" x14ac:dyDescent="0.3">
      <c r="A824">
        <f>Sheet1!A824</f>
        <v>1823</v>
      </c>
      <c r="B824" t="str">
        <f>Sheet1!B824</f>
        <v>2025-08-22</v>
      </c>
      <c r="C824" t="str">
        <f>TEXT(Sheet1!B824,"YYYY-MM")</f>
        <v>2025-08</v>
      </c>
      <c r="D824" t="str">
        <f>Sheet1!D824</f>
        <v>Pune</v>
      </c>
      <c r="E824" t="str">
        <f>Sheet1!F824</f>
        <v>Furniture</v>
      </c>
      <c r="F824" t="str">
        <f>Sheet1!H824</f>
        <v>Pooja</v>
      </c>
      <c r="G824">
        <f>Sheet1!K824</f>
        <v>20593.8</v>
      </c>
      <c r="H824">
        <f>Sheet1!N824</f>
        <v>3298.14</v>
      </c>
      <c r="I824">
        <f t="shared" si="15"/>
        <v>1</v>
      </c>
    </row>
    <row r="825" spans="1:9" x14ac:dyDescent="0.3">
      <c r="A825">
        <f>Sheet1!A825</f>
        <v>1824</v>
      </c>
      <c r="B825" t="str">
        <f>Sheet1!B825</f>
        <v>2025-08-22</v>
      </c>
      <c r="C825" t="str">
        <f>TEXT(Sheet1!B825,"YYYY-MM")</f>
        <v>2025-08</v>
      </c>
      <c r="D825" t="str">
        <f>Sheet1!D825</f>
        <v>Pune</v>
      </c>
      <c r="E825" t="str">
        <f>Sheet1!F825</f>
        <v>Electronics</v>
      </c>
      <c r="F825" t="str">
        <f>Sheet1!H825</f>
        <v>Pooja</v>
      </c>
      <c r="G825">
        <f>Sheet1!K825</f>
        <v>31385</v>
      </c>
      <c r="H825">
        <f>Sheet1!N825</f>
        <v>8917.73</v>
      </c>
      <c r="I825">
        <f t="shared" si="15"/>
        <v>1</v>
      </c>
    </row>
    <row r="826" spans="1:9" x14ac:dyDescent="0.3">
      <c r="A826">
        <f>Sheet1!A826</f>
        <v>1825</v>
      </c>
      <c r="B826" t="str">
        <f>Sheet1!B826</f>
        <v>2025-08-23</v>
      </c>
      <c r="C826" t="str">
        <f>TEXT(Sheet1!B826,"YYYY-MM")</f>
        <v>2025-08</v>
      </c>
      <c r="D826" t="str">
        <f>Sheet1!D826</f>
        <v>Pune</v>
      </c>
      <c r="E826" t="str">
        <f>Sheet1!F826</f>
        <v>Clothing</v>
      </c>
      <c r="F826" t="str">
        <f>Sheet1!H826</f>
        <v>Rahul</v>
      </c>
      <c r="G826">
        <f>Sheet1!K826</f>
        <v>27449</v>
      </c>
      <c r="H826">
        <f>Sheet1!N826</f>
        <v>3350.84</v>
      </c>
      <c r="I826">
        <f t="shared" si="15"/>
        <v>1</v>
      </c>
    </row>
    <row r="827" spans="1:9" x14ac:dyDescent="0.3">
      <c r="A827">
        <f>Sheet1!A827</f>
        <v>1826</v>
      </c>
      <c r="B827" t="str">
        <f>Sheet1!B827</f>
        <v>2025-08-23</v>
      </c>
      <c r="C827" t="str">
        <f>TEXT(Sheet1!B827,"YYYY-MM")</f>
        <v>2025-08</v>
      </c>
      <c r="D827" t="str">
        <f>Sheet1!D827</f>
        <v>Bangalore</v>
      </c>
      <c r="E827" t="str">
        <f>Sheet1!F827</f>
        <v>Clothing</v>
      </c>
      <c r="F827" t="str">
        <f>Sheet1!H827</f>
        <v>Ajay</v>
      </c>
      <c r="G827">
        <f>Sheet1!K827</f>
        <v>28516.65</v>
      </c>
      <c r="H827">
        <f>Sheet1!N827</f>
        <v>4563.3900000000003</v>
      </c>
      <c r="I827">
        <f t="shared" si="15"/>
        <v>1</v>
      </c>
    </row>
    <row r="828" spans="1:9" x14ac:dyDescent="0.3">
      <c r="A828">
        <f>Sheet1!A828</f>
        <v>1827</v>
      </c>
      <c r="B828" t="str">
        <f>Sheet1!B828</f>
        <v>2025-08-24</v>
      </c>
      <c r="C828" t="str">
        <f>TEXT(Sheet1!B828,"YYYY-MM")</f>
        <v>2025-08</v>
      </c>
      <c r="D828" t="str">
        <f>Sheet1!D828</f>
        <v>Mumbai</v>
      </c>
      <c r="E828" t="str">
        <f>Sheet1!F828</f>
        <v>Electronics</v>
      </c>
      <c r="F828" t="str">
        <f>Sheet1!H828</f>
        <v>Ajay</v>
      </c>
      <c r="G828">
        <f>Sheet1!K828</f>
        <v>50202</v>
      </c>
      <c r="H828">
        <f>Sheet1!N828</f>
        <v>13457.61</v>
      </c>
      <c r="I828">
        <f t="shared" si="15"/>
        <v>1</v>
      </c>
    </row>
    <row r="829" spans="1:9" x14ac:dyDescent="0.3">
      <c r="A829">
        <f>Sheet1!A829</f>
        <v>1828</v>
      </c>
      <c r="B829" t="str">
        <f>Sheet1!B829</f>
        <v>2025-08-24</v>
      </c>
      <c r="C829" t="str">
        <f>TEXT(Sheet1!B829,"YYYY-MM")</f>
        <v>2025-08</v>
      </c>
      <c r="D829" t="str">
        <f>Sheet1!D829</f>
        <v>Delhi</v>
      </c>
      <c r="E829" t="str">
        <f>Sheet1!F829</f>
        <v>Furniture</v>
      </c>
      <c r="F829" t="str">
        <f>Sheet1!H829</f>
        <v>Rahul</v>
      </c>
      <c r="G829">
        <f>Sheet1!K829</f>
        <v>99146.55</v>
      </c>
      <c r="H829">
        <f>Sheet1!N829</f>
        <v>10001.92</v>
      </c>
      <c r="I829">
        <f t="shared" si="15"/>
        <v>1</v>
      </c>
    </row>
    <row r="830" spans="1:9" x14ac:dyDescent="0.3">
      <c r="A830">
        <f>Sheet1!A830</f>
        <v>1829</v>
      </c>
      <c r="B830" t="str">
        <f>Sheet1!B830</f>
        <v>2025-08-24</v>
      </c>
      <c r="C830" t="str">
        <f>TEXT(Sheet1!B830,"YYYY-MM")</f>
        <v>2025-08</v>
      </c>
      <c r="D830" t="str">
        <f>Sheet1!D830</f>
        <v>Delhi</v>
      </c>
      <c r="E830" t="str">
        <f>Sheet1!F830</f>
        <v>Clothing</v>
      </c>
      <c r="F830" t="str">
        <f>Sheet1!H830</f>
        <v>Pooja</v>
      </c>
      <c r="G830">
        <f>Sheet1!K830</f>
        <v>64418.400000000001</v>
      </c>
      <c r="H830">
        <f>Sheet1!N830</f>
        <v>8836.16</v>
      </c>
      <c r="I830">
        <f t="shared" si="15"/>
        <v>1</v>
      </c>
    </row>
    <row r="831" spans="1:9" x14ac:dyDescent="0.3">
      <c r="A831">
        <f>Sheet1!A831</f>
        <v>1830</v>
      </c>
      <c r="B831" t="str">
        <f>Sheet1!B831</f>
        <v>2025-08-25</v>
      </c>
      <c r="C831" t="str">
        <f>TEXT(Sheet1!B831,"YYYY-MM")</f>
        <v>2025-08</v>
      </c>
      <c r="D831" t="str">
        <f>Sheet1!D831</f>
        <v>Pune</v>
      </c>
      <c r="E831" t="str">
        <f>Sheet1!F831</f>
        <v>Clothing</v>
      </c>
      <c r="F831" t="str">
        <f>Sheet1!H831</f>
        <v>Sneha</v>
      </c>
      <c r="G831">
        <f>Sheet1!K831</f>
        <v>93098.1</v>
      </c>
      <c r="H831">
        <f>Sheet1!N831</f>
        <v>20408.07</v>
      </c>
      <c r="I831">
        <f t="shared" si="15"/>
        <v>1</v>
      </c>
    </row>
    <row r="832" spans="1:9" x14ac:dyDescent="0.3">
      <c r="A832">
        <f>Sheet1!A832</f>
        <v>1831</v>
      </c>
      <c r="B832" t="str">
        <f>Sheet1!B832</f>
        <v>2025-08-25</v>
      </c>
      <c r="C832" t="str">
        <f>TEXT(Sheet1!B832,"YYYY-MM")</f>
        <v>2025-08</v>
      </c>
      <c r="D832" t="str">
        <f>Sheet1!D832</f>
        <v>Delhi</v>
      </c>
      <c r="E832" t="str">
        <f>Sheet1!F832</f>
        <v>Furniture</v>
      </c>
      <c r="F832" t="str">
        <f>Sheet1!H832</f>
        <v>Sneha</v>
      </c>
      <c r="G832">
        <f>Sheet1!K832</f>
        <v>26936</v>
      </c>
      <c r="H832">
        <f>Sheet1!N832</f>
        <v>7524.69</v>
      </c>
      <c r="I832">
        <f t="shared" si="15"/>
        <v>1</v>
      </c>
    </row>
    <row r="833" spans="1:9" x14ac:dyDescent="0.3">
      <c r="A833">
        <f>Sheet1!A833</f>
        <v>1832</v>
      </c>
      <c r="B833" t="str">
        <f>Sheet1!B833</f>
        <v>2025-08-25</v>
      </c>
      <c r="C833" t="str">
        <f>TEXT(Sheet1!B833,"YYYY-MM")</f>
        <v>2025-08</v>
      </c>
      <c r="D833" t="str">
        <f>Sheet1!D833</f>
        <v>Delhi</v>
      </c>
      <c r="E833" t="str">
        <f>Sheet1!F833</f>
        <v>Electronics</v>
      </c>
      <c r="F833" t="str">
        <f>Sheet1!H833</f>
        <v>Pooja</v>
      </c>
      <c r="G833">
        <f>Sheet1!K833</f>
        <v>81860</v>
      </c>
      <c r="H833">
        <f>Sheet1!N833</f>
        <v>17883.37</v>
      </c>
      <c r="I833">
        <f t="shared" si="15"/>
        <v>1</v>
      </c>
    </row>
    <row r="834" spans="1:9" x14ac:dyDescent="0.3">
      <c r="A834">
        <f>Sheet1!A834</f>
        <v>1833</v>
      </c>
      <c r="B834" t="str">
        <f>Sheet1!B834</f>
        <v>2025-08-25</v>
      </c>
      <c r="C834" t="str">
        <f>TEXT(Sheet1!B834,"YYYY-MM")</f>
        <v>2025-08</v>
      </c>
      <c r="D834" t="str">
        <f>Sheet1!D834</f>
        <v>Delhi</v>
      </c>
      <c r="E834" t="str">
        <f>Sheet1!F834</f>
        <v>Electronics</v>
      </c>
      <c r="F834" t="str">
        <f>Sheet1!H834</f>
        <v>Ajay</v>
      </c>
      <c r="G834">
        <f>Sheet1!K834</f>
        <v>34672</v>
      </c>
      <c r="H834">
        <f>Sheet1!N834</f>
        <v>8463.76</v>
      </c>
      <c r="I834">
        <f t="shared" ref="I834:I897" si="16">IF(AND(OR(FilterCity="All",D834=FilterCity),OR(FilterCategory="All",E834=FilterCategory),OR(FilterRep="All",F834=FilterRep),C834&gt;=FilterMonthFrom,C834&lt;=FilterMonthTo),1,0)</f>
        <v>1</v>
      </c>
    </row>
    <row r="835" spans="1:9" x14ac:dyDescent="0.3">
      <c r="A835">
        <f>Sheet1!A835</f>
        <v>1834</v>
      </c>
      <c r="B835" t="str">
        <f>Sheet1!B835</f>
        <v>2025-08-25</v>
      </c>
      <c r="C835" t="str">
        <f>TEXT(Sheet1!B835,"YYYY-MM")</f>
        <v>2025-08</v>
      </c>
      <c r="D835" t="str">
        <f>Sheet1!D835</f>
        <v>Mumbai</v>
      </c>
      <c r="E835" t="str">
        <f>Sheet1!F835</f>
        <v>Electronics</v>
      </c>
      <c r="F835" t="str">
        <f>Sheet1!H835</f>
        <v>Sneha</v>
      </c>
      <c r="G835">
        <f>Sheet1!K835</f>
        <v>151843.5</v>
      </c>
      <c r="H835">
        <f>Sheet1!N835</f>
        <v>30132.9</v>
      </c>
      <c r="I835">
        <f t="shared" si="16"/>
        <v>1</v>
      </c>
    </row>
    <row r="836" spans="1:9" x14ac:dyDescent="0.3">
      <c r="A836">
        <f>Sheet1!A836</f>
        <v>1835</v>
      </c>
      <c r="B836" t="str">
        <f>Sheet1!B836</f>
        <v>2025-08-26</v>
      </c>
      <c r="C836" t="str">
        <f>TEXT(Sheet1!B836,"YYYY-MM")</f>
        <v>2025-08</v>
      </c>
      <c r="D836" t="str">
        <f>Sheet1!D836</f>
        <v>Hyderabad</v>
      </c>
      <c r="E836" t="str">
        <f>Sheet1!F836</f>
        <v>Furniture</v>
      </c>
      <c r="F836" t="str">
        <f>Sheet1!H836</f>
        <v>Ajay</v>
      </c>
      <c r="G836">
        <f>Sheet1!K836</f>
        <v>71460.899999999994</v>
      </c>
      <c r="H836">
        <f>Sheet1!N836</f>
        <v>17082.259999999998</v>
      </c>
      <c r="I836">
        <f t="shared" si="16"/>
        <v>1</v>
      </c>
    </row>
    <row r="837" spans="1:9" x14ac:dyDescent="0.3">
      <c r="A837">
        <f>Sheet1!A837</f>
        <v>1836</v>
      </c>
      <c r="B837" t="str">
        <f>Sheet1!B837</f>
        <v>2025-08-26</v>
      </c>
      <c r="C837" t="str">
        <f>TEXT(Sheet1!B837,"YYYY-MM")</f>
        <v>2025-08</v>
      </c>
      <c r="D837" t="str">
        <f>Sheet1!D837</f>
        <v>Mumbai</v>
      </c>
      <c r="E837" t="str">
        <f>Sheet1!F837</f>
        <v>Furniture</v>
      </c>
      <c r="F837" t="str">
        <f>Sheet1!H837</f>
        <v>Rahul</v>
      </c>
      <c r="G837">
        <f>Sheet1!K837</f>
        <v>43824.45</v>
      </c>
      <c r="H837">
        <f>Sheet1!N837</f>
        <v>8999.15</v>
      </c>
      <c r="I837">
        <f t="shared" si="16"/>
        <v>1</v>
      </c>
    </row>
    <row r="838" spans="1:9" x14ac:dyDescent="0.3">
      <c r="A838">
        <f>Sheet1!A838</f>
        <v>1837</v>
      </c>
      <c r="B838" t="str">
        <f>Sheet1!B838</f>
        <v>2025-08-26</v>
      </c>
      <c r="C838" t="str">
        <f>TEXT(Sheet1!B838,"YYYY-MM")</f>
        <v>2025-08</v>
      </c>
      <c r="D838" t="str">
        <f>Sheet1!D838</f>
        <v>Pune</v>
      </c>
      <c r="E838" t="str">
        <f>Sheet1!F838</f>
        <v>Clothing</v>
      </c>
      <c r="F838" t="str">
        <f>Sheet1!H838</f>
        <v>Pooja</v>
      </c>
      <c r="G838">
        <f>Sheet1!K838</f>
        <v>4075.2</v>
      </c>
      <c r="H838">
        <f>Sheet1!N838</f>
        <v>876.57</v>
      </c>
      <c r="I838">
        <f t="shared" si="16"/>
        <v>1</v>
      </c>
    </row>
    <row r="839" spans="1:9" x14ac:dyDescent="0.3">
      <c r="A839">
        <f>Sheet1!A839</f>
        <v>1838</v>
      </c>
      <c r="B839" t="str">
        <f>Sheet1!B839</f>
        <v>2025-08-26</v>
      </c>
      <c r="C839" t="str">
        <f>TEXT(Sheet1!B839,"YYYY-MM")</f>
        <v>2025-08</v>
      </c>
      <c r="D839" t="str">
        <f>Sheet1!D839</f>
        <v>Mumbai</v>
      </c>
      <c r="E839" t="str">
        <f>Sheet1!F839</f>
        <v>Furniture</v>
      </c>
      <c r="F839" t="str">
        <f>Sheet1!H839</f>
        <v>Rahul</v>
      </c>
      <c r="G839">
        <f>Sheet1!K839</f>
        <v>165035</v>
      </c>
      <c r="H839">
        <f>Sheet1!N839</f>
        <v>42393.03</v>
      </c>
      <c r="I839">
        <f t="shared" si="16"/>
        <v>1</v>
      </c>
    </row>
    <row r="840" spans="1:9" x14ac:dyDescent="0.3">
      <c r="A840">
        <f>Sheet1!A840</f>
        <v>1839</v>
      </c>
      <c r="B840" t="str">
        <f>Sheet1!B840</f>
        <v>2025-08-26</v>
      </c>
      <c r="C840" t="str">
        <f>TEXT(Sheet1!B840,"YYYY-MM")</f>
        <v>2025-08</v>
      </c>
      <c r="D840" t="str">
        <f>Sheet1!D840</f>
        <v>Mumbai</v>
      </c>
      <c r="E840" t="str">
        <f>Sheet1!F840</f>
        <v>Electronics</v>
      </c>
      <c r="F840" t="str">
        <f>Sheet1!H840</f>
        <v>Pooja</v>
      </c>
      <c r="G840">
        <f>Sheet1!K840</f>
        <v>178806</v>
      </c>
      <c r="H840">
        <f>Sheet1!N840</f>
        <v>50283.49</v>
      </c>
      <c r="I840">
        <f t="shared" si="16"/>
        <v>1</v>
      </c>
    </row>
    <row r="841" spans="1:9" x14ac:dyDescent="0.3">
      <c r="A841">
        <f>Sheet1!A841</f>
        <v>1840</v>
      </c>
      <c r="B841" t="str">
        <f>Sheet1!B841</f>
        <v>2025-08-27</v>
      </c>
      <c r="C841" t="str">
        <f>TEXT(Sheet1!B841,"YYYY-MM")</f>
        <v>2025-08</v>
      </c>
      <c r="D841" t="str">
        <f>Sheet1!D841</f>
        <v>Delhi</v>
      </c>
      <c r="E841" t="str">
        <f>Sheet1!F841</f>
        <v>Electronics</v>
      </c>
      <c r="F841" t="str">
        <f>Sheet1!H841</f>
        <v>Pooja</v>
      </c>
      <c r="G841">
        <f>Sheet1!K841</f>
        <v>76065</v>
      </c>
      <c r="H841">
        <f>Sheet1!N841</f>
        <v>9121.94</v>
      </c>
      <c r="I841">
        <f t="shared" si="16"/>
        <v>1</v>
      </c>
    </row>
    <row r="842" spans="1:9" x14ac:dyDescent="0.3">
      <c r="A842">
        <f>Sheet1!A842</f>
        <v>1841</v>
      </c>
      <c r="B842" t="str">
        <f>Sheet1!B842</f>
        <v>2025-08-27</v>
      </c>
      <c r="C842" t="str">
        <f>TEXT(Sheet1!B842,"YYYY-MM")</f>
        <v>2025-08</v>
      </c>
      <c r="D842" t="str">
        <f>Sheet1!D842</f>
        <v>Hyderabad</v>
      </c>
      <c r="E842" t="str">
        <f>Sheet1!F842</f>
        <v>Electronics</v>
      </c>
      <c r="F842" t="str">
        <f>Sheet1!H842</f>
        <v>Pooja</v>
      </c>
      <c r="G842">
        <f>Sheet1!K842</f>
        <v>17015.400000000001</v>
      </c>
      <c r="H842">
        <f>Sheet1!N842</f>
        <v>4661.3999999999996</v>
      </c>
      <c r="I842">
        <f t="shared" si="16"/>
        <v>1</v>
      </c>
    </row>
    <row r="843" spans="1:9" x14ac:dyDescent="0.3">
      <c r="A843">
        <f>Sheet1!A843</f>
        <v>1842</v>
      </c>
      <c r="B843" t="str">
        <f>Sheet1!B843</f>
        <v>2025-08-27</v>
      </c>
      <c r="C843" t="str">
        <f>TEXT(Sheet1!B843,"YYYY-MM")</f>
        <v>2025-08</v>
      </c>
      <c r="D843" t="str">
        <f>Sheet1!D843</f>
        <v>Hyderabad</v>
      </c>
      <c r="E843" t="str">
        <f>Sheet1!F843</f>
        <v>Electronics</v>
      </c>
      <c r="F843" t="str">
        <f>Sheet1!H843</f>
        <v>Sneha</v>
      </c>
      <c r="G843">
        <f>Sheet1!K843</f>
        <v>4896</v>
      </c>
      <c r="H843">
        <f>Sheet1!N843</f>
        <v>1466.25</v>
      </c>
      <c r="I843">
        <f t="shared" si="16"/>
        <v>1</v>
      </c>
    </row>
    <row r="844" spans="1:9" x14ac:dyDescent="0.3">
      <c r="A844">
        <f>Sheet1!A844</f>
        <v>1843</v>
      </c>
      <c r="B844" t="str">
        <f>Sheet1!B844</f>
        <v>2025-08-27</v>
      </c>
      <c r="C844" t="str">
        <f>TEXT(Sheet1!B844,"YYYY-MM")</f>
        <v>2025-08</v>
      </c>
      <c r="D844" t="str">
        <f>Sheet1!D844</f>
        <v>Delhi</v>
      </c>
      <c r="E844" t="str">
        <f>Sheet1!F844</f>
        <v>Clothing</v>
      </c>
      <c r="F844" t="str">
        <f>Sheet1!H844</f>
        <v>Rahul</v>
      </c>
      <c r="G844">
        <f>Sheet1!K844</f>
        <v>85598.399999999994</v>
      </c>
      <c r="H844">
        <f>Sheet1!N844</f>
        <v>22233.119999999999</v>
      </c>
      <c r="I844">
        <f t="shared" si="16"/>
        <v>1</v>
      </c>
    </row>
    <row r="845" spans="1:9" x14ac:dyDescent="0.3">
      <c r="A845">
        <f>Sheet1!A845</f>
        <v>1844</v>
      </c>
      <c r="B845" t="str">
        <f>Sheet1!B845</f>
        <v>2025-08-28</v>
      </c>
      <c r="C845" t="str">
        <f>TEXT(Sheet1!B845,"YYYY-MM")</f>
        <v>2025-08</v>
      </c>
      <c r="D845" t="str">
        <f>Sheet1!D845</f>
        <v>Bangalore</v>
      </c>
      <c r="E845" t="str">
        <f>Sheet1!F845</f>
        <v>Clothing</v>
      </c>
      <c r="F845" t="str">
        <f>Sheet1!H845</f>
        <v>Pooja</v>
      </c>
      <c r="G845">
        <f>Sheet1!K845</f>
        <v>129054</v>
      </c>
      <c r="H845">
        <f>Sheet1!N845</f>
        <v>23934.95</v>
      </c>
      <c r="I845">
        <f t="shared" si="16"/>
        <v>1</v>
      </c>
    </row>
    <row r="846" spans="1:9" x14ac:dyDescent="0.3">
      <c r="A846">
        <f>Sheet1!A846</f>
        <v>1845</v>
      </c>
      <c r="B846" t="str">
        <f>Sheet1!B846</f>
        <v>2025-08-28</v>
      </c>
      <c r="C846" t="str">
        <f>TEXT(Sheet1!B846,"YYYY-MM")</f>
        <v>2025-08</v>
      </c>
      <c r="D846" t="str">
        <f>Sheet1!D846</f>
        <v>Bangalore</v>
      </c>
      <c r="E846" t="str">
        <f>Sheet1!F846</f>
        <v>Clothing</v>
      </c>
      <c r="F846" t="str">
        <f>Sheet1!H846</f>
        <v>Ajay</v>
      </c>
      <c r="G846">
        <f>Sheet1!K846</f>
        <v>177138</v>
      </c>
      <c r="H846">
        <f>Sheet1!N846</f>
        <v>48512.84</v>
      </c>
      <c r="I846">
        <f t="shared" si="16"/>
        <v>1</v>
      </c>
    </row>
    <row r="847" spans="1:9" x14ac:dyDescent="0.3">
      <c r="A847">
        <f>Sheet1!A847</f>
        <v>1846</v>
      </c>
      <c r="B847" t="str">
        <f>Sheet1!B847</f>
        <v>2025-08-29</v>
      </c>
      <c r="C847" t="str">
        <f>TEXT(Sheet1!B847,"YYYY-MM")</f>
        <v>2025-08</v>
      </c>
      <c r="D847" t="str">
        <f>Sheet1!D847</f>
        <v>Bangalore</v>
      </c>
      <c r="E847" t="str">
        <f>Sheet1!F847</f>
        <v>Furniture</v>
      </c>
      <c r="F847" t="str">
        <f>Sheet1!H847</f>
        <v>Rahul</v>
      </c>
      <c r="G847">
        <f>Sheet1!K847</f>
        <v>60615.7</v>
      </c>
      <c r="H847">
        <f>Sheet1!N847</f>
        <v>15687.34</v>
      </c>
      <c r="I847">
        <f t="shared" si="16"/>
        <v>1</v>
      </c>
    </row>
    <row r="848" spans="1:9" x14ac:dyDescent="0.3">
      <c r="A848">
        <f>Sheet1!A848</f>
        <v>1847</v>
      </c>
      <c r="B848" t="str">
        <f>Sheet1!B848</f>
        <v>2025-08-29</v>
      </c>
      <c r="C848" t="str">
        <f>TEXT(Sheet1!B848,"YYYY-MM")</f>
        <v>2025-08</v>
      </c>
      <c r="D848" t="str">
        <f>Sheet1!D848</f>
        <v>Hyderabad</v>
      </c>
      <c r="E848" t="str">
        <f>Sheet1!F848</f>
        <v>Furniture</v>
      </c>
      <c r="F848" t="str">
        <f>Sheet1!H848</f>
        <v>Rahul</v>
      </c>
      <c r="G848">
        <f>Sheet1!K848</f>
        <v>39474.400000000001</v>
      </c>
      <c r="H848">
        <f>Sheet1!N848</f>
        <v>10419.030000000001</v>
      </c>
      <c r="I848">
        <f t="shared" si="16"/>
        <v>1</v>
      </c>
    </row>
    <row r="849" spans="1:9" x14ac:dyDescent="0.3">
      <c r="A849">
        <f>Sheet1!A849</f>
        <v>1848</v>
      </c>
      <c r="B849" t="str">
        <f>Sheet1!B849</f>
        <v>2025-08-29</v>
      </c>
      <c r="C849" t="str">
        <f>TEXT(Sheet1!B849,"YYYY-MM")</f>
        <v>2025-08</v>
      </c>
      <c r="D849" t="str">
        <f>Sheet1!D849</f>
        <v>Pune</v>
      </c>
      <c r="E849" t="str">
        <f>Sheet1!F849</f>
        <v>Furniture</v>
      </c>
      <c r="F849" t="str">
        <f>Sheet1!H849</f>
        <v>Pooja</v>
      </c>
      <c r="G849">
        <f>Sheet1!K849</f>
        <v>82589.399999999994</v>
      </c>
      <c r="H849">
        <f>Sheet1!N849</f>
        <v>11785.63</v>
      </c>
      <c r="I849">
        <f t="shared" si="16"/>
        <v>1</v>
      </c>
    </row>
    <row r="850" spans="1:9" x14ac:dyDescent="0.3">
      <c r="A850">
        <f>Sheet1!A850</f>
        <v>1849</v>
      </c>
      <c r="B850" t="str">
        <f>Sheet1!B850</f>
        <v>2025-08-29</v>
      </c>
      <c r="C850" t="str">
        <f>TEXT(Sheet1!B850,"YYYY-MM")</f>
        <v>2025-08</v>
      </c>
      <c r="D850" t="str">
        <f>Sheet1!D850</f>
        <v>Delhi</v>
      </c>
      <c r="E850" t="str">
        <f>Sheet1!F850</f>
        <v>Clothing</v>
      </c>
      <c r="F850" t="str">
        <f>Sheet1!H850</f>
        <v>Rahul</v>
      </c>
      <c r="G850">
        <f>Sheet1!K850</f>
        <v>223962.5</v>
      </c>
      <c r="H850">
        <f>Sheet1!N850</f>
        <v>31471.53</v>
      </c>
      <c r="I850">
        <f t="shared" si="16"/>
        <v>1</v>
      </c>
    </row>
    <row r="851" spans="1:9" x14ac:dyDescent="0.3">
      <c r="A851">
        <f>Sheet1!A851</f>
        <v>1850</v>
      </c>
      <c r="B851" t="str">
        <f>Sheet1!B851</f>
        <v>2025-08-29</v>
      </c>
      <c r="C851" t="str">
        <f>TEXT(Sheet1!B851,"YYYY-MM")</f>
        <v>2025-08</v>
      </c>
      <c r="D851" t="str">
        <f>Sheet1!D851</f>
        <v>Hyderabad</v>
      </c>
      <c r="E851" t="str">
        <f>Sheet1!F851</f>
        <v>Clothing</v>
      </c>
      <c r="F851" t="str">
        <f>Sheet1!H851</f>
        <v>Ajay</v>
      </c>
      <c r="G851">
        <f>Sheet1!K851</f>
        <v>100725</v>
      </c>
      <c r="H851">
        <f>Sheet1!N851</f>
        <v>28732.33</v>
      </c>
      <c r="I851">
        <f t="shared" si="16"/>
        <v>1</v>
      </c>
    </row>
    <row r="852" spans="1:9" x14ac:dyDescent="0.3">
      <c r="A852">
        <f>Sheet1!A852</f>
        <v>1851</v>
      </c>
      <c r="B852" t="str">
        <f>Sheet1!B852</f>
        <v>2025-08-30</v>
      </c>
      <c r="C852" t="str">
        <f>TEXT(Sheet1!B852,"YYYY-MM")</f>
        <v>2025-08</v>
      </c>
      <c r="D852" t="str">
        <f>Sheet1!D852</f>
        <v>Pune</v>
      </c>
      <c r="E852" t="str">
        <f>Sheet1!F852</f>
        <v>Furniture</v>
      </c>
      <c r="F852" t="str">
        <f>Sheet1!H852</f>
        <v>Rahul</v>
      </c>
      <c r="G852">
        <f>Sheet1!K852</f>
        <v>46007.1</v>
      </c>
      <c r="H852">
        <f>Sheet1!N852</f>
        <v>12786.97</v>
      </c>
      <c r="I852">
        <f t="shared" si="16"/>
        <v>1</v>
      </c>
    </row>
    <row r="853" spans="1:9" x14ac:dyDescent="0.3">
      <c r="A853">
        <f>Sheet1!A853</f>
        <v>1852</v>
      </c>
      <c r="B853" t="str">
        <f>Sheet1!B853</f>
        <v>2025-08-30</v>
      </c>
      <c r="C853" t="str">
        <f>TEXT(Sheet1!B853,"YYYY-MM")</f>
        <v>2025-08</v>
      </c>
      <c r="D853" t="str">
        <f>Sheet1!D853</f>
        <v>Hyderabad</v>
      </c>
      <c r="E853" t="str">
        <f>Sheet1!F853</f>
        <v>Furniture</v>
      </c>
      <c r="F853" t="str">
        <f>Sheet1!H853</f>
        <v>Pooja</v>
      </c>
      <c r="G853">
        <f>Sheet1!K853</f>
        <v>122393.25</v>
      </c>
      <c r="H853">
        <f>Sheet1!N853</f>
        <v>21663.3</v>
      </c>
      <c r="I853">
        <f t="shared" si="16"/>
        <v>1</v>
      </c>
    </row>
    <row r="854" spans="1:9" x14ac:dyDescent="0.3">
      <c r="A854">
        <f>Sheet1!A854</f>
        <v>1853</v>
      </c>
      <c r="B854" t="str">
        <f>Sheet1!B854</f>
        <v>2025-08-31</v>
      </c>
      <c r="C854" t="str">
        <f>TEXT(Sheet1!B854,"YYYY-MM")</f>
        <v>2025-08</v>
      </c>
      <c r="D854" t="str">
        <f>Sheet1!D854</f>
        <v>Delhi</v>
      </c>
      <c r="E854" t="str">
        <f>Sheet1!F854</f>
        <v>Clothing</v>
      </c>
      <c r="F854" t="str">
        <f>Sheet1!H854</f>
        <v>Sneha</v>
      </c>
      <c r="G854">
        <f>Sheet1!K854</f>
        <v>6852.6</v>
      </c>
      <c r="H854">
        <f>Sheet1!N854</f>
        <v>1762.67</v>
      </c>
      <c r="I854">
        <f t="shared" si="16"/>
        <v>1</v>
      </c>
    </row>
    <row r="855" spans="1:9" x14ac:dyDescent="0.3">
      <c r="A855">
        <f>Sheet1!A855</f>
        <v>1854</v>
      </c>
      <c r="B855" t="str">
        <f>Sheet1!B855</f>
        <v>2025-08-31</v>
      </c>
      <c r="C855" t="str">
        <f>TEXT(Sheet1!B855,"YYYY-MM")</f>
        <v>2025-08</v>
      </c>
      <c r="D855" t="str">
        <f>Sheet1!D855</f>
        <v>Bangalore</v>
      </c>
      <c r="E855" t="str">
        <f>Sheet1!F855</f>
        <v>Clothing</v>
      </c>
      <c r="F855" t="str">
        <f>Sheet1!H855</f>
        <v>Ajay</v>
      </c>
      <c r="G855">
        <f>Sheet1!K855</f>
        <v>115946.55</v>
      </c>
      <c r="H855">
        <f>Sheet1!N855</f>
        <v>32044.94</v>
      </c>
      <c r="I855">
        <f t="shared" si="16"/>
        <v>1</v>
      </c>
    </row>
    <row r="856" spans="1:9" x14ac:dyDescent="0.3">
      <c r="A856">
        <f>Sheet1!A856</f>
        <v>1855</v>
      </c>
      <c r="B856" t="str">
        <f>Sheet1!B856</f>
        <v>2025-08-31</v>
      </c>
      <c r="C856" t="str">
        <f>TEXT(Sheet1!B856,"YYYY-MM")</f>
        <v>2025-08</v>
      </c>
      <c r="D856" t="str">
        <f>Sheet1!D856</f>
        <v>Hyderabad</v>
      </c>
      <c r="E856" t="str">
        <f>Sheet1!F856</f>
        <v>Furniture</v>
      </c>
      <c r="F856" t="str">
        <f>Sheet1!H856</f>
        <v>Rahul</v>
      </c>
      <c r="G856">
        <f>Sheet1!K856</f>
        <v>71208</v>
      </c>
      <c r="H856">
        <f>Sheet1!N856</f>
        <v>12702.38</v>
      </c>
      <c r="I856">
        <f t="shared" si="16"/>
        <v>1</v>
      </c>
    </row>
    <row r="857" spans="1:9" x14ac:dyDescent="0.3">
      <c r="A857">
        <f>Sheet1!A857</f>
        <v>1856</v>
      </c>
      <c r="B857" t="str">
        <f>Sheet1!B857</f>
        <v>2025-09-01</v>
      </c>
      <c r="C857" t="str">
        <f>TEXT(Sheet1!B857,"YYYY-MM")</f>
        <v>2025-09</v>
      </c>
      <c r="D857" t="str">
        <f>Sheet1!D857</f>
        <v>Mumbai</v>
      </c>
      <c r="E857" t="str">
        <f>Sheet1!F857</f>
        <v>Furniture</v>
      </c>
      <c r="F857" t="str">
        <f>Sheet1!H857</f>
        <v>Sneha</v>
      </c>
      <c r="G857">
        <f>Sheet1!K857</f>
        <v>22885.5</v>
      </c>
      <c r="H857">
        <f>Sheet1!N857</f>
        <v>2854.74</v>
      </c>
      <c r="I857">
        <f t="shared" si="16"/>
        <v>1</v>
      </c>
    </row>
    <row r="858" spans="1:9" x14ac:dyDescent="0.3">
      <c r="A858">
        <f>Sheet1!A858</f>
        <v>1857</v>
      </c>
      <c r="B858" t="str">
        <f>Sheet1!B858</f>
        <v>2025-09-01</v>
      </c>
      <c r="C858" t="str">
        <f>TEXT(Sheet1!B858,"YYYY-MM")</f>
        <v>2025-09</v>
      </c>
      <c r="D858" t="str">
        <f>Sheet1!D858</f>
        <v>Hyderabad</v>
      </c>
      <c r="E858" t="str">
        <f>Sheet1!F858</f>
        <v>Clothing</v>
      </c>
      <c r="F858" t="str">
        <f>Sheet1!H858</f>
        <v>Sneha</v>
      </c>
      <c r="G858">
        <f>Sheet1!K858</f>
        <v>147257.4</v>
      </c>
      <c r="H858">
        <f>Sheet1!N858</f>
        <v>35788.67</v>
      </c>
      <c r="I858">
        <f t="shared" si="16"/>
        <v>1</v>
      </c>
    </row>
    <row r="859" spans="1:9" x14ac:dyDescent="0.3">
      <c r="A859">
        <f>Sheet1!A859</f>
        <v>1858</v>
      </c>
      <c r="B859" t="str">
        <f>Sheet1!B859</f>
        <v>2025-09-01</v>
      </c>
      <c r="C859" t="str">
        <f>TEXT(Sheet1!B859,"YYYY-MM")</f>
        <v>2025-09</v>
      </c>
      <c r="D859" t="str">
        <f>Sheet1!D859</f>
        <v>Delhi</v>
      </c>
      <c r="E859" t="str">
        <f>Sheet1!F859</f>
        <v>Furniture</v>
      </c>
      <c r="F859" t="str">
        <f>Sheet1!H859</f>
        <v>Sneha</v>
      </c>
      <c r="G859">
        <f>Sheet1!K859</f>
        <v>63969.2</v>
      </c>
      <c r="H859">
        <f>Sheet1!N859</f>
        <v>8392.64</v>
      </c>
      <c r="I859">
        <f t="shared" si="16"/>
        <v>1</v>
      </c>
    </row>
    <row r="860" spans="1:9" x14ac:dyDescent="0.3">
      <c r="A860">
        <f>Sheet1!A860</f>
        <v>1859</v>
      </c>
      <c r="B860" t="str">
        <f>Sheet1!B860</f>
        <v>2025-09-01</v>
      </c>
      <c r="C860" t="str">
        <f>TEXT(Sheet1!B860,"YYYY-MM")</f>
        <v>2025-09</v>
      </c>
      <c r="D860" t="str">
        <f>Sheet1!D860</f>
        <v>Mumbai</v>
      </c>
      <c r="E860" t="str">
        <f>Sheet1!F860</f>
        <v>Electronics</v>
      </c>
      <c r="F860" t="str">
        <f>Sheet1!H860</f>
        <v>Pooja</v>
      </c>
      <c r="G860">
        <f>Sheet1!K860</f>
        <v>3401</v>
      </c>
      <c r="H860">
        <f>Sheet1!N860</f>
        <v>346.63</v>
      </c>
      <c r="I860">
        <f t="shared" si="16"/>
        <v>1</v>
      </c>
    </row>
    <row r="861" spans="1:9" x14ac:dyDescent="0.3">
      <c r="A861">
        <f>Sheet1!A861</f>
        <v>1860</v>
      </c>
      <c r="B861" t="str">
        <f>Sheet1!B861</f>
        <v>2025-09-02</v>
      </c>
      <c r="C861" t="str">
        <f>TEXT(Sheet1!B861,"YYYY-MM")</f>
        <v>2025-09</v>
      </c>
      <c r="D861" t="str">
        <f>Sheet1!D861</f>
        <v>Bangalore</v>
      </c>
      <c r="E861" t="str">
        <f>Sheet1!F861</f>
        <v>Furniture</v>
      </c>
      <c r="F861" t="str">
        <f>Sheet1!H861</f>
        <v>Pooja</v>
      </c>
      <c r="G861">
        <f>Sheet1!K861</f>
        <v>5988.6</v>
      </c>
      <c r="H861">
        <f>Sheet1!N861</f>
        <v>1043.8599999999999</v>
      </c>
      <c r="I861">
        <f t="shared" si="16"/>
        <v>1</v>
      </c>
    </row>
    <row r="862" spans="1:9" x14ac:dyDescent="0.3">
      <c r="A862">
        <f>Sheet1!A862</f>
        <v>1861</v>
      </c>
      <c r="B862" t="str">
        <f>Sheet1!B862</f>
        <v>2025-09-02</v>
      </c>
      <c r="C862" t="str">
        <f>TEXT(Sheet1!B862,"YYYY-MM")</f>
        <v>2025-09</v>
      </c>
      <c r="D862" t="str">
        <f>Sheet1!D862</f>
        <v>Mumbai</v>
      </c>
      <c r="E862" t="str">
        <f>Sheet1!F862</f>
        <v>Clothing</v>
      </c>
      <c r="F862" t="str">
        <f>Sheet1!H862</f>
        <v>Pooja</v>
      </c>
      <c r="G862">
        <f>Sheet1!K862</f>
        <v>33013</v>
      </c>
      <c r="H862">
        <f>Sheet1!N862</f>
        <v>4825.2700000000004</v>
      </c>
      <c r="I862">
        <f t="shared" si="16"/>
        <v>1</v>
      </c>
    </row>
    <row r="863" spans="1:9" x14ac:dyDescent="0.3">
      <c r="A863">
        <f>Sheet1!A863</f>
        <v>1862</v>
      </c>
      <c r="B863" t="str">
        <f>Sheet1!B863</f>
        <v>2025-09-03</v>
      </c>
      <c r="C863" t="str">
        <f>TEXT(Sheet1!B863,"YYYY-MM")</f>
        <v>2025-09</v>
      </c>
      <c r="D863" t="str">
        <f>Sheet1!D863</f>
        <v>Hyderabad</v>
      </c>
      <c r="E863" t="str">
        <f>Sheet1!F863</f>
        <v>Electronics</v>
      </c>
      <c r="F863" t="str">
        <f>Sheet1!H863</f>
        <v>Rahul</v>
      </c>
      <c r="G863">
        <f>Sheet1!K863</f>
        <v>80965.05</v>
      </c>
      <c r="H863">
        <f>Sheet1!N863</f>
        <v>19030.46</v>
      </c>
      <c r="I863">
        <f t="shared" si="16"/>
        <v>1</v>
      </c>
    </row>
    <row r="864" spans="1:9" x14ac:dyDescent="0.3">
      <c r="A864">
        <f>Sheet1!A864</f>
        <v>1863</v>
      </c>
      <c r="B864" t="str">
        <f>Sheet1!B864</f>
        <v>2025-09-03</v>
      </c>
      <c r="C864" t="str">
        <f>TEXT(Sheet1!B864,"YYYY-MM")</f>
        <v>2025-09</v>
      </c>
      <c r="D864" t="str">
        <f>Sheet1!D864</f>
        <v>Bangalore</v>
      </c>
      <c r="E864" t="str">
        <f>Sheet1!F864</f>
        <v>Electronics</v>
      </c>
      <c r="F864" t="str">
        <f>Sheet1!H864</f>
        <v>Sneha</v>
      </c>
      <c r="G864">
        <f>Sheet1!K864</f>
        <v>89406.399999999994</v>
      </c>
      <c r="H864">
        <f>Sheet1!N864</f>
        <v>16706.13</v>
      </c>
      <c r="I864">
        <f t="shared" si="16"/>
        <v>1</v>
      </c>
    </row>
    <row r="865" spans="1:9" x14ac:dyDescent="0.3">
      <c r="A865">
        <f>Sheet1!A865</f>
        <v>1864</v>
      </c>
      <c r="B865" t="str">
        <f>Sheet1!B865</f>
        <v>2025-09-04</v>
      </c>
      <c r="C865" t="str">
        <f>TEXT(Sheet1!B865,"YYYY-MM")</f>
        <v>2025-09</v>
      </c>
      <c r="D865" t="str">
        <f>Sheet1!D865</f>
        <v>Pune</v>
      </c>
      <c r="E865" t="str">
        <f>Sheet1!F865</f>
        <v>Furniture</v>
      </c>
      <c r="F865" t="str">
        <f>Sheet1!H865</f>
        <v>Ajay</v>
      </c>
      <c r="G865">
        <f>Sheet1!K865</f>
        <v>30540</v>
      </c>
      <c r="H865">
        <f>Sheet1!N865</f>
        <v>8156.1</v>
      </c>
      <c r="I865">
        <f t="shared" si="16"/>
        <v>1</v>
      </c>
    </row>
    <row r="866" spans="1:9" x14ac:dyDescent="0.3">
      <c r="A866">
        <f>Sheet1!A866</f>
        <v>1865</v>
      </c>
      <c r="B866" t="str">
        <f>Sheet1!B866</f>
        <v>2025-09-04</v>
      </c>
      <c r="C866" t="str">
        <f>TEXT(Sheet1!B866,"YYYY-MM")</f>
        <v>2025-09</v>
      </c>
      <c r="D866" t="str">
        <f>Sheet1!D866</f>
        <v>Pune</v>
      </c>
      <c r="E866" t="str">
        <f>Sheet1!F866</f>
        <v>Furniture</v>
      </c>
      <c r="F866" t="str">
        <f>Sheet1!H866</f>
        <v>Rahul</v>
      </c>
      <c r="G866">
        <f>Sheet1!K866</f>
        <v>190574.25</v>
      </c>
      <c r="H866">
        <f>Sheet1!N866</f>
        <v>30105.69</v>
      </c>
      <c r="I866">
        <f t="shared" si="16"/>
        <v>1</v>
      </c>
    </row>
    <row r="867" spans="1:9" x14ac:dyDescent="0.3">
      <c r="A867">
        <f>Sheet1!A867</f>
        <v>1866</v>
      </c>
      <c r="B867" t="str">
        <f>Sheet1!B867</f>
        <v>2025-09-04</v>
      </c>
      <c r="C867" t="str">
        <f>TEXT(Sheet1!B867,"YYYY-MM")</f>
        <v>2025-09</v>
      </c>
      <c r="D867" t="str">
        <f>Sheet1!D867</f>
        <v>Delhi</v>
      </c>
      <c r="E867" t="str">
        <f>Sheet1!F867</f>
        <v>Clothing</v>
      </c>
      <c r="F867" t="str">
        <f>Sheet1!H867</f>
        <v>Sneha</v>
      </c>
      <c r="G867">
        <f>Sheet1!K867</f>
        <v>49102.65</v>
      </c>
      <c r="H867">
        <f>Sheet1!N867</f>
        <v>10232.75</v>
      </c>
      <c r="I867">
        <f t="shared" si="16"/>
        <v>1</v>
      </c>
    </row>
    <row r="868" spans="1:9" x14ac:dyDescent="0.3">
      <c r="A868">
        <f>Sheet1!A868</f>
        <v>1867</v>
      </c>
      <c r="B868" t="str">
        <f>Sheet1!B868</f>
        <v>2025-09-05</v>
      </c>
      <c r="C868" t="str">
        <f>TEXT(Sheet1!B868,"YYYY-MM")</f>
        <v>2025-09</v>
      </c>
      <c r="D868" t="str">
        <f>Sheet1!D868</f>
        <v>Bangalore</v>
      </c>
      <c r="E868" t="str">
        <f>Sheet1!F868</f>
        <v>Clothing</v>
      </c>
      <c r="F868" t="str">
        <f>Sheet1!H868</f>
        <v>Sneha</v>
      </c>
      <c r="G868">
        <f>Sheet1!K868</f>
        <v>23620.799999999999</v>
      </c>
      <c r="H868">
        <f>Sheet1!N868</f>
        <v>3306.42</v>
      </c>
      <c r="I868">
        <f t="shared" si="16"/>
        <v>1</v>
      </c>
    </row>
    <row r="869" spans="1:9" x14ac:dyDescent="0.3">
      <c r="A869">
        <f>Sheet1!A869</f>
        <v>1868</v>
      </c>
      <c r="B869" t="str">
        <f>Sheet1!B869</f>
        <v>2025-09-05</v>
      </c>
      <c r="C869" t="str">
        <f>TEXT(Sheet1!B869,"YYYY-MM")</f>
        <v>2025-09</v>
      </c>
      <c r="D869" t="str">
        <f>Sheet1!D869</f>
        <v>Hyderabad</v>
      </c>
      <c r="E869" t="str">
        <f>Sheet1!F869</f>
        <v>Electronics</v>
      </c>
      <c r="F869" t="str">
        <f>Sheet1!H869</f>
        <v>Pooja</v>
      </c>
      <c r="G869">
        <f>Sheet1!K869</f>
        <v>73307.7</v>
      </c>
      <c r="H869">
        <f>Sheet1!N869</f>
        <v>20878.169999999998</v>
      </c>
      <c r="I869">
        <f t="shared" si="16"/>
        <v>1</v>
      </c>
    </row>
    <row r="870" spans="1:9" x14ac:dyDescent="0.3">
      <c r="A870">
        <f>Sheet1!A870</f>
        <v>1869</v>
      </c>
      <c r="B870" t="str">
        <f>Sheet1!B870</f>
        <v>2025-09-06</v>
      </c>
      <c r="C870" t="str">
        <f>TEXT(Sheet1!B870,"YYYY-MM")</f>
        <v>2025-09</v>
      </c>
      <c r="D870" t="str">
        <f>Sheet1!D870</f>
        <v>Pune</v>
      </c>
      <c r="E870" t="str">
        <f>Sheet1!F870</f>
        <v>Electronics</v>
      </c>
      <c r="F870" t="str">
        <f>Sheet1!H870</f>
        <v>Pooja</v>
      </c>
      <c r="G870">
        <f>Sheet1!K870</f>
        <v>20246.400000000001</v>
      </c>
      <c r="H870">
        <f>Sheet1!N870</f>
        <v>2117.69</v>
      </c>
      <c r="I870">
        <f t="shared" si="16"/>
        <v>1</v>
      </c>
    </row>
    <row r="871" spans="1:9" x14ac:dyDescent="0.3">
      <c r="A871">
        <f>Sheet1!A871</f>
        <v>1870</v>
      </c>
      <c r="B871" t="str">
        <f>Sheet1!B871</f>
        <v>2025-09-06</v>
      </c>
      <c r="C871" t="str">
        <f>TEXT(Sheet1!B871,"YYYY-MM")</f>
        <v>2025-09</v>
      </c>
      <c r="D871" t="str">
        <f>Sheet1!D871</f>
        <v>Pune</v>
      </c>
      <c r="E871" t="str">
        <f>Sheet1!F871</f>
        <v>Electronics</v>
      </c>
      <c r="F871" t="str">
        <f>Sheet1!H871</f>
        <v>Ajay</v>
      </c>
      <c r="G871">
        <f>Sheet1!K871</f>
        <v>47367</v>
      </c>
      <c r="H871">
        <f>Sheet1!N871</f>
        <v>5386.71</v>
      </c>
      <c r="I871">
        <f t="shared" si="16"/>
        <v>1</v>
      </c>
    </row>
    <row r="872" spans="1:9" x14ac:dyDescent="0.3">
      <c r="A872">
        <f>Sheet1!A872</f>
        <v>1871</v>
      </c>
      <c r="B872" t="str">
        <f>Sheet1!B872</f>
        <v>2025-09-06</v>
      </c>
      <c r="C872" t="str">
        <f>TEXT(Sheet1!B872,"YYYY-MM")</f>
        <v>2025-09</v>
      </c>
      <c r="D872" t="str">
        <f>Sheet1!D872</f>
        <v>Hyderabad</v>
      </c>
      <c r="E872" t="str">
        <f>Sheet1!F872</f>
        <v>Electronics</v>
      </c>
      <c r="F872" t="str">
        <f>Sheet1!H872</f>
        <v>Ajay</v>
      </c>
      <c r="G872">
        <f>Sheet1!K872</f>
        <v>90092</v>
      </c>
      <c r="H872">
        <f>Sheet1!N872</f>
        <v>11523.6</v>
      </c>
      <c r="I872">
        <f t="shared" si="16"/>
        <v>1</v>
      </c>
    </row>
    <row r="873" spans="1:9" x14ac:dyDescent="0.3">
      <c r="A873">
        <f>Sheet1!A873</f>
        <v>1872</v>
      </c>
      <c r="B873" t="str">
        <f>Sheet1!B873</f>
        <v>2025-09-06</v>
      </c>
      <c r="C873" t="str">
        <f>TEXT(Sheet1!B873,"YYYY-MM")</f>
        <v>2025-09</v>
      </c>
      <c r="D873" t="str">
        <f>Sheet1!D873</f>
        <v>Pune</v>
      </c>
      <c r="E873" t="str">
        <f>Sheet1!F873</f>
        <v>Clothing</v>
      </c>
      <c r="F873" t="str">
        <f>Sheet1!H873</f>
        <v>Sneha</v>
      </c>
      <c r="G873">
        <f>Sheet1!K873</f>
        <v>126694.8</v>
      </c>
      <c r="H873">
        <f>Sheet1!N873</f>
        <v>13794.92</v>
      </c>
      <c r="I873">
        <f t="shared" si="16"/>
        <v>1</v>
      </c>
    </row>
    <row r="874" spans="1:9" x14ac:dyDescent="0.3">
      <c r="A874">
        <f>Sheet1!A874</f>
        <v>1873</v>
      </c>
      <c r="B874" t="str">
        <f>Sheet1!B874</f>
        <v>2025-09-06</v>
      </c>
      <c r="C874" t="str">
        <f>TEXT(Sheet1!B874,"YYYY-MM")</f>
        <v>2025-09</v>
      </c>
      <c r="D874" t="str">
        <f>Sheet1!D874</f>
        <v>Bangalore</v>
      </c>
      <c r="E874" t="str">
        <f>Sheet1!F874</f>
        <v>Furniture</v>
      </c>
      <c r="F874" t="str">
        <f>Sheet1!H874</f>
        <v>Sneha</v>
      </c>
      <c r="G874">
        <f>Sheet1!K874</f>
        <v>179692.5</v>
      </c>
      <c r="H874">
        <f>Sheet1!N874</f>
        <v>42437.39</v>
      </c>
      <c r="I874">
        <f t="shared" si="16"/>
        <v>1</v>
      </c>
    </row>
    <row r="875" spans="1:9" x14ac:dyDescent="0.3">
      <c r="A875">
        <f>Sheet1!A875</f>
        <v>1874</v>
      </c>
      <c r="B875" t="str">
        <f>Sheet1!B875</f>
        <v>2025-09-07</v>
      </c>
      <c r="C875" t="str">
        <f>TEXT(Sheet1!B875,"YYYY-MM")</f>
        <v>2025-09</v>
      </c>
      <c r="D875" t="str">
        <f>Sheet1!D875</f>
        <v>Bangalore</v>
      </c>
      <c r="E875" t="str">
        <f>Sheet1!F875</f>
        <v>Electronics</v>
      </c>
      <c r="F875" t="str">
        <f>Sheet1!H875</f>
        <v>Sneha</v>
      </c>
      <c r="G875">
        <f>Sheet1!K875</f>
        <v>36504</v>
      </c>
      <c r="H875">
        <f>Sheet1!N875</f>
        <v>7024.57</v>
      </c>
      <c r="I875">
        <f t="shared" si="16"/>
        <v>1</v>
      </c>
    </row>
    <row r="876" spans="1:9" x14ac:dyDescent="0.3">
      <c r="A876">
        <f>Sheet1!A876</f>
        <v>1875</v>
      </c>
      <c r="B876" t="str">
        <f>Sheet1!B876</f>
        <v>2025-09-07</v>
      </c>
      <c r="C876" t="str">
        <f>TEXT(Sheet1!B876,"YYYY-MM")</f>
        <v>2025-09</v>
      </c>
      <c r="D876" t="str">
        <f>Sheet1!D876</f>
        <v>Delhi</v>
      </c>
      <c r="E876" t="str">
        <f>Sheet1!F876</f>
        <v>Electronics</v>
      </c>
      <c r="F876" t="str">
        <f>Sheet1!H876</f>
        <v>Sneha</v>
      </c>
      <c r="G876">
        <f>Sheet1!K876</f>
        <v>38368.15</v>
      </c>
      <c r="H876">
        <f>Sheet1!N876</f>
        <v>7675.48</v>
      </c>
      <c r="I876">
        <f t="shared" si="16"/>
        <v>1</v>
      </c>
    </row>
    <row r="877" spans="1:9" x14ac:dyDescent="0.3">
      <c r="A877">
        <f>Sheet1!A877</f>
        <v>1876</v>
      </c>
      <c r="B877" t="str">
        <f>Sheet1!B877</f>
        <v>2025-09-07</v>
      </c>
      <c r="C877" t="str">
        <f>TEXT(Sheet1!B877,"YYYY-MM")</f>
        <v>2025-09</v>
      </c>
      <c r="D877" t="str">
        <f>Sheet1!D877</f>
        <v>Mumbai</v>
      </c>
      <c r="E877" t="str">
        <f>Sheet1!F877</f>
        <v>Furniture</v>
      </c>
      <c r="F877" t="str">
        <f>Sheet1!H877</f>
        <v>Pooja</v>
      </c>
      <c r="G877">
        <f>Sheet1!K877</f>
        <v>59481</v>
      </c>
      <c r="H877">
        <f>Sheet1!N877</f>
        <v>13315.57</v>
      </c>
      <c r="I877">
        <f t="shared" si="16"/>
        <v>1</v>
      </c>
    </row>
    <row r="878" spans="1:9" x14ac:dyDescent="0.3">
      <c r="A878">
        <f>Sheet1!A878</f>
        <v>1877</v>
      </c>
      <c r="B878" t="str">
        <f>Sheet1!B878</f>
        <v>2025-09-07</v>
      </c>
      <c r="C878" t="str">
        <f>TEXT(Sheet1!B878,"YYYY-MM")</f>
        <v>2025-09</v>
      </c>
      <c r="D878" t="str">
        <f>Sheet1!D878</f>
        <v>Hyderabad</v>
      </c>
      <c r="E878" t="str">
        <f>Sheet1!F878</f>
        <v>Clothing</v>
      </c>
      <c r="F878" t="str">
        <f>Sheet1!H878</f>
        <v>Rahul</v>
      </c>
      <c r="G878">
        <f>Sheet1!K878</f>
        <v>73384</v>
      </c>
      <c r="H878">
        <f>Sheet1!N878</f>
        <v>10646.22</v>
      </c>
      <c r="I878">
        <f t="shared" si="16"/>
        <v>1</v>
      </c>
    </row>
    <row r="879" spans="1:9" x14ac:dyDescent="0.3">
      <c r="A879">
        <f>Sheet1!A879</f>
        <v>1878</v>
      </c>
      <c r="B879" t="str">
        <f>Sheet1!B879</f>
        <v>2025-09-08</v>
      </c>
      <c r="C879" t="str">
        <f>TEXT(Sheet1!B879,"YYYY-MM")</f>
        <v>2025-09</v>
      </c>
      <c r="D879" t="str">
        <f>Sheet1!D879</f>
        <v>Bangalore</v>
      </c>
      <c r="E879" t="str">
        <f>Sheet1!F879</f>
        <v>Electronics</v>
      </c>
      <c r="F879" t="str">
        <f>Sheet1!H879</f>
        <v>Pooja</v>
      </c>
      <c r="G879">
        <f>Sheet1!K879</f>
        <v>4869</v>
      </c>
      <c r="H879">
        <f>Sheet1!N879</f>
        <v>637.15</v>
      </c>
      <c r="I879">
        <f t="shared" si="16"/>
        <v>1</v>
      </c>
    </row>
    <row r="880" spans="1:9" x14ac:dyDescent="0.3">
      <c r="A880">
        <f>Sheet1!A880</f>
        <v>1879</v>
      </c>
      <c r="B880" t="str">
        <f>Sheet1!B880</f>
        <v>2025-09-08</v>
      </c>
      <c r="C880" t="str">
        <f>TEXT(Sheet1!B880,"YYYY-MM")</f>
        <v>2025-09</v>
      </c>
      <c r="D880" t="str">
        <f>Sheet1!D880</f>
        <v>Mumbai</v>
      </c>
      <c r="E880" t="str">
        <f>Sheet1!F880</f>
        <v>Electronics</v>
      </c>
      <c r="F880" t="str">
        <f>Sheet1!H880</f>
        <v>Sneha</v>
      </c>
      <c r="G880">
        <f>Sheet1!K880</f>
        <v>18516.45</v>
      </c>
      <c r="H880">
        <f>Sheet1!N880</f>
        <v>2855.86</v>
      </c>
      <c r="I880">
        <f t="shared" si="16"/>
        <v>1</v>
      </c>
    </row>
    <row r="881" spans="1:9" x14ac:dyDescent="0.3">
      <c r="A881">
        <f>Sheet1!A881</f>
        <v>1880</v>
      </c>
      <c r="B881" t="str">
        <f>Sheet1!B881</f>
        <v>2025-09-08</v>
      </c>
      <c r="C881" t="str">
        <f>TEXT(Sheet1!B881,"YYYY-MM")</f>
        <v>2025-09</v>
      </c>
      <c r="D881" t="str">
        <f>Sheet1!D881</f>
        <v>Delhi</v>
      </c>
      <c r="E881" t="str">
        <f>Sheet1!F881</f>
        <v>Clothing</v>
      </c>
      <c r="F881" t="str">
        <f>Sheet1!H881</f>
        <v>Sneha</v>
      </c>
      <c r="G881">
        <f>Sheet1!K881</f>
        <v>28620.35</v>
      </c>
      <c r="H881">
        <f>Sheet1!N881</f>
        <v>7739.38</v>
      </c>
      <c r="I881">
        <f t="shared" si="16"/>
        <v>1</v>
      </c>
    </row>
    <row r="882" spans="1:9" x14ac:dyDescent="0.3">
      <c r="A882">
        <f>Sheet1!A882</f>
        <v>1881</v>
      </c>
      <c r="B882" t="str">
        <f>Sheet1!B882</f>
        <v>2025-09-08</v>
      </c>
      <c r="C882" t="str">
        <f>TEXT(Sheet1!B882,"YYYY-MM")</f>
        <v>2025-09</v>
      </c>
      <c r="D882" t="str">
        <f>Sheet1!D882</f>
        <v>Bangalore</v>
      </c>
      <c r="E882" t="str">
        <f>Sheet1!F882</f>
        <v>Electronics</v>
      </c>
      <c r="F882" t="str">
        <f>Sheet1!H882</f>
        <v>Ajay</v>
      </c>
      <c r="G882">
        <f>Sheet1!K882</f>
        <v>32718.6</v>
      </c>
      <c r="H882">
        <f>Sheet1!N882</f>
        <v>3823.7</v>
      </c>
      <c r="I882">
        <f t="shared" si="16"/>
        <v>1</v>
      </c>
    </row>
    <row r="883" spans="1:9" x14ac:dyDescent="0.3">
      <c r="A883">
        <f>Sheet1!A883</f>
        <v>1882</v>
      </c>
      <c r="B883" t="str">
        <f>Sheet1!B883</f>
        <v>2025-09-08</v>
      </c>
      <c r="C883" t="str">
        <f>TEXT(Sheet1!B883,"YYYY-MM")</f>
        <v>2025-09</v>
      </c>
      <c r="D883" t="str">
        <f>Sheet1!D883</f>
        <v>Bangalore</v>
      </c>
      <c r="E883" t="str">
        <f>Sheet1!F883</f>
        <v>Clothing</v>
      </c>
      <c r="F883" t="str">
        <f>Sheet1!H883</f>
        <v>Sneha</v>
      </c>
      <c r="G883">
        <f>Sheet1!K883</f>
        <v>197866</v>
      </c>
      <c r="H883">
        <f>Sheet1!N883</f>
        <v>44832.92</v>
      </c>
      <c r="I883">
        <f t="shared" si="16"/>
        <v>1</v>
      </c>
    </row>
    <row r="884" spans="1:9" x14ac:dyDescent="0.3">
      <c r="A884">
        <f>Sheet1!A884</f>
        <v>1883</v>
      </c>
      <c r="B884" t="str">
        <f>Sheet1!B884</f>
        <v>2025-09-09</v>
      </c>
      <c r="C884" t="str">
        <f>TEXT(Sheet1!B884,"YYYY-MM")</f>
        <v>2025-09</v>
      </c>
      <c r="D884" t="str">
        <f>Sheet1!D884</f>
        <v>Bangalore</v>
      </c>
      <c r="E884" t="str">
        <f>Sheet1!F884</f>
        <v>Furniture</v>
      </c>
      <c r="F884" t="str">
        <f>Sheet1!H884</f>
        <v>Rahul</v>
      </c>
      <c r="G884">
        <f>Sheet1!K884</f>
        <v>38760</v>
      </c>
      <c r="H884">
        <f>Sheet1!N884</f>
        <v>4457.82</v>
      </c>
      <c r="I884">
        <f t="shared" si="16"/>
        <v>1</v>
      </c>
    </row>
    <row r="885" spans="1:9" x14ac:dyDescent="0.3">
      <c r="A885">
        <f>Sheet1!A885</f>
        <v>1884</v>
      </c>
      <c r="B885" t="str">
        <f>Sheet1!B885</f>
        <v>2025-09-09</v>
      </c>
      <c r="C885" t="str">
        <f>TEXT(Sheet1!B885,"YYYY-MM")</f>
        <v>2025-09</v>
      </c>
      <c r="D885" t="str">
        <f>Sheet1!D885</f>
        <v>Bangalore</v>
      </c>
      <c r="E885" t="str">
        <f>Sheet1!F885</f>
        <v>Clothing</v>
      </c>
      <c r="F885" t="str">
        <f>Sheet1!H885</f>
        <v>Rahul</v>
      </c>
      <c r="G885">
        <f>Sheet1!K885</f>
        <v>7500</v>
      </c>
      <c r="H885">
        <f>Sheet1!N885</f>
        <v>1259.49</v>
      </c>
      <c r="I885">
        <f t="shared" si="16"/>
        <v>1</v>
      </c>
    </row>
    <row r="886" spans="1:9" x14ac:dyDescent="0.3">
      <c r="A886">
        <f>Sheet1!A886</f>
        <v>1885</v>
      </c>
      <c r="B886" t="str">
        <f>Sheet1!B886</f>
        <v>2025-09-09</v>
      </c>
      <c r="C886" t="str">
        <f>TEXT(Sheet1!B886,"YYYY-MM")</f>
        <v>2025-09</v>
      </c>
      <c r="D886" t="str">
        <f>Sheet1!D886</f>
        <v>Delhi</v>
      </c>
      <c r="E886" t="str">
        <f>Sheet1!F886</f>
        <v>Furniture</v>
      </c>
      <c r="F886" t="str">
        <f>Sheet1!H886</f>
        <v>Pooja</v>
      </c>
      <c r="G886">
        <f>Sheet1!K886</f>
        <v>137940</v>
      </c>
      <c r="H886">
        <f>Sheet1!N886</f>
        <v>35071.5</v>
      </c>
      <c r="I886">
        <f t="shared" si="16"/>
        <v>1</v>
      </c>
    </row>
    <row r="887" spans="1:9" x14ac:dyDescent="0.3">
      <c r="A887">
        <f>Sheet1!A887</f>
        <v>1886</v>
      </c>
      <c r="B887" t="str">
        <f>Sheet1!B887</f>
        <v>2025-09-09</v>
      </c>
      <c r="C887" t="str">
        <f>TEXT(Sheet1!B887,"YYYY-MM")</f>
        <v>2025-09</v>
      </c>
      <c r="D887" t="str">
        <f>Sheet1!D887</f>
        <v>Pune</v>
      </c>
      <c r="E887" t="str">
        <f>Sheet1!F887</f>
        <v>Electronics</v>
      </c>
      <c r="F887" t="str">
        <f>Sheet1!H887</f>
        <v>Pooja</v>
      </c>
      <c r="G887">
        <f>Sheet1!K887</f>
        <v>144682.75</v>
      </c>
      <c r="H887">
        <f>Sheet1!N887</f>
        <v>30630.44</v>
      </c>
      <c r="I887">
        <f t="shared" si="16"/>
        <v>1</v>
      </c>
    </row>
    <row r="888" spans="1:9" x14ac:dyDescent="0.3">
      <c r="A888">
        <f>Sheet1!A888</f>
        <v>1887</v>
      </c>
      <c r="B888" t="str">
        <f>Sheet1!B888</f>
        <v>2025-09-10</v>
      </c>
      <c r="C888" t="str">
        <f>TEXT(Sheet1!B888,"YYYY-MM")</f>
        <v>2025-09</v>
      </c>
      <c r="D888" t="str">
        <f>Sheet1!D888</f>
        <v>Pune</v>
      </c>
      <c r="E888" t="str">
        <f>Sheet1!F888</f>
        <v>Furniture</v>
      </c>
      <c r="F888" t="str">
        <f>Sheet1!H888</f>
        <v>Pooja</v>
      </c>
      <c r="G888">
        <f>Sheet1!K888</f>
        <v>98887.4</v>
      </c>
      <c r="H888">
        <f>Sheet1!N888</f>
        <v>14774.98</v>
      </c>
      <c r="I888">
        <f t="shared" si="16"/>
        <v>1</v>
      </c>
    </row>
    <row r="889" spans="1:9" x14ac:dyDescent="0.3">
      <c r="A889">
        <f>Sheet1!A889</f>
        <v>1888</v>
      </c>
      <c r="B889" t="str">
        <f>Sheet1!B889</f>
        <v>2025-09-10</v>
      </c>
      <c r="C889" t="str">
        <f>TEXT(Sheet1!B889,"YYYY-MM")</f>
        <v>2025-09</v>
      </c>
      <c r="D889" t="str">
        <f>Sheet1!D889</f>
        <v>Pune</v>
      </c>
      <c r="E889" t="str">
        <f>Sheet1!F889</f>
        <v>Furniture</v>
      </c>
      <c r="F889" t="str">
        <f>Sheet1!H889</f>
        <v>Ajay</v>
      </c>
      <c r="G889">
        <f>Sheet1!K889</f>
        <v>42025</v>
      </c>
      <c r="H889">
        <f>Sheet1!N889</f>
        <v>10626.53</v>
      </c>
      <c r="I889">
        <f t="shared" si="16"/>
        <v>1</v>
      </c>
    </row>
    <row r="890" spans="1:9" x14ac:dyDescent="0.3">
      <c r="A890">
        <f>Sheet1!A890</f>
        <v>1889</v>
      </c>
      <c r="B890" t="str">
        <f>Sheet1!B890</f>
        <v>2025-09-10</v>
      </c>
      <c r="C890" t="str">
        <f>TEXT(Sheet1!B890,"YYYY-MM")</f>
        <v>2025-09</v>
      </c>
      <c r="D890" t="str">
        <f>Sheet1!D890</f>
        <v>Mumbai</v>
      </c>
      <c r="E890" t="str">
        <f>Sheet1!F890</f>
        <v>Furniture</v>
      </c>
      <c r="F890" t="str">
        <f>Sheet1!H890</f>
        <v>Pooja</v>
      </c>
      <c r="G890">
        <f>Sheet1!K890</f>
        <v>19816.05</v>
      </c>
      <c r="H890">
        <f>Sheet1!N890</f>
        <v>4238.91</v>
      </c>
      <c r="I890">
        <f t="shared" si="16"/>
        <v>1</v>
      </c>
    </row>
    <row r="891" spans="1:9" x14ac:dyDescent="0.3">
      <c r="A891">
        <f>Sheet1!A891</f>
        <v>1890</v>
      </c>
      <c r="B891" t="str">
        <f>Sheet1!B891</f>
        <v>2025-09-10</v>
      </c>
      <c r="C891" t="str">
        <f>TEXT(Sheet1!B891,"YYYY-MM")</f>
        <v>2025-09</v>
      </c>
      <c r="D891" t="str">
        <f>Sheet1!D891</f>
        <v>Mumbai</v>
      </c>
      <c r="E891" t="str">
        <f>Sheet1!F891</f>
        <v>Furniture</v>
      </c>
      <c r="F891" t="str">
        <f>Sheet1!H891</f>
        <v>Rahul</v>
      </c>
      <c r="G891">
        <f>Sheet1!K891</f>
        <v>14993.85</v>
      </c>
      <c r="H891">
        <f>Sheet1!N891</f>
        <v>3471.04</v>
      </c>
      <c r="I891">
        <f t="shared" si="16"/>
        <v>1</v>
      </c>
    </row>
    <row r="892" spans="1:9" x14ac:dyDescent="0.3">
      <c r="A892">
        <f>Sheet1!A892</f>
        <v>1891</v>
      </c>
      <c r="B892" t="str">
        <f>Sheet1!B892</f>
        <v>2025-09-11</v>
      </c>
      <c r="C892" t="str">
        <f>TEXT(Sheet1!B892,"YYYY-MM")</f>
        <v>2025-09</v>
      </c>
      <c r="D892" t="str">
        <f>Sheet1!D892</f>
        <v>Bangalore</v>
      </c>
      <c r="E892" t="str">
        <f>Sheet1!F892</f>
        <v>Clothing</v>
      </c>
      <c r="F892" t="str">
        <f>Sheet1!H892</f>
        <v>Rahul</v>
      </c>
      <c r="G892">
        <f>Sheet1!K892</f>
        <v>72675.899999999994</v>
      </c>
      <c r="H892">
        <f>Sheet1!N892</f>
        <v>8744.7099999999991</v>
      </c>
      <c r="I892">
        <f t="shared" si="16"/>
        <v>1</v>
      </c>
    </row>
    <row r="893" spans="1:9" x14ac:dyDescent="0.3">
      <c r="A893">
        <f>Sheet1!A893</f>
        <v>1892</v>
      </c>
      <c r="B893" t="str">
        <f>Sheet1!B893</f>
        <v>2025-09-11</v>
      </c>
      <c r="C893" t="str">
        <f>TEXT(Sheet1!B893,"YYYY-MM")</f>
        <v>2025-09</v>
      </c>
      <c r="D893" t="str">
        <f>Sheet1!D893</f>
        <v>Hyderabad</v>
      </c>
      <c r="E893" t="str">
        <f>Sheet1!F893</f>
        <v>Electronics</v>
      </c>
      <c r="F893" t="str">
        <f>Sheet1!H893</f>
        <v>Sneha</v>
      </c>
      <c r="G893">
        <f>Sheet1!K893</f>
        <v>57420.9</v>
      </c>
      <c r="H893">
        <f>Sheet1!N893</f>
        <v>14160.72</v>
      </c>
      <c r="I893">
        <f t="shared" si="16"/>
        <v>1</v>
      </c>
    </row>
    <row r="894" spans="1:9" x14ac:dyDescent="0.3">
      <c r="A894">
        <f>Sheet1!A894</f>
        <v>1893</v>
      </c>
      <c r="B894" t="str">
        <f>Sheet1!B894</f>
        <v>2025-09-11</v>
      </c>
      <c r="C894" t="str">
        <f>TEXT(Sheet1!B894,"YYYY-MM")</f>
        <v>2025-09</v>
      </c>
      <c r="D894" t="str">
        <f>Sheet1!D894</f>
        <v>Hyderabad</v>
      </c>
      <c r="E894" t="str">
        <f>Sheet1!F894</f>
        <v>Clothing</v>
      </c>
      <c r="F894" t="str">
        <f>Sheet1!H894</f>
        <v>Pooja</v>
      </c>
      <c r="G894">
        <f>Sheet1!K894</f>
        <v>95790</v>
      </c>
      <c r="H894">
        <f>Sheet1!N894</f>
        <v>15533.09</v>
      </c>
      <c r="I894">
        <f t="shared" si="16"/>
        <v>1</v>
      </c>
    </row>
    <row r="895" spans="1:9" x14ac:dyDescent="0.3">
      <c r="A895">
        <f>Sheet1!A895</f>
        <v>1894</v>
      </c>
      <c r="B895" t="str">
        <f>Sheet1!B895</f>
        <v>2025-09-11</v>
      </c>
      <c r="C895" t="str">
        <f>TEXT(Sheet1!B895,"YYYY-MM")</f>
        <v>2025-09</v>
      </c>
      <c r="D895" t="str">
        <f>Sheet1!D895</f>
        <v>Hyderabad</v>
      </c>
      <c r="E895" t="str">
        <f>Sheet1!F895</f>
        <v>Clothing</v>
      </c>
      <c r="F895" t="str">
        <f>Sheet1!H895</f>
        <v>Pooja</v>
      </c>
      <c r="G895">
        <f>Sheet1!K895</f>
        <v>124604.85</v>
      </c>
      <c r="H895">
        <f>Sheet1!N895</f>
        <v>20619.87</v>
      </c>
      <c r="I895">
        <f t="shared" si="16"/>
        <v>1</v>
      </c>
    </row>
    <row r="896" spans="1:9" x14ac:dyDescent="0.3">
      <c r="A896">
        <f>Sheet1!A896</f>
        <v>1895</v>
      </c>
      <c r="B896" t="str">
        <f>Sheet1!B896</f>
        <v>2025-09-12</v>
      </c>
      <c r="C896" t="str">
        <f>TEXT(Sheet1!B896,"YYYY-MM")</f>
        <v>2025-09</v>
      </c>
      <c r="D896" t="str">
        <f>Sheet1!D896</f>
        <v>Delhi</v>
      </c>
      <c r="E896" t="str">
        <f>Sheet1!F896</f>
        <v>Furniture</v>
      </c>
      <c r="F896" t="str">
        <f>Sheet1!H896</f>
        <v>Pooja</v>
      </c>
      <c r="G896">
        <f>Sheet1!K896</f>
        <v>68778</v>
      </c>
      <c r="H896">
        <f>Sheet1!N896</f>
        <v>12257.54</v>
      </c>
      <c r="I896">
        <f t="shared" si="16"/>
        <v>1</v>
      </c>
    </row>
    <row r="897" spans="1:9" x14ac:dyDescent="0.3">
      <c r="A897">
        <f>Sheet1!A897</f>
        <v>1896</v>
      </c>
      <c r="B897" t="str">
        <f>Sheet1!B897</f>
        <v>2025-09-12</v>
      </c>
      <c r="C897" t="str">
        <f>TEXT(Sheet1!B897,"YYYY-MM")</f>
        <v>2025-09</v>
      </c>
      <c r="D897" t="str">
        <f>Sheet1!D897</f>
        <v>Mumbai</v>
      </c>
      <c r="E897" t="str">
        <f>Sheet1!F897</f>
        <v>Furniture</v>
      </c>
      <c r="F897" t="str">
        <f>Sheet1!H897</f>
        <v>Ajay</v>
      </c>
      <c r="G897">
        <f>Sheet1!K897</f>
        <v>99893.7</v>
      </c>
      <c r="H897">
        <f>Sheet1!N897</f>
        <v>27355.66</v>
      </c>
      <c r="I897">
        <f t="shared" si="16"/>
        <v>1</v>
      </c>
    </row>
    <row r="898" spans="1:9" x14ac:dyDescent="0.3">
      <c r="A898">
        <f>Sheet1!A898</f>
        <v>1897</v>
      </c>
      <c r="B898" t="str">
        <f>Sheet1!B898</f>
        <v>2025-09-12</v>
      </c>
      <c r="C898" t="str">
        <f>TEXT(Sheet1!B898,"YYYY-MM")</f>
        <v>2025-09</v>
      </c>
      <c r="D898" t="str">
        <f>Sheet1!D898</f>
        <v>Delhi</v>
      </c>
      <c r="E898" t="str">
        <f>Sheet1!F898</f>
        <v>Furniture</v>
      </c>
      <c r="F898" t="str">
        <f>Sheet1!H898</f>
        <v>Sneha</v>
      </c>
      <c r="G898">
        <f>Sheet1!K898</f>
        <v>229125.75</v>
      </c>
      <c r="H898">
        <f>Sheet1!N898</f>
        <v>52715.360000000001</v>
      </c>
      <c r="I898">
        <f t="shared" ref="I898:I961" si="17">IF(AND(OR(FilterCity="All",D898=FilterCity),OR(FilterCategory="All",E898=FilterCategory),OR(FilterRep="All",F898=FilterRep),C898&gt;=FilterMonthFrom,C898&lt;=FilterMonthTo),1,0)</f>
        <v>1</v>
      </c>
    </row>
    <row r="899" spans="1:9" x14ac:dyDescent="0.3">
      <c r="A899">
        <f>Sheet1!A899</f>
        <v>1898</v>
      </c>
      <c r="B899" t="str">
        <f>Sheet1!B899</f>
        <v>2025-09-13</v>
      </c>
      <c r="C899" t="str">
        <f>TEXT(Sheet1!B899,"YYYY-MM")</f>
        <v>2025-09</v>
      </c>
      <c r="D899" t="str">
        <f>Sheet1!D899</f>
        <v>Hyderabad</v>
      </c>
      <c r="E899" t="str">
        <f>Sheet1!F899</f>
        <v>Electronics</v>
      </c>
      <c r="F899" t="str">
        <f>Sheet1!H899</f>
        <v>Pooja</v>
      </c>
      <c r="G899">
        <f>Sheet1!K899</f>
        <v>1838.7</v>
      </c>
      <c r="H899">
        <f>Sheet1!N899</f>
        <v>406.5</v>
      </c>
      <c r="I899">
        <f t="shared" si="17"/>
        <v>1</v>
      </c>
    </row>
    <row r="900" spans="1:9" x14ac:dyDescent="0.3">
      <c r="A900">
        <f>Sheet1!A900</f>
        <v>1899</v>
      </c>
      <c r="B900" t="str">
        <f>Sheet1!B900</f>
        <v>2025-09-13</v>
      </c>
      <c r="C900" t="str">
        <f>TEXT(Sheet1!B900,"YYYY-MM")</f>
        <v>2025-09</v>
      </c>
      <c r="D900" t="str">
        <f>Sheet1!D900</f>
        <v>Hyderabad</v>
      </c>
      <c r="E900" t="str">
        <f>Sheet1!F900</f>
        <v>Clothing</v>
      </c>
      <c r="F900" t="str">
        <f>Sheet1!H900</f>
        <v>Sneha</v>
      </c>
      <c r="G900">
        <f>Sheet1!K900</f>
        <v>5287</v>
      </c>
      <c r="H900">
        <f>Sheet1!N900</f>
        <v>1572.23</v>
      </c>
      <c r="I900">
        <f t="shared" si="17"/>
        <v>1</v>
      </c>
    </row>
    <row r="901" spans="1:9" x14ac:dyDescent="0.3">
      <c r="A901">
        <f>Sheet1!A901</f>
        <v>1900</v>
      </c>
      <c r="B901" t="str">
        <f>Sheet1!B901</f>
        <v>2025-09-14</v>
      </c>
      <c r="C901" t="str">
        <f>TEXT(Sheet1!B901,"YYYY-MM")</f>
        <v>2025-09</v>
      </c>
      <c r="D901" t="str">
        <f>Sheet1!D901</f>
        <v>Mumbai</v>
      </c>
      <c r="E901" t="str">
        <f>Sheet1!F901</f>
        <v>Electronics</v>
      </c>
      <c r="F901" t="str">
        <f>Sheet1!H901</f>
        <v>Pooja</v>
      </c>
      <c r="G901">
        <f>Sheet1!K901</f>
        <v>9632</v>
      </c>
      <c r="H901">
        <f>Sheet1!N901</f>
        <v>1876.63</v>
      </c>
      <c r="I901">
        <f t="shared" si="17"/>
        <v>1</v>
      </c>
    </row>
    <row r="902" spans="1:9" x14ac:dyDescent="0.3">
      <c r="A902">
        <f>Sheet1!A902</f>
        <v>1901</v>
      </c>
      <c r="B902" t="str">
        <f>Sheet1!B902</f>
        <v>2025-09-14</v>
      </c>
      <c r="C902" t="str">
        <f>TEXT(Sheet1!B902,"YYYY-MM")</f>
        <v>2025-09</v>
      </c>
      <c r="D902" t="str">
        <f>Sheet1!D902</f>
        <v>Pune</v>
      </c>
      <c r="E902" t="str">
        <f>Sheet1!F902</f>
        <v>Clothing</v>
      </c>
      <c r="F902" t="str">
        <f>Sheet1!H902</f>
        <v>Ajay</v>
      </c>
      <c r="G902">
        <f>Sheet1!K902</f>
        <v>73178</v>
      </c>
      <c r="H902">
        <f>Sheet1!N902</f>
        <v>16898.84</v>
      </c>
      <c r="I902">
        <f t="shared" si="17"/>
        <v>1</v>
      </c>
    </row>
    <row r="903" spans="1:9" x14ac:dyDescent="0.3">
      <c r="A903">
        <f>Sheet1!A903</f>
        <v>1902</v>
      </c>
      <c r="B903" t="str">
        <f>Sheet1!B903</f>
        <v>2025-09-14</v>
      </c>
      <c r="C903" t="str">
        <f>TEXT(Sheet1!B903,"YYYY-MM")</f>
        <v>2025-09</v>
      </c>
      <c r="D903" t="str">
        <f>Sheet1!D903</f>
        <v>Delhi</v>
      </c>
      <c r="E903" t="str">
        <f>Sheet1!F903</f>
        <v>Furniture</v>
      </c>
      <c r="F903" t="str">
        <f>Sheet1!H903</f>
        <v>Pooja</v>
      </c>
      <c r="G903">
        <f>Sheet1!K903</f>
        <v>172020</v>
      </c>
      <c r="H903">
        <f>Sheet1!N903</f>
        <v>50777.32</v>
      </c>
      <c r="I903">
        <f t="shared" si="17"/>
        <v>1</v>
      </c>
    </row>
    <row r="904" spans="1:9" x14ac:dyDescent="0.3">
      <c r="A904">
        <f>Sheet1!A904</f>
        <v>1903</v>
      </c>
      <c r="B904" t="str">
        <f>Sheet1!B904</f>
        <v>2025-09-14</v>
      </c>
      <c r="C904" t="str">
        <f>TEXT(Sheet1!B904,"YYYY-MM")</f>
        <v>2025-09</v>
      </c>
      <c r="D904" t="str">
        <f>Sheet1!D904</f>
        <v>Mumbai</v>
      </c>
      <c r="E904" t="str">
        <f>Sheet1!F904</f>
        <v>Electronics</v>
      </c>
      <c r="F904" t="str">
        <f>Sheet1!H904</f>
        <v>Rahul</v>
      </c>
      <c r="G904">
        <f>Sheet1!K904</f>
        <v>159158.25</v>
      </c>
      <c r="H904">
        <f>Sheet1!N904</f>
        <v>20876.41</v>
      </c>
      <c r="I904">
        <f t="shared" si="17"/>
        <v>1</v>
      </c>
    </row>
    <row r="905" spans="1:9" x14ac:dyDescent="0.3">
      <c r="A905">
        <f>Sheet1!A905</f>
        <v>1904</v>
      </c>
      <c r="B905" t="str">
        <f>Sheet1!B905</f>
        <v>2025-09-14</v>
      </c>
      <c r="C905" t="str">
        <f>TEXT(Sheet1!B905,"YYYY-MM")</f>
        <v>2025-09</v>
      </c>
      <c r="D905" t="str">
        <f>Sheet1!D905</f>
        <v>Hyderabad</v>
      </c>
      <c r="E905" t="str">
        <f>Sheet1!F905</f>
        <v>Furniture</v>
      </c>
      <c r="F905" t="str">
        <f>Sheet1!H905</f>
        <v>Ajay</v>
      </c>
      <c r="G905">
        <f>Sheet1!K905</f>
        <v>29232.9</v>
      </c>
      <c r="H905">
        <f>Sheet1!N905</f>
        <v>7560.53</v>
      </c>
      <c r="I905">
        <f t="shared" si="17"/>
        <v>1</v>
      </c>
    </row>
    <row r="906" spans="1:9" x14ac:dyDescent="0.3">
      <c r="A906">
        <f>Sheet1!A906</f>
        <v>1905</v>
      </c>
      <c r="B906" t="str">
        <f>Sheet1!B906</f>
        <v>2025-09-15</v>
      </c>
      <c r="C906" t="str">
        <f>TEXT(Sheet1!B906,"YYYY-MM")</f>
        <v>2025-09</v>
      </c>
      <c r="D906" t="str">
        <f>Sheet1!D906</f>
        <v>Delhi</v>
      </c>
      <c r="E906" t="str">
        <f>Sheet1!F906</f>
        <v>Electronics</v>
      </c>
      <c r="F906" t="str">
        <f>Sheet1!H906</f>
        <v>Ajay</v>
      </c>
      <c r="G906">
        <f>Sheet1!K906</f>
        <v>32685</v>
      </c>
      <c r="H906">
        <f>Sheet1!N906</f>
        <v>6967.95</v>
      </c>
      <c r="I906">
        <f t="shared" si="17"/>
        <v>1</v>
      </c>
    </row>
    <row r="907" spans="1:9" x14ac:dyDescent="0.3">
      <c r="A907">
        <f>Sheet1!A907</f>
        <v>1906</v>
      </c>
      <c r="B907" t="str">
        <f>Sheet1!B907</f>
        <v>2025-09-15</v>
      </c>
      <c r="C907" t="str">
        <f>TEXT(Sheet1!B907,"YYYY-MM")</f>
        <v>2025-09</v>
      </c>
      <c r="D907" t="str">
        <f>Sheet1!D907</f>
        <v>Delhi</v>
      </c>
      <c r="E907" t="str">
        <f>Sheet1!F907</f>
        <v>Electronics</v>
      </c>
      <c r="F907" t="str">
        <f>Sheet1!H907</f>
        <v>Ajay</v>
      </c>
      <c r="G907">
        <f>Sheet1!K907</f>
        <v>16759.8</v>
      </c>
      <c r="H907">
        <f>Sheet1!N907</f>
        <v>2383.37</v>
      </c>
      <c r="I907">
        <f t="shared" si="17"/>
        <v>1</v>
      </c>
    </row>
    <row r="908" spans="1:9" x14ac:dyDescent="0.3">
      <c r="A908">
        <f>Sheet1!A908</f>
        <v>1907</v>
      </c>
      <c r="B908" t="str">
        <f>Sheet1!B908</f>
        <v>2025-09-16</v>
      </c>
      <c r="C908" t="str">
        <f>TEXT(Sheet1!B908,"YYYY-MM")</f>
        <v>2025-09</v>
      </c>
      <c r="D908" t="str">
        <f>Sheet1!D908</f>
        <v>Hyderabad</v>
      </c>
      <c r="E908" t="str">
        <f>Sheet1!F908</f>
        <v>Electronics</v>
      </c>
      <c r="F908" t="str">
        <f>Sheet1!H908</f>
        <v>Sneha</v>
      </c>
      <c r="G908">
        <f>Sheet1!K908</f>
        <v>31020</v>
      </c>
      <c r="H908">
        <f>Sheet1!N908</f>
        <v>4198.43</v>
      </c>
      <c r="I908">
        <f t="shared" si="17"/>
        <v>1</v>
      </c>
    </row>
    <row r="909" spans="1:9" x14ac:dyDescent="0.3">
      <c r="A909">
        <f>Sheet1!A909</f>
        <v>1908</v>
      </c>
      <c r="B909" t="str">
        <f>Sheet1!B909</f>
        <v>2025-09-16</v>
      </c>
      <c r="C909" t="str">
        <f>TEXT(Sheet1!B909,"YYYY-MM")</f>
        <v>2025-09</v>
      </c>
      <c r="D909" t="str">
        <f>Sheet1!D909</f>
        <v>Bangalore</v>
      </c>
      <c r="E909" t="str">
        <f>Sheet1!F909</f>
        <v>Clothing</v>
      </c>
      <c r="F909" t="str">
        <f>Sheet1!H909</f>
        <v>Pooja</v>
      </c>
      <c r="G909">
        <f>Sheet1!K909</f>
        <v>9753.75</v>
      </c>
      <c r="H909">
        <f>Sheet1!N909</f>
        <v>2190.4899999999998</v>
      </c>
      <c r="I909">
        <f t="shared" si="17"/>
        <v>1</v>
      </c>
    </row>
    <row r="910" spans="1:9" x14ac:dyDescent="0.3">
      <c r="A910">
        <f>Sheet1!A910</f>
        <v>1909</v>
      </c>
      <c r="B910" t="str">
        <f>Sheet1!B910</f>
        <v>2025-09-16</v>
      </c>
      <c r="C910" t="str">
        <f>TEXT(Sheet1!B910,"YYYY-MM")</f>
        <v>2025-09</v>
      </c>
      <c r="D910" t="str">
        <f>Sheet1!D910</f>
        <v>Delhi</v>
      </c>
      <c r="E910" t="str">
        <f>Sheet1!F910</f>
        <v>Electronics</v>
      </c>
      <c r="F910" t="str">
        <f>Sheet1!H910</f>
        <v>Rahul</v>
      </c>
      <c r="G910">
        <f>Sheet1!K910</f>
        <v>25250.05</v>
      </c>
      <c r="H910">
        <f>Sheet1!N910</f>
        <v>3539.37</v>
      </c>
      <c r="I910">
        <f t="shared" si="17"/>
        <v>1</v>
      </c>
    </row>
    <row r="911" spans="1:9" x14ac:dyDescent="0.3">
      <c r="A911">
        <f>Sheet1!A911</f>
        <v>1910</v>
      </c>
      <c r="B911" t="str">
        <f>Sheet1!B911</f>
        <v>2025-09-16</v>
      </c>
      <c r="C911" t="str">
        <f>TEXT(Sheet1!B911,"YYYY-MM")</f>
        <v>2025-09</v>
      </c>
      <c r="D911" t="str">
        <f>Sheet1!D911</f>
        <v>Pune</v>
      </c>
      <c r="E911" t="str">
        <f>Sheet1!F911</f>
        <v>Electronics</v>
      </c>
      <c r="F911" t="str">
        <f>Sheet1!H911</f>
        <v>Pooja</v>
      </c>
      <c r="G911">
        <f>Sheet1!K911</f>
        <v>36581</v>
      </c>
      <c r="H911">
        <f>Sheet1!N911</f>
        <v>5928.96</v>
      </c>
      <c r="I911">
        <f t="shared" si="17"/>
        <v>1</v>
      </c>
    </row>
    <row r="912" spans="1:9" x14ac:dyDescent="0.3">
      <c r="A912">
        <f>Sheet1!A912</f>
        <v>1911</v>
      </c>
      <c r="B912" t="str">
        <f>Sheet1!B912</f>
        <v>2025-09-16</v>
      </c>
      <c r="C912" t="str">
        <f>TEXT(Sheet1!B912,"YYYY-MM")</f>
        <v>2025-09</v>
      </c>
      <c r="D912" t="str">
        <f>Sheet1!D912</f>
        <v>Delhi</v>
      </c>
      <c r="E912" t="str">
        <f>Sheet1!F912</f>
        <v>Electronics</v>
      </c>
      <c r="F912" t="str">
        <f>Sheet1!H912</f>
        <v>Sneha</v>
      </c>
      <c r="G912">
        <f>Sheet1!K912</f>
        <v>141786</v>
      </c>
      <c r="H912">
        <f>Sheet1!N912</f>
        <v>35471.370000000003</v>
      </c>
      <c r="I912">
        <f t="shared" si="17"/>
        <v>1</v>
      </c>
    </row>
    <row r="913" spans="1:9" x14ac:dyDescent="0.3">
      <c r="A913">
        <f>Sheet1!A913</f>
        <v>1912</v>
      </c>
      <c r="B913" t="str">
        <f>Sheet1!B913</f>
        <v>2025-09-17</v>
      </c>
      <c r="C913" t="str">
        <f>TEXT(Sheet1!B913,"YYYY-MM")</f>
        <v>2025-09</v>
      </c>
      <c r="D913" t="str">
        <f>Sheet1!D913</f>
        <v>Hyderabad</v>
      </c>
      <c r="E913" t="str">
        <f>Sheet1!F913</f>
        <v>Furniture</v>
      </c>
      <c r="F913" t="str">
        <f>Sheet1!H913</f>
        <v>Rahul</v>
      </c>
      <c r="G913">
        <f>Sheet1!K913</f>
        <v>181598.25</v>
      </c>
      <c r="H913">
        <f>Sheet1!N913</f>
        <v>30834.85</v>
      </c>
      <c r="I913">
        <f t="shared" si="17"/>
        <v>1</v>
      </c>
    </row>
    <row r="914" spans="1:9" x14ac:dyDescent="0.3">
      <c r="A914">
        <f>Sheet1!A914</f>
        <v>1913</v>
      </c>
      <c r="B914" t="str">
        <f>Sheet1!B914</f>
        <v>2025-09-17</v>
      </c>
      <c r="C914" t="str">
        <f>TEXT(Sheet1!B914,"YYYY-MM")</f>
        <v>2025-09</v>
      </c>
      <c r="D914" t="str">
        <f>Sheet1!D914</f>
        <v>Bangalore</v>
      </c>
      <c r="E914" t="str">
        <f>Sheet1!F914</f>
        <v>Electronics</v>
      </c>
      <c r="F914" t="str">
        <f>Sheet1!H914</f>
        <v>Sneha</v>
      </c>
      <c r="G914">
        <f>Sheet1!K914</f>
        <v>18918.3</v>
      </c>
      <c r="H914">
        <f>Sheet1!N914</f>
        <v>3330.73</v>
      </c>
      <c r="I914">
        <f t="shared" si="17"/>
        <v>1</v>
      </c>
    </row>
    <row r="915" spans="1:9" x14ac:dyDescent="0.3">
      <c r="A915">
        <f>Sheet1!A915</f>
        <v>1914</v>
      </c>
      <c r="B915" t="str">
        <f>Sheet1!B915</f>
        <v>2025-09-17</v>
      </c>
      <c r="C915" t="str">
        <f>TEXT(Sheet1!B915,"YYYY-MM")</f>
        <v>2025-09</v>
      </c>
      <c r="D915" t="str">
        <f>Sheet1!D915</f>
        <v>Delhi</v>
      </c>
      <c r="E915" t="str">
        <f>Sheet1!F915</f>
        <v>Clothing</v>
      </c>
      <c r="F915" t="str">
        <f>Sheet1!H915</f>
        <v>Rahul</v>
      </c>
      <c r="G915">
        <f>Sheet1!K915</f>
        <v>40942.800000000003</v>
      </c>
      <c r="H915">
        <f>Sheet1!N915</f>
        <v>7340.68</v>
      </c>
      <c r="I915">
        <f t="shared" si="17"/>
        <v>1</v>
      </c>
    </row>
    <row r="916" spans="1:9" x14ac:dyDescent="0.3">
      <c r="A916">
        <f>Sheet1!A916</f>
        <v>1915</v>
      </c>
      <c r="B916" t="str">
        <f>Sheet1!B916</f>
        <v>2025-09-17</v>
      </c>
      <c r="C916" t="str">
        <f>TEXT(Sheet1!B916,"YYYY-MM")</f>
        <v>2025-09</v>
      </c>
      <c r="D916" t="str">
        <f>Sheet1!D916</f>
        <v>Delhi</v>
      </c>
      <c r="E916" t="str">
        <f>Sheet1!F916</f>
        <v>Furniture</v>
      </c>
      <c r="F916" t="str">
        <f>Sheet1!H916</f>
        <v>Sneha</v>
      </c>
      <c r="G916">
        <f>Sheet1!K916</f>
        <v>135973.5</v>
      </c>
      <c r="H916">
        <f>Sheet1!N916</f>
        <v>32145.87</v>
      </c>
      <c r="I916">
        <f t="shared" si="17"/>
        <v>1</v>
      </c>
    </row>
    <row r="917" spans="1:9" x14ac:dyDescent="0.3">
      <c r="A917">
        <f>Sheet1!A917</f>
        <v>1916</v>
      </c>
      <c r="B917" t="str">
        <f>Sheet1!B917</f>
        <v>2025-09-18</v>
      </c>
      <c r="C917" t="str">
        <f>TEXT(Sheet1!B917,"YYYY-MM")</f>
        <v>2025-09</v>
      </c>
      <c r="D917" t="str">
        <f>Sheet1!D917</f>
        <v>Delhi</v>
      </c>
      <c r="E917" t="str">
        <f>Sheet1!F917</f>
        <v>Furniture</v>
      </c>
      <c r="F917" t="str">
        <f>Sheet1!H917</f>
        <v>Pooja</v>
      </c>
      <c r="G917">
        <f>Sheet1!K917</f>
        <v>22419.599999999999</v>
      </c>
      <c r="H917">
        <f>Sheet1!N917</f>
        <v>4495.5</v>
      </c>
      <c r="I917">
        <f t="shared" si="17"/>
        <v>1</v>
      </c>
    </row>
    <row r="918" spans="1:9" x14ac:dyDescent="0.3">
      <c r="A918">
        <f>Sheet1!A918</f>
        <v>1917</v>
      </c>
      <c r="B918" t="str">
        <f>Sheet1!B918</f>
        <v>2025-09-18</v>
      </c>
      <c r="C918" t="str">
        <f>TEXT(Sheet1!B918,"YYYY-MM")</f>
        <v>2025-09</v>
      </c>
      <c r="D918" t="str">
        <f>Sheet1!D918</f>
        <v>Delhi</v>
      </c>
      <c r="E918" t="str">
        <f>Sheet1!F918</f>
        <v>Furniture</v>
      </c>
      <c r="F918" t="str">
        <f>Sheet1!H918</f>
        <v>Sneha</v>
      </c>
      <c r="G918">
        <f>Sheet1!K918</f>
        <v>25596</v>
      </c>
      <c r="H918">
        <f>Sheet1!N918</f>
        <v>5856.04</v>
      </c>
      <c r="I918">
        <f t="shared" si="17"/>
        <v>1</v>
      </c>
    </row>
    <row r="919" spans="1:9" x14ac:dyDescent="0.3">
      <c r="A919">
        <f>Sheet1!A919</f>
        <v>1918</v>
      </c>
      <c r="B919" t="str">
        <f>Sheet1!B919</f>
        <v>2025-09-18</v>
      </c>
      <c r="C919" t="str">
        <f>TEXT(Sheet1!B919,"YYYY-MM")</f>
        <v>2025-09</v>
      </c>
      <c r="D919" t="str">
        <f>Sheet1!D919</f>
        <v>Hyderabad</v>
      </c>
      <c r="E919" t="str">
        <f>Sheet1!F919</f>
        <v>Furniture</v>
      </c>
      <c r="F919" t="str">
        <f>Sheet1!H919</f>
        <v>Sneha</v>
      </c>
      <c r="G919">
        <f>Sheet1!K919</f>
        <v>132087</v>
      </c>
      <c r="H919">
        <f>Sheet1!N919</f>
        <v>13401.11</v>
      </c>
      <c r="I919">
        <f t="shared" si="17"/>
        <v>1</v>
      </c>
    </row>
    <row r="920" spans="1:9" x14ac:dyDescent="0.3">
      <c r="A920">
        <f>Sheet1!A920</f>
        <v>1919</v>
      </c>
      <c r="B920" t="str">
        <f>Sheet1!B920</f>
        <v>2025-09-18</v>
      </c>
      <c r="C920" t="str">
        <f>TEXT(Sheet1!B920,"YYYY-MM")</f>
        <v>2025-09</v>
      </c>
      <c r="D920" t="str">
        <f>Sheet1!D920</f>
        <v>Delhi</v>
      </c>
      <c r="E920" t="str">
        <f>Sheet1!F920</f>
        <v>Furniture</v>
      </c>
      <c r="F920" t="str">
        <f>Sheet1!H920</f>
        <v>Sneha</v>
      </c>
      <c r="G920">
        <f>Sheet1!K920</f>
        <v>114139.8</v>
      </c>
      <c r="H920">
        <f>Sheet1!N920</f>
        <v>17592.68</v>
      </c>
      <c r="I920">
        <f t="shared" si="17"/>
        <v>1</v>
      </c>
    </row>
    <row r="921" spans="1:9" x14ac:dyDescent="0.3">
      <c r="A921">
        <f>Sheet1!A921</f>
        <v>1920</v>
      </c>
      <c r="B921" t="str">
        <f>Sheet1!B921</f>
        <v>2025-09-18</v>
      </c>
      <c r="C921" t="str">
        <f>TEXT(Sheet1!B921,"YYYY-MM")</f>
        <v>2025-09</v>
      </c>
      <c r="D921" t="str">
        <f>Sheet1!D921</f>
        <v>Pune</v>
      </c>
      <c r="E921" t="str">
        <f>Sheet1!F921</f>
        <v>Clothing</v>
      </c>
      <c r="F921" t="str">
        <f>Sheet1!H921</f>
        <v>Rahul</v>
      </c>
      <c r="G921">
        <f>Sheet1!K921</f>
        <v>211554</v>
      </c>
      <c r="H921">
        <f>Sheet1!N921</f>
        <v>37615.300000000003</v>
      </c>
      <c r="I921">
        <f t="shared" si="17"/>
        <v>1</v>
      </c>
    </row>
    <row r="922" spans="1:9" x14ac:dyDescent="0.3">
      <c r="A922">
        <f>Sheet1!A922</f>
        <v>1921</v>
      </c>
      <c r="B922" t="str">
        <f>Sheet1!B922</f>
        <v>2025-09-19</v>
      </c>
      <c r="C922" t="str">
        <f>TEXT(Sheet1!B922,"YYYY-MM")</f>
        <v>2025-09</v>
      </c>
      <c r="D922" t="str">
        <f>Sheet1!D922</f>
        <v>Mumbai</v>
      </c>
      <c r="E922" t="str">
        <f>Sheet1!F922</f>
        <v>Clothing</v>
      </c>
      <c r="F922" t="str">
        <f>Sheet1!H922</f>
        <v>Rahul</v>
      </c>
      <c r="G922">
        <f>Sheet1!K922</f>
        <v>109919.75</v>
      </c>
      <c r="H922">
        <f>Sheet1!N922</f>
        <v>11440.48</v>
      </c>
      <c r="I922">
        <f t="shared" si="17"/>
        <v>1</v>
      </c>
    </row>
    <row r="923" spans="1:9" x14ac:dyDescent="0.3">
      <c r="A923">
        <f>Sheet1!A923</f>
        <v>1922</v>
      </c>
      <c r="B923" t="str">
        <f>Sheet1!B923</f>
        <v>2025-09-19</v>
      </c>
      <c r="C923" t="str">
        <f>TEXT(Sheet1!B923,"YYYY-MM")</f>
        <v>2025-09</v>
      </c>
      <c r="D923" t="str">
        <f>Sheet1!D923</f>
        <v>Bangalore</v>
      </c>
      <c r="E923" t="str">
        <f>Sheet1!F923</f>
        <v>Electronics</v>
      </c>
      <c r="F923" t="str">
        <f>Sheet1!H923</f>
        <v>Pooja</v>
      </c>
      <c r="G923">
        <f>Sheet1!K923</f>
        <v>191184</v>
      </c>
      <c r="H923">
        <f>Sheet1!N923</f>
        <v>33584.18</v>
      </c>
      <c r="I923">
        <f t="shared" si="17"/>
        <v>1</v>
      </c>
    </row>
    <row r="924" spans="1:9" x14ac:dyDescent="0.3">
      <c r="A924">
        <f>Sheet1!A924</f>
        <v>1923</v>
      </c>
      <c r="B924" t="str">
        <f>Sheet1!B924</f>
        <v>2025-09-19</v>
      </c>
      <c r="C924" t="str">
        <f>TEXT(Sheet1!B924,"YYYY-MM")</f>
        <v>2025-09</v>
      </c>
      <c r="D924" t="str">
        <f>Sheet1!D924</f>
        <v>Bangalore</v>
      </c>
      <c r="E924" t="str">
        <f>Sheet1!F924</f>
        <v>Clothing</v>
      </c>
      <c r="F924" t="str">
        <f>Sheet1!H924</f>
        <v>Sneha</v>
      </c>
      <c r="G924">
        <f>Sheet1!K924</f>
        <v>53832</v>
      </c>
      <c r="H924">
        <f>Sheet1!N924</f>
        <v>9052.25</v>
      </c>
      <c r="I924">
        <f t="shared" si="17"/>
        <v>1</v>
      </c>
    </row>
    <row r="925" spans="1:9" x14ac:dyDescent="0.3">
      <c r="A925">
        <f>Sheet1!A925</f>
        <v>1924</v>
      </c>
      <c r="B925" t="str">
        <f>Sheet1!B925</f>
        <v>2025-09-20</v>
      </c>
      <c r="C925" t="str">
        <f>TEXT(Sheet1!B925,"YYYY-MM")</f>
        <v>2025-09</v>
      </c>
      <c r="D925" t="str">
        <f>Sheet1!D925</f>
        <v>Pune</v>
      </c>
      <c r="E925" t="str">
        <f>Sheet1!F925</f>
        <v>Electronics</v>
      </c>
      <c r="F925" t="str">
        <f>Sheet1!H925</f>
        <v>Ajay</v>
      </c>
      <c r="G925">
        <f>Sheet1!K925</f>
        <v>217237.5</v>
      </c>
      <c r="H925">
        <f>Sheet1!N925</f>
        <v>55853.71</v>
      </c>
      <c r="I925">
        <f t="shared" si="17"/>
        <v>1</v>
      </c>
    </row>
    <row r="926" spans="1:9" x14ac:dyDescent="0.3">
      <c r="A926">
        <f>Sheet1!A926</f>
        <v>1925</v>
      </c>
      <c r="B926" t="str">
        <f>Sheet1!B926</f>
        <v>2025-09-20</v>
      </c>
      <c r="C926" t="str">
        <f>TEXT(Sheet1!B926,"YYYY-MM")</f>
        <v>2025-09</v>
      </c>
      <c r="D926" t="str">
        <f>Sheet1!D926</f>
        <v>Pune</v>
      </c>
      <c r="E926" t="str">
        <f>Sheet1!F926</f>
        <v>Clothing</v>
      </c>
      <c r="F926" t="str">
        <f>Sheet1!H926</f>
        <v>Rahul</v>
      </c>
      <c r="G926">
        <f>Sheet1!K926</f>
        <v>71649</v>
      </c>
      <c r="H926">
        <f>Sheet1!N926</f>
        <v>18859.509999999998</v>
      </c>
      <c r="I926">
        <f t="shared" si="17"/>
        <v>1</v>
      </c>
    </row>
    <row r="927" spans="1:9" x14ac:dyDescent="0.3">
      <c r="A927">
        <f>Sheet1!A927</f>
        <v>1926</v>
      </c>
      <c r="B927" t="str">
        <f>Sheet1!B927</f>
        <v>2025-09-20</v>
      </c>
      <c r="C927" t="str">
        <f>TEXT(Sheet1!B927,"YYYY-MM")</f>
        <v>2025-09</v>
      </c>
      <c r="D927" t="str">
        <f>Sheet1!D927</f>
        <v>Pune</v>
      </c>
      <c r="E927" t="str">
        <f>Sheet1!F927</f>
        <v>Electronics</v>
      </c>
      <c r="F927" t="str">
        <f>Sheet1!H927</f>
        <v>Pooja</v>
      </c>
      <c r="G927">
        <f>Sheet1!K927</f>
        <v>23950.45</v>
      </c>
      <c r="H927">
        <f>Sheet1!N927</f>
        <v>6410.05</v>
      </c>
      <c r="I927">
        <f t="shared" si="17"/>
        <v>1</v>
      </c>
    </row>
    <row r="928" spans="1:9" x14ac:dyDescent="0.3">
      <c r="A928">
        <f>Sheet1!A928</f>
        <v>1927</v>
      </c>
      <c r="B928" t="str">
        <f>Sheet1!B928</f>
        <v>2025-09-20</v>
      </c>
      <c r="C928" t="str">
        <f>TEXT(Sheet1!B928,"YYYY-MM")</f>
        <v>2025-09</v>
      </c>
      <c r="D928" t="str">
        <f>Sheet1!D928</f>
        <v>Hyderabad</v>
      </c>
      <c r="E928" t="str">
        <f>Sheet1!F928</f>
        <v>Electronics</v>
      </c>
      <c r="F928" t="str">
        <f>Sheet1!H928</f>
        <v>Rahul</v>
      </c>
      <c r="G928">
        <f>Sheet1!K928</f>
        <v>10828.8</v>
      </c>
      <c r="H928">
        <f>Sheet1!N928</f>
        <v>2391.16</v>
      </c>
      <c r="I928">
        <f t="shared" si="17"/>
        <v>1</v>
      </c>
    </row>
    <row r="929" spans="1:9" x14ac:dyDescent="0.3">
      <c r="A929">
        <f>Sheet1!A929</f>
        <v>1928</v>
      </c>
      <c r="B929" t="str">
        <f>Sheet1!B929</f>
        <v>2025-09-21</v>
      </c>
      <c r="C929" t="str">
        <f>TEXT(Sheet1!B929,"YYYY-MM")</f>
        <v>2025-09</v>
      </c>
      <c r="D929" t="str">
        <f>Sheet1!D929</f>
        <v>Delhi</v>
      </c>
      <c r="E929" t="str">
        <f>Sheet1!F929</f>
        <v>Clothing</v>
      </c>
      <c r="F929" t="str">
        <f>Sheet1!H929</f>
        <v>Rahul</v>
      </c>
      <c r="G929">
        <f>Sheet1!K929</f>
        <v>135013.04999999999</v>
      </c>
      <c r="H929">
        <f>Sheet1!N929</f>
        <v>13871.4</v>
      </c>
      <c r="I929">
        <f t="shared" si="17"/>
        <v>1</v>
      </c>
    </row>
    <row r="930" spans="1:9" x14ac:dyDescent="0.3">
      <c r="A930">
        <f>Sheet1!A930</f>
        <v>1929</v>
      </c>
      <c r="B930" t="str">
        <f>Sheet1!B930</f>
        <v>2025-09-21</v>
      </c>
      <c r="C930" t="str">
        <f>TEXT(Sheet1!B930,"YYYY-MM")</f>
        <v>2025-09</v>
      </c>
      <c r="D930" t="str">
        <f>Sheet1!D930</f>
        <v>Pune</v>
      </c>
      <c r="E930" t="str">
        <f>Sheet1!F930</f>
        <v>Clothing</v>
      </c>
      <c r="F930" t="str">
        <f>Sheet1!H930</f>
        <v>Rahul</v>
      </c>
      <c r="G930">
        <f>Sheet1!K930</f>
        <v>27741.599999999999</v>
      </c>
      <c r="H930">
        <f>Sheet1!N930</f>
        <v>5889.61</v>
      </c>
      <c r="I930">
        <f t="shared" si="17"/>
        <v>1</v>
      </c>
    </row>
    <row r="931" spans="1:9" x14ac:dyDescent="0.3">
      <c r="A931">
        <f>Sheet1!A931</f>
        <v>1930</v>
      </c>
      <c r="B931" t="str">
        <f>Sheet1!B931</f>
        <v>2025-09-22</v>
      </c>
      <c r="C931" t="str">
        <f>TEXT(Sheet1!B931,"YYYY-MM")</f>
        <v>2025-09</v>
      </c>
      <c r="D931" t="str">
        <f>Sheet1!D931</f>
        <v>Pune</v>
      </c>
      <c r="E931" t="str">
        <f>Sheet1!F931</f>
        <v>Electronics</v>
      </c>
      <c r="F931" t="str">
        <f>Sheet1!H931</f>
        <v>Ajay</v>
      </c>
      <c r="G931">
        <f>Sheet1!K931</f>
        <v>69623.5</v>
      </c>
      <c r="H931">
        <f>Sheet1!N931</f>
        <v>16847.13</v>
      </c>
      <c r="I931">
        <f t="shared" si="17"/>
        <v>1</v>
      </c>
    </row>
    <row r="932" spans="1:9" x14ac:dyDescent="0.3">
      <c r="A932">
        <f>Sheet1!A932</f>
        <v>1931</v>
      </c>
      <c r="B932" t="str">
        <f>Sheet1!B932</f>
        <v>2025-09-22</v>
      </c>
      <c r="C932" t="str">
        <f>TEXT(Sheet1!B932,"YYYY-MM")</f>
        <v>2025-09</v>
      </c>
      <c r="D932" t="str">
        <f>Sheet1!D932</f>
        <v>Hyderabad</v>
      </c>
      <c r="E932" t="str">
        <f>Sheet1!F932</f>
        <v>Furniture</v>
      </c>
      <c r="F932" t="str">
        <f>Sheet1!H932</f>
        <v>Pooja</v>
      </c>
      <c r="G932">
        <f>Sheet1!K932</f>
        <v>29774</v>
      </c>
      <c r="H932">
        <f>Sheet1!N932</f>
        <v>3671.15</v>
      </c>
      <c r="I932">
        <f t="shared" si="17"/>
        <v>1</v>
      </c>
    </row>
    <row r="933" spans="1:9" x14ac:dyDescent="0.3">
      <c r="A933">
        <f>Sheet1!A933</f>
        <v>1932</v>
      </c>
      <c r="B933" t="str">
        <f>Sheet1!B933</f>
        <v>2025-09-22</v>
      </c>
      <c r="C933" t="str">
        <f>TEXT(Sheet1!B933,"YYYY-MM")</f>
        <v>2025-09</v>
      </c>
      <c r="D933" t="str">
        <f>Sheet1!D933</f>
        <v>Mumbai</v>
      </c>
      <c r="E933" t="str">
        <f>Sheet1!F933</f>
        <v>Clothing</v>
      </c>
      <c r="F933" t="str">
        <f>Sheet1!H933</f>
        <v>Sneha</v>
      </c>
      <c r="G933">
        <f>Sheet1!K933</f>
        <v>29691</v>
      </c>
      <c r="H933">
        <f>Sheet1!N933</f>
        <v>5258.5</v>
      </c>
      <c r="I933">
        <f t="shared" si="17"/>
        <v>1</v>
      </c>
    </row>
    <row r="934" spans="1:9" x14ac:dyDescent="0.3">
      <c r="A934">
        <f>Sheet1!A934</f>
        <v>1933</v>
      </c>
      <c r="B934" t="str">
        <f>Sheet1!B934</f>
        <v>2025-09-22</v>
      </c>
      <c r="C934" t="str">
        <f>TEXT(Sheet1!B934,"YYYY-MM")</f>
        <v>2025-09</v>
      </c>
      <c r="D934" t="str">
        <f>Sheet1!D934</f>
        <v>Bangalore</v>
      </c>
      <c r="E934" t="str">
        <f>Sheet1!F934</f>
        <v>Furniture</v>
      </c>
      <c r="F934" t="str">
        <f>Sheet1!H934</f>
        <v>Pooja</v>
      </c>
      <c r="G934">
        <f>Sheet1!K934</f>
        <v>2051</v>
      </c>
      <c r="H934">
        <f>Sheet1!N934</f>
        <v>210.78</v>
      </c>
      <c r="I934">
        <f t="shared" si="17"/>
        <v>1</v>
      </c>
    </row>
    <row r="935" spans="1:9" x14ac:dyDescent="0.3">
      <c r="A935">
        <f>Sheet1!A935</f>
        <v>1934</v>
      </c>
      <c r="B935" t="str">
        <f>Sheet1!B935</f>
        <v>2025-09-22</v>
      </c>
      <c r="C935" t="str">
        <f>TEXT(Sheet1!B935,"YYYY-MM")</f>
        <v>2025-09</v>
      </c>
      <c r="D935" t="str">
        <f>Sheet1!D935</f>
        <v>Mumbai</v>
      </c>
      <c r="E935" t="str">
        <f>Sheet1!F935</f>
        <v>Furniture</v>
      </c>
      <c r="F935" t="str">
        <f>Sheet1!H935</f>
        <v>Ajay</v>
      </c>
      <c r="G935">
        <f>Sheet1!K935</f>
        <v>40098.6</v>
      </c>
      <c r="H935">
        <f>Sheet1!N935</f>
        <v>5632.61</v>
      </c>
      <c r="I935">
        <f t="shared" si="17"/>
        <v>1</v>
      </c>
    </row>
    <row r="936" spans="1:9" x14ac:dyDescent="0.3">
      <c r="A936">
        <f>Sheet1!A936</f>
        <v>1935</v>
      </c>
      <c r="B936" t="str">
        <f>Sheet1!B936</f>
        <v>2025-09-23</v>
      </c>
      <c r="C936" t="str">
        <f>TEXT(Sheet1!B936,"YYYY-MM")</f>
        <v>2025-09</v>
      </c>
      <c r="D936" t="str">
        <f>Sheet1!D936</f>
        <v>Pune</v>
      </c>
      <c r="E936" t="str">
        <f>Sheet1!F936</f>
        <v>Furniture</v>
      </c>
      <c r="F936" t="str">
        <f>Sheet1!H936</f>
        <v>Sneha</v>
      </c>
      <c r="G936">
        <f>Sheet1!K936</f>
        <v>17646</v>
      </c>
      <c r="H936">
        <f>Sheet1!N936</f>
        <v>5195.3900000000003</v>
      </c>
      <c r="I936">
        <f t="shared" si="17"/>
        <v>1</v>
      </c>
    </row>
    <row r="937" spans="1:9" x14ac:dyDescent="0.3">
      <c r="A937">
        <f>Sheet1!A937</f>
        <v>1936</v>
      </c>
      <c r="B937" t="str">
        <f>Sheet1!B937</f>
        <v>2025-09-23</v>
      </c>
      <c r="C937" t="str">
        <f>TEXT(Sheet1!B937,"YYYY-MM")</f>
        <v>2025-09</v>
      </c>
      <c r="D937" t="str">
        <f>Sheet1!D937</f>
        <v>Mumbai</v>
      </c>
      <c r="E937" t="str">
        <f>Sheet1!F937</f>
        <v>Clothing</v>
      </c>
      <c r="F937" t="str">
        <f>Sheet1!H937</f>
        <v>Pooja</v>
      </c>
      <c r="G937">
        <f>Sheet1!K937</f>
        <v>79056</v>
      </c>
      <c r="H937">
        <f>Sheet1!N937</f>
        <v>15889.63</v>
      </c>
      <c r="I937">
        <f t="shared" si="17"/>
        <v>1</v>
      </c>
    </row>
    <row r="938" spans="1:9" x14ac:dyDescent="0.3">
      <c r="A938">
        <f>Sheet1!A938</f>
        <v>1937</v>
      </c>
      <c r="B938" t="str">
        <f>Sheet1!B938</f>
        <v>2025-09-24</v>
      </c>
      <c r="C938" t="str">
        <f>TEXT(Sheet1!B938,"YYYY-MM")</f>
        <v>2025-09</v>
      </c>
      <c r="D938" t="str">
        <f>Sheet1!D938</f>
        <v>Delhi</v>
      </c>
      <c r="E938" t="str">
        <f>Sheet1!F938</f>
        <v>Electronics</v>
      </c>
      <c r="F938" t="str">
        <f>Sheet1!H938</f>
        <v>Ajay</v>
      </c>
      <c r="G938">
        <f>Sheet1!K938</f>
        <v>21237.25</v>
      </c>
      <c r="H938">
        <f>Sheet1!N938</f>
        <v>5378.18</v>
      </c>
      <c r="I938">
        <f t="shared" si="17"/>
        <v>1</v>
      </c>
    </row>
    <row r="939" spans="1:9" x14ac:dyDescent="0.3">
      <c r="A939">
        <f>Sheet1!A939</f>
        <v>1938</v>
      </c>
      <c r="B939" t="str">
        <f>Sheet1!B939</f>
        <v>2025-09-24</v>
      </c>
      <c r="C939" t="str">
        <f>TEXT(Sheet1!B939,"YYYY-MM")</f>
        <v>2025-09</v>
      </c>
      <c r="D939" t="str">
        <f>Sheet1!D939</f>
        <v>Delhi</v>
      </c>
      <c r="E939" t="str">
        <f>Sheet1!F939</f>
        <v>Electronics</v>
      </c>
      <c r="F939" t="str">
        <f>Sheet1!H939</f>
        <v>Rahul</v>
      </c>
      <c r="G939">
        <f>Sheet1!K939</f>
        <v>89676</v>
      </c>
      <c r="H939">
        <f>Sheet1!N939</f>
        <v>22179.08</v>
      </c>
      <c r="I939">
        <f t="shared" si="17"/>
        <v>1</v>
      </c>
    </row>
    <row r="940" spans="1:9" x14ac:dyDescent="0.3">
      <c r="A940">
        <f>Sheet1!A940</f>
        <v>1939</v>
      </c>
      <c r="B940" t="str">
        <f>Sheet1!B940</f>
        <v>2025-09-25</v>
      </c>
      <c r="C940" t="str">
        <f>TEXT(Sheet1!B940,"YYYY-MM")</f>
        <v>2025-09</v>
      </c>
      <c r="D940" t="str">
        <f>Sheet1!D940</f>
        <v>Bangalore</v>
      </c>
      <c r="E940" t="str">
        <f>Sheet1!F940</f>
        <v>Furniture</v>
      </c>
      <c r="F940" t="str">
        <f>Sheet1!H940</f>
        <v>Pooja</v>
      </c>
      <c r="G940">
        <f>Sheet1!K940</f>
        <v>49337</v>
      </c>
      <c r="H940">
        <f>Sheet1!N940</f>
        <v>5386.7</v>
      </c>
      <c r="I940">
        <f t="shared" si="17"/>
        <v>1</v>
      </c>
    </row>
    <row r="941" spans="1:9" x14ac:dyDescent="0.3">
      <c r="A941">
        <f>Sheet1!A941</f>
        <v>1940</v>
      </c>
      <c r="B941" t="str">
        <f>Sheet1!B941</f>
        <v>2025-09-25</v>
      </c>
      <c r="C941" t="str">
        <f>TEXT(Sheet1!B941,"YYYY-MM")</f>
        <v>2025-09</v>
      </c>
      <c r="D941" t="str">
        <f>Sheet1!D941</f>
        <v>Bangalore</v>
      </c>
      <c r="E941" t="str">
        <f>Sheet1!F941</f>
        <v>Clothing</v>
      </c>
      <c r="F941" t="str">
        <f>Sheet1!H941</f>
        <v>Sneha</v>
      </c>
      <c r="G941">
        <f>Sheet1!K941</f>
        <v>164485.20000000001</v>
      </c>
      <c r="H941">
        <f>Sheet1!N941</f>
        <v>39417.120000000003</v>
      </c>
      <c r="I941">
        <f t="shared" si="17"/>
        <v>1</v>
      </c>
    </row>
    <row r="942" spans="1:9" x14ac:dyDescent="0.3">
      <c r="A942">
        <f>Sheet1!A942</f>
        <v>1941</v>
      </c>
      <c r="B942" t="str">
        <f>Sheet1!B942</f>
        <v>2025-09-25</v>
      </c>
      <c r="C942" t="str">
        <f>TEXT(Sheet1!B942,"YYYY-MM")</f>
        <v>2025-09</v>
      </c>
      <c r="D942" t="str">
        <f>Sheet1!D942</f>
        <v>Delhi</v>
      </c>
      <c r="E942" t="str">
        <f>Sheet1!F942</f>
        <v>Clothing</v>
      </c>
      <c r="F942" t="str">
        <f>Sheet1!H942</f>
        <v>Sneha</v>
      </c>
      <c r="G942">
        <f>Sheet1!K942</f>
        <v>117841.5</v>
      </c>
      <c r="H942">
        <f>Sheet1!N942</f>
        <v>15962.1</v>
      </c>
      <c r="I942">
        <f t="shared" si="17"/>
        <v>1</v>
      </c>
    </row>
    <row r="943" spans="1:9" x14ac:dyDescent="0.3">
      <c r="A943">
        <f>Sheet1!A943</f>
        <v>1942</v>
      </c>
      <c r="B943" t="str">
        <f>Sheet1!B943</f>
        <v>2025-09-25</v>
      </c>
      <c r="C943" t="str">
        <f>TEXT(Sheet1!B943,"YYYY-MM")</f>
        <v>2025-09</v>
      </c>
      <c r="D943" t="str">
        <f>Sheet1!D943</f>
        <v>Mumbai</v>
      </c>
      <c r="E943" t="str">
        <f>Sheet1!F943</f>
        <v>Clothing</v>
      </c>
      <c r="F943" t="str">
        <f>Sheet1!H943</f>
        <v>Pooja</v>
      </c>
      <c r="G943">
        <f>Sheet1!K943</f>
        <v>3928</v>
      </c>
      <c r="H943">
        <f>Sheet1!N943</f>
        <v>589.14</v>
      </c>
      <c r="I943">
        <f t="shared" si="17"/>
        <v>1</v>
      </c>
    </row>
    <row r="944" spans="1:9" x14ac:dyDescent="0.3">
      <c r="A944">
        <f>Sheet1!A944</f>
        <v>1943</v>
      </c>
      <c r="B944" t="str">
        <f>Sheet1!B944</f>
        <v>2025-09-25</v>
      </c>
      <c r="C944" t="str">
        <f>TEXT(Sheet1!B944,"YYYY-MM")</f>
        <v>2025-09</v>
      </c>
      <c r="D944" t="str">
        <f>Sheet1!D944</f>
        <v>Mumbai</v>
      </c>
      <c r="E944" t="str">
        <f>Sheet1!F944</f>
        <v>Clothing</v>
      </c>
      <c r="F944" t="str">
        <f>Sheet1!H944</f>
        <v>Rahul</v>
      </c>
      <c r="G944">
        <f>Sheet1!K944</f>
        <v>29662</v>
      </c>
      <c r="H944">
        <f>Sheet1!N944</f>
        <v>4379.17</v>
      </c>
      <c r="I944">
        <f t="shared" si="17"/>
        <v>1</v>
      </c>
    </row>
    <row r="945" spans="1:9" x14ac:dyDescent="0.3">
      <c r="A945">
        <f>Sheet1!A945</f>
        <v>1944</v>
      </c>
      <c r="B945" t="str">
        <f>Sheet1!B945</f>
        <v>2025-09-26</v>
      </c>
      <c r="C945" t="str">
        <f>TEXT(Sheet1!B945,"YYYY-MM")</f>
        <v>2025-09</v>
      </c>
      <c r="D945" t="str">
        <f>Sheet1!D945</f>
        <v>Pune</v>
      </c>
      <c r="E945" t="str">
        <f>Sheet1!F945</f>
        <v>Electronics</v>
      </c>
      <c r="F945" t="str">
        <f>Sheet1!H945</f>
        <v>Ajay</v>
      </c>
      <c r="G945">
        <f>Sheet1!K945</f>
        <v>6063.9</v>
      </c>
      <c r="H945">
        <f>Sheet1!N945</f>
        <v>936.85</v>
      </c>
      <c r="I945">
        <f t="shared" si="17"/>
        <v>1</v>
      </c>
    </row>
    <row r="946" spans="1:9" x14ac:dyDescent="0.3">
      <c r="A946">
        <f>Sheet1!A946</f>
        <v>1945</v>
      </c>
      <c r="B946" t="str">
        <f>Sheet1!B946</f>
        <v>2025-09-26</v>
      </c>
      <c r="C946" t="str">
        <f>TEXT(Sheet1!B946,"YYYY-MM")</f>
        <v>2025-09</v>
      </c>
      <c r="D946" t="str">
        <f>Sheet1!D946</f>
        <v>Hyderabad</v>
      </c>
      <c r="E946" t="str">
        <f>Sheet1!F946</f>
        <v>Electronics</v>
      </c>
      <c r="F946" t="str">
        <f>Sheet1!H946</f>
        <v>Ajay</v>
      </c>
      <c r="G946">
        <f>Sheet1!K946</f>
        <v>138051</v>
      </c>
      <c r="H946">
        <f>Sheet1!N946</f>
        <v>14869.14</v>
      </c>
      <c r="I946">
        <f t="shared" si="17"/>
        <v>1</v>
      </c>
    </row>
    <row r="947" spans="1:9" x14ac:dyDescent="0.3">
      <c r="A947">
        <f>Sheet1!A947</f>
        <v>1946</v>
      </c>
      <c r="B947" t="str">
        <f>Sheet1!B947</f>
        <v>2025-09-26</v>
      </c>
      <c r="C947" t="str">
        <f>TEXT(Sheet1!B947,"YYYY-MM")</f>
        <v>2025-09</v>
      </c>
      <c r="D947" t="str">
        <f>Sheet1!D947</f>
        <v>Mumbai</v>
      </c>
      <c r="E947" t="str">
        <f>Sheet1!F947</f>
        <v>Clothing</v>
      </c>
      <c r="F947" t="str">
        <f>Sheet1!H947</f>
        <v>Ajay</v>
      </c>
      <c r="G947">
        <f>Sheet1!K947</f>
        <v>19488.3</v>
      </c>
      <c r="H947">
        <f>Sheet1!N947</f>
        <v>3356.07</v>
      </c>
      <c r="I947">
        <f t="shared" si="17"/>
        <v>1</v>
      </c>
    </row>
    <row r="948" spans="1:9" x14ac:dyDescent="0.3">
      <c r="A948">
        <f>Sheet1!A948</f>
        <v>1947</v>
      </c>
      <c r="B948" t="str">
        <f>Sheet1!B948</f>
        <v>2025-09-27</v>
      </c>
      <c r="C948" t="str">
        <f>TEXT(Sheet1!B948,"YYYY-MM")</f>
        <v>2025-09</v>
      </c>
      <c r="D948" t="str">
        <f>Sheet1!D948</f>
        <v>Bangalore</v>
      </c>
      <c r="E948" t="str">
        <f>Sheet1!F948</f>
        <v>Electronics</v>
      </c>
      <c r="F948" t="str">
        <f>Sheet1!H948</f>
        <v>Rahul</v>
      </c>
      <c r="G948">
        <f>Sheet1!K948</f>
        <v>21159</v>
      </c>
      <c r="H948">
        <f>Sheet1!N948</f>
        <v>5842.83</v>
      </c>
      <c r="I948">
        <f t="shared" si="17"/>
        <v>1</v>
      </c>
    </row>
    <row r="949" spans="1:9" x14ac:dyDescent="0.3">
      <c r="A949">
        <f>Sheet1!A949</f>
        <v>1948</v>
      </c>
      <c r="B949" t="str">
        <f>Sheet1!B949</f>
        <v>2025-09-27</v>
      </c>
      <c r="C949" t="str">
        <f>TEXT(Sheet1!B949,"YYYY-MM")</f>
        <v>2025-09</v>
      </c>
      <c r="D949" t="str">
        <f>Sheet1!D949</f>
        <v>Pune</v>
      </c>
      <c r="E949" t="str">
        <f>Sheet1!F949</f>
        <v>Furniture</v>
      </c>
      <c r="F949" t="str">
        <f>Sheet1!H949</f>
        <v>Rahul</v>
      </c>
      <c r="G949">
        <f>Sheet1!K949</f>
        <v>14708</v>
      </c>
      <c r="H949">
        <f>Sheet1!N949</f>
        <v>2646.89</v>
      </c>
      <c r="I949">
        <f t="shared" si="17"/>
        <v>1</v>
      </c>
    </row>
    <row r="950" spans="1:9" x14ac:dyDescent="0.3">
      <c r="A950">
        <f>Sheet1!A950</f>
        <v>1949</v>
      </c>
      <c r="B950" t="str">
        <f>Sheet1!B950</f>
        <v>2025-09-28</v>
      </c>
      <c r="C950" t="str">
        <f>TEXT(Sheet1!B950,"YYYY-MM")</f>
        <v>2025-09</v>
      </c>
      <c r="D950" t="str">
        <f>Sheet1!D950</f>
        <v>Bangalore</v>
      </c>
      <c r="E950" t="str">
        <f>Sheet1!F950</f>
        <v>Electronics</v>
      </c>
      <c r="F950" t="str">
        <f>Sheet1!H950</f>
        <v>Ajay</v>
      </c>
      <c r="G950">
        <f>Sheet1!K950</f>
        <v>155604</v>
      </c>
      <c r="H950">
        <f>Sheet1!N950</f>
        <v>32553.94</v>
      </c>
      <c r="I950">
        <f t="shared" si="17"/>
        <v>1</v>
      </c>
    </row>
    <row r="951" spans="1:9" x14ac:dyDescent="0.3">
      <c r="A951">
        <f>Sheet1!A951</f>
        <v>1950</v>
      </c>
      <c r="B951" t="str">
        <f>Sheet1!B951</f>
        <v>2025-09-28</v>
      </c>
      <c r="C951" t="str">
        <f>TEXT(Sheet1!B951,"YYYY-MM")</f>
        <v>2025-09</v>
      </c>
      <c r="D951" t="str">
        <f>Sheet1!D951</f>
        <v>Delhi</v>
      </c>
      <c r="E951" t="str">
        <f>Sheet1!F951</f>
        <v>Furniture</v>
      </c>
      <c r="F951" t="str">
        <f>Sheet1!H951</f>
        <v>Rahul</v>
      </c>
      <c r="G951">
        <f>Sheet1!K951</f>
        <v>22569</v>
      </c>
      <c r="H951">
        <f>Sheet1!N951</f>
        <v>6577.08</v>
      </c>
      <c r="I951">
        <f t="shared" si="17"/>
        <v>1</v>
      </c>
    </row>
    <row r="952" spans="1:9" x14ac:dyDescent="0.3">
      <c r="A952">
        <f>Sheet1!A952</f>
        <v>1951</v>
      </c>
      <c r="B952" t="str">
        <f>Sheet1!B952</f>
        <v>2025-09-28</v>
      </c>
      <c r="C952" t="str">
        <f>TEXT(Sheet1!B952,"YYYY-MM")</f>
        <v>2025-09</v>
      </c>
      <c r="D952" t="str">
        <f>Sheet1!D952</f>
        <v>Pune</v>
      </c>
      <c r="E952" t="str">
        <f>Sheet1!F952</f>
        <v>Furniture</v>
      </c>
      <c r="F952" t="str">
        <f>Sheet1!H952</f>
        <v>Rahul</v>
      </c>
      <c r="G952">
        <f>Sheet1!K952</f>
        <v>103572</v>
      </c>
      <c r="H952">
        <f>Sheet1!N952</f>
        <v>27009.33</v>
      </c>
      <c r="I952">
        <f t="shared" si="17"/>
        <v>1</v>
      </c>
    </row>
    <row r="953" spans="1:9" x14ac:dyDescent="0.3">
      <c r="A953">
        <f>Sheet1!A953</f>
        <v>1952</v>
      </c>
      <c r="B953" t="str">
        <f>Sheet1!B953</f>
        <v>2025-09-28</v>
      </c>
      <c r="C953" t="str">
        <f>TEXT(Sheet1!B953,"YYYY-MM")</f>
        <v>2025-09</v>
      </c>
      <c r="D953" t="str">
        <f>Sheet1!D953</f>
        <v>Hyderabad</v>
      </c>
      <c r="E953" t="str">
        <f>Sheet1!F953</f>
        <v>Clothing</v>
      </c>
      <c r="F953" t="str">
        <f>Sheet1!H953</f>
        <v>Pooja</v>
      </c>
      <c r="G953">
        <f>Sheet1!K953</f>
        <v>68527.8</v>
      </c>
      <c r="H953">
        <f>Sheet1!N953</f>
        <v>18586.86</v>
      </c>
      <c r="I953">
        <f t="shared" si="17"/>
        <v>1</v>
      </c>
    </row>
    <row r="954" spans="1:9" x14ac:dyDescent="0.3">
      <c r="A954">
        <f>Sheet1!A954</f>
        <v>1953</v>
      </c>
      <c r="B954" t="str">
        <f>Sheet1!B954</f>
        <v>2025-09-29</v>
      </c>
      <c r="C954" t="str">
        <f>TEXT(Sheet1!B954,"YYYY-MM")</f>
        <v>2025-09</v>
      </c>
      <c r="D954" t="str">
        <f>Sheet1!D954</f>
        <v>Mumbai</v>
      </c>
      <c r="E954" t="str">
        <f>Sheet1!F954</f>
        <v>Electronics</v>
      </c>
      <c r="F954" t="str">
        <f>Sheet1!H954</f>
        <v>Ajay</v>
      </c>
      <c r="G954">
        <f>Sheet1!K954</f>
        <v>124023</v>
      </c>
      <c r="H954">
        <f>Sheet1!N954</f>
        <v>17474.169999999998</v>
      </c>
      <c r="I954">
        <f t="shared" si="17"/>
        <v>1</v>
      </c>
    </row>
    <row r="955" spans="1:9" x14ac:dyDescent="0.3">
      <c r="A955">
        <f>Sheet1!A955</f>
        <v>1954</v>
      </c>
      <c r="B955" t="str">
        <f>Sheet1!B955</f>
        <v>2025-09-29</v>
      </c>
      <c r="C955" t="str">
        <f>TEXT(Sheet1!B955,"YYYY-MM")</f>
        <v>2025-09</v>
      </c>
      <c r="D955" t="str">
        <f>Sheet1!D955</f>
        <v>Mumbai</v>
      </c>
      <c r="E955" t="str">
        <f>Sheet1!F955</f>
        <v>Furniture</v>
      </c>
      <c r="F955" t="str">
        <f>Sheet1!H955</f>
        <v>Ajay</v>
      </c>
      <c r="G955">
        <f>Sheet1!K955</f>
        <v>14660.8</v>
      </c>
      <c r="H955">
        <f>Sheet1!N955</f>
        <v>1964</v>
      </c>
      <c r="I955">
        <f t="shared" si="17"/>
        <v>1</v>
      </c>
    </row>
    <row r="956" spans="1:9" x14ac:dyDescent="0.3">
      <c r="A956">
        <f>Sheet1!A956</f>
        <v>1955</v>
      </c>
      <c r="B956" t="str">
        <f>Sheet1!B956</f>
        <v>2025-09-29</v>
      </c>
      <c r="C956" t="str">
        <f>TEXT(Sheet1!B956,"YYYY-MM")</f>
        <v>2025-09</v>
      </c>
      <c r="D956" t="str">
        <f>Sheet1!D956</f>
        <v>Delhi</v>
      </c>
      <c r="E956" t="str">
        <f>Sheet1!F956</f>
        <v>Clothing</v>
      </c>
      <c r="F956" t="str">
        <f>Sheet1!H956</f>
        <v>Ajay</v>
      </c>
      <c r="G956">
        <f>Sheet1!K956</f>
        <v>61373.4</v>
      </c>
      <c r="H956">
        <f>Sheet1!N956</f>
        <v>11771.14</v>
      </c>
      <c r="I956">
        <f t="shared" si="17"/>
        <v>1</v>
      </c>
    </row>
    <row r="957" spans="1:9" x14ac:dyDescent="0.3">
      <c r="A957">
        <f>Sheet1!A957</f>
        <v>1956</v>
      </c>
      <c r="B957" t="str">
        <f>Sheet1!B957</f>
        <v>2025-09-29</v>
      </c>
      <c r="C957" t="str">
        <f>TEXT(Sheet1!B957,"YYYY-MM")</f>
        <v>2025-09</v>
      </c>
      <c r="D957" t="str">
        <f>Sheet1!D957</f>
        <v>Mumbai</v>
      </c>
      <c r="E957" t="str">
        <f>Sheet1!F957</f>
        <v>Electronics</v>
      </c>
      <c r="F957" t="str">
        <f>Sheet1!H957</f>
        <v>Sneha</v>
      </c>
      <c r="G957">
        <f>Sheet1!K957</f>
        <v>17470.8</v>
      </c>
      <c r="H957">
        <f>Sheet1!N957</f>
        <v>5075.04</v>
      </c>
      <c r="I957">
        <f t="shared" si="17"/>
        <v>1</v>
      </c>
    </row>
    <row r="958" spans="1:9" x14ac:dyDescent="0.3">
      <c r="A958">
        <f>Sheet1!A958</f>
        <v>1957</v>
      </c>
      <c r="B958" t="str">
        <f>Sheet1!B958</f>
        <v>2025-09-30</v>
      </c>
      <c r="C958" t="str">
        <f>TEXT(Sheet1!B958,"YYYY-MM")</f>
        <v>2025-09</v>
      </c>
      <c r="D958" t="str">
        <f>Sheet1!D958</f>
        <v>Bangalore</v>
      </c>
      <c r="E958" t="str">
        <f>Sheet1!F958</f>
        <v>Electronics</v>
      </c>
      <c r="F958" t="str">
        <f>Sheet1!H958</f>
        <v>Rahul</v>
      </c>
      <c r="G958">
        <f>Sheet1!K958</f>
        <v>42624.9</v>
      </c>
      <c r="H958">
        <f>Sheet1!N958</f>
        <v>5093.99</v>
      </c>
      <c r="I958">
        <f t="shared" si="17"/>
        <v>1</v>
      </c>
    </row>
    <row r="959" spans="1:9" x14ac:dyDescent="0.3">
      <c r="A959">
        <f>Sheet1!A959</f>
        <v>1958</v>
      </c>
      <c r="B959" t="str">
        <f>Sheet1!B959</f>
        <v>2025-09-30</v>
      </c>
      <c r="C959" t="str">
        <f>TEXT(Sheet1!B959,"YYYY-MM")</f>
        <v>2025-09</v>
      </c>
      <c r="D959" t="str">
        <f>Sheet1!D959</f>
        <v>Bangalore</v>
      </c>
      <c r="E959" t="str">
        <f>Sheet1!F959</f>
        <v>Electronics</v>
      </c>
      <c r="F959" t="str">
        <f>Sheet1!H959</f>
        <v>Ajay</v>
      </c>
      <c r="G959">
        <f>Sheet1!K959</f>
        <v>201258.75</v>
      </c>
      <c r="H959">
        <f>Sheet1!N959</f>
        <v>22259.94</v>
      </c>
      <c r="I959">
        <f t="shared" si="17"/>
        <v>1</v>
      </c>
    </row>
    <row r="960" spans="1:9" x14ac:dyDescent="0.3">
      <c r="A960">
        <f>Sheet1!A960</f>
        <v>1959</v>
      </c>
      <c r="B960" t="str">
        <f>Sheet1!B960</f>
        <v>2025-09-30</v>
      </c>
      <c r="C960" t="str">
        <f>TEXT(Sheet1!B960,"YYYY-MM")</f>
        <v>2025-09</v>
      </c>
      <c r="D960" t="str">
        <f>Sheet1!D960</f>
        <v>Hyderabad</v>
      </c>
      <c r="E960" t="str">
        <f>Sheet1!F960</f>
        <v>Furniture</v>
      </c>
      <c r="F960" t="str">
        <f>Sheet1!H960</f>
        <v>Pooja</v>
      </c>
      <c r="G960">
        <f>Sheet1!K960</f>
        <v>9571</v>
      </c>
      <c r="H960">
        <f>Sheet1!N960</f>
        <v>2363.08</v>
      </c>
      <c r="I960">
        <f t="shared" si="17"/>
        <v>1</v>
      </c>
    </row>
    <row r="961" spans="1:9" x14ac:dyDescent="0.3">
      <c r="A961">
        <f>Sheet1!A961</f>
        <v>1960</v>
      </c>
      <c r="B961" t="str">
        <f>Sheet1!B961</f>
        <v>2025-09-30</v>
      </c>
      <c r="C961" t="str">
        <f>TEXT(Sheet1!B961,"YYYY-MM")</f>
        <v>2025-09</v>
      </c>
      <c r="D961" t="str">
        <f>Sheet1!D961</f>
        <v>Mumbai</v>
      </c>
      <c r="E961" t="str">
        <f>Sheet1!F961</f>
        <v>Electronics</v>
      </c>
      <c r="F961" t="str">
        <f>Sheet1!H961</f>
        <v>Rahul</v>
      </c>
      <c r="G961">
        <f>Sheet1!K961</f>
        <v>148330.79999999999</v>
      </c>
      <c r="H961">
        <f>Sheet1!N961</f>
        <v>37686.269999999997</v>
      </c>
      <c r="I961">
        <f t="shared" si="17"/>
        <v>1</v>
      </c>
    </row>
    <row r="962" spans="1:9" x14ac:dyDescent="0.3">
      <c r="A962">
        <f>Sheet1!A962</f>
        <v>1961</v>
      </c>
      <c r="B962" t="str">
        <f>Sheet1!B962</f>
        <v>2025-10-01</v>
      </c>
      <c r="C962" t="str">
        <f>TEXT(Sheet1!B962,"YYYY-MM")</f>
        <v>2025-10</v>
      </c>
      <c r="D962" t="str">
        <f>Sheet1!D962</f>
        <v>Delhi</v>
      </c>
      <c r="E962" t="str">
        <f>Sheet1!F962</f>
        <v>Furniture</v>
      </c>
      <c r="F962" t="str">
        <f>Sheet1!H962</f>
        <v>Pooja</v>
      </c>
      <c r="G962">
        <f>Sheet1!K962</f>
        <v>39649.199999999997</v>
      </c>
      <c r="H962">
        <f>Sheet1!N962</f>
        <v>11321.59</v>
      </c>
      <c r="I962">
        <f t="shared" ref="I962:I1025" si="18">IF(AND(OR(FilterCity="All",D962=FilterCity),OR(FilterCategory="All",E962=FilterCategory),OR(FilterRep="All",F962=FilterRep),C962&gt;=FilterMonthFrom,C962&lt;=FilterMonthTo),1,0)</f>
        <v>1</v>
      </c>
    </row>
    <row r="963" spans="1:9" x14ac:dyDescent="0.3">
      <c r="A963">
        <f>Sheet1!A963</f>
        <v>1962</v>
      </c>
      <c r="B963" t="str">
        <f>Sheet1!B963</f>
        <v>2025-10-01</v>
      </c>
      <c r="C963" t="str">
        <f>TEXT(Sheet1!B963,"YYYY-MM")</f>
        <v>2025-10</v>
      </c>
      <c r="D963" t="str">
        <f>Sheet1!D963</f>
        <v>Mumbai</v>
      </c>
      <c r="E963" t="str">
        <f>Sheet1!F963</f>
        <v>Electronics</v>
      </c>
      <c r="F963" t="str">
        <f>Sheet1!H963</f>
        <v>Pooja</v>
      </c>
      <c r="G963">
        <f>Sheet1!K963</f>
        <v>221670</v>
      </c>
      <c r="H963">
        <f>Sheet1!N963</f>
        <v>22978.92</v>
      </c>
      <c r="I963">
        <f t="shared" si="18"/>
        <v>1</v>
      </c>
    </row>
    <row r="964" spans="1:9" x14ac:dyDescent="0.3">
      <c r="A964">
        <f>Sheet1!A964</f>
        <v>1963</v>
      </c>
      <c r="B964" t="str">
        <f>Sheet1!B964</f>
        <v>2025-10-01</v>
      </c>
      <c r="C964" t="str">
        <f>TEXT(Sheet1!B964,"YYYY-MM")</f>
        <v>2025-10</v>
      </c>
      <c r="D964" t="str">
        <f>Sheet1!D964</f>
        <v>Bangalore</v>
      </c>
      <c r="E964" t="str">
        <f>Sheet1!F964</f>
        <v>Furniture</v>
      </c>
      <c r="F964" t="str">
        <f>Sheet1!H964</f>
        <v>Sneha</v>
      </c>
      <c r="G964">
        <f>Sheet1!K964</f>
        <v>44055.9</v>
      </c>
      <c r="H964">
        <f>Sheet1!N964</f>
        <v>7364.93</v>
      </c>
      <c r="I964">
        <f t="shared" si="18"/>
        <v>1</v>
      </c>
    </row>
    <row r="965" spans="1:9" x14ac:dyDescent="0.3">
      <c r="A965">
        <f>Sheet1!A965</f>
        <v>1964</v>
      </c>
      <c r="B965" t="str">
        <f>Sheet1!B965</f>
        <v>2025-10-01</v>
      </c>
      <c r="C965" t="str">
        <f>TEXT(Sheet1!B965,"YYYY-MM")</f>
        <v>2025-10</v>
      </c>
      <c r="D965" t="str">
        <f>Sheet1!D965</f>
        <v>Hyderabad</v>
      </c>
      <c r="E965" t="str">
        <f>Sheet1!F965</f>
        <v>Furniture</v>
      </c>
      <c r="F965" t="str">
        <f>Sheet1!H965</f>
        <v>Rahul</v>
      </c>
      <c r="G965">
        <f>Sheet1!K965</f>
        <v>68076</v>
      </c>
      <c r="H965">
        <f>Sheet1!N965</f>
        <v>19163.13</v>
      </c>
      <c r="I965">
        <f t="shared" si="18"/>
        <v>1</v>
      </c>
    </row>
    <row r="966" spans="1:9" x14ac:dyDescent="0.3">
      <c r="A966">
        <f>Sheet1!A966</f>
        <v>1965</v>
      </c>
      <c r="B966" t="str">
        <f>Sheet1!B966</f>
        <v>2025-10-01</v>
      </c>
      <c r="C966" t="str">
        <f>TEXT(Sheet1!B966,"YYYY-MM")</f>
        <v>2025-10</v>
      </c>
      <c r="D966" t="str">
        <f>Sheet1!D966</f>
        <v>Delhi</v>
      </c>
      <c r="E966" t="str">
        <f>Sheet1!F966</f>
        <v>Furniture</v>
      </c>
      <c r="F966" t="str">
        <f>Sheet1!H966</f>
        <v>Rahul</v>
      </c>
      <c r="G966">
        <f>Sheet1!K966</f>
        <v>185467.5</v>
      </c>
      <c r="H966">
        <f>Sheet1!N966</f>
        <v>30271.46</v>
      </c>
      <c r="I966">
        <f t="shared" si="18"/>
        <v>1</v>
      </c>
    </row>
    <row r="967" spans="1:9" x14ac:dyDescent="0.3">
      <c r="A967">
        <f>Sheet1!A967</f>
        <v>1966</v>
      </c>
      <c r="B967" t="str">
        <f>Sheet1!B967</f>
        <v>2025-10-02</v>
      </c>
      <c r="C967" t="str">
        <f>TEXT(Sheet1!B967,"YYYY-MM")</f>
        <v>2025-10</v>
      </c>
      <c r="D967" t="str">
        <f>Sheet1!D967</f>
        <v>Delhi</v>
      </c>
      <c r="E967" t="str">
        <f>Sheet1!F967</f>
        <v>Clothing</v>
      </c>
      <c r="F967" t="str">
        <f>Sheet1!H967</f>
        <v>Sneha</v>
      </c>
      <c r="G967">
        <f>Sheet1!K967</f>
        <v>73310.399999999994</v>
      </c>
      <c r="H967">
        <f>Sheet1!N967</f>
        <v>8505.6</v>
      </c>
      <c r="I967">
        <f t="shared" si="18"/>
        <v>1</v>
      </c>
    </row>
    <row r="968" spans="1:9" x14ac:dyDescent="0.3">
      <c r="A968">
        <f>Sheet1!A968</f>
        <v>1967</v>
      </c>
      <c r="B968" t="str">
        <f>Sheet1!B968</f>
        <v>2025-10-02</v>
      </c>
      <c r="C968" t="str">
        <f>TEXT(Sheet1!B968,"YYYY-MM")</f>
        <v>2025-10</v>
      </c>
      <c r="D968" t="str">
        <f>Sheet1!D968</f>
        <v>Pune</v>
      </c>
      <c r="E968" t="str">
        <f>Sheet1!F968</f>
        <v>Electronics</v>
      </c>
      <c r="F968" t="str">
        <f>Sheet1!H968</f>
        <v>Ajay</v>
      </c>
      <c r="G968">
        <f>Sheet1!K968</f>
        <v>53609.4</v>
      </c>
      <c r="H968">
        <f>Sheet1!N968</f>
        <v>16032.01</v>
      </c>
      <c r="I968">
        <f t="shared" si="18"/>
        <v>1</v>
      </c>
    </row>
    <row r="969" spans="1:9" x14ac:dyDescent="0.3">
      <c r="A969">
        <f>Sheet1!A969</f>
        <v>1968</v>
      </c>
      <c r="B969" t="str">
        <f>Sheet1!B969</f>
        <v>2025-10-02</v>
      </c>
      <c r="C969" t="str">
        <f>TEXT(Sheet1!B969,"YYYY-MM")</f>
        <v>2025-10</v>
      </c>
      <c r="D969" t="str">
        <f>Sheet1!D969</f>
        <v>Delhi</v>
      </c>
      <c r="E969" t="str">
        <f>Sheet1!F969</f>
        <v>Clothing</v>
      </c>
      <c r="F969" t="str">
        <f>Sheet1!H969</f>
        <v>Rahul</v>
      </c>
      <c r="G969">
        <f>Sheet1!K969</f>
        <v>76428</v>
      </c>
      <c r="H969">
        <f>Sheet1!N969</f>
        <v>19018.099999999999</v>
      </c>
      <c r="I969">
        <f t="shared" si="18"/>
        <v>1</v>
      </c>
    </row>
    <row r="970" spans="1:9" x14ac:dyDescent="0.3">
      <c r="A970">
        <f>Sheet1!A970</f>
        <v>1969</v>
      </c>
      <c r="B970" t="str">
        <f>Sheet1!B970</f>
        <v>2025-10-03</v>
      </c>
      <c r="C970" t="str">
        <f>TEXT(Sheet1!B970,"YYYY-MM")</f>
        <v>2025-10</v>
      </c>
      <c r="D970" t="str">
        <f>Sheet1!D970</f>
        <v>Delhi</v>
      </c>
      <c r="E970" t="str">
        <f>Sheet1!F970</f>
        <v>Furniture</v>
      </c>
      <c r="F970" t="str">
        <f>Sheet1!H970</f>
        <v>Pooja</v>
      </c>
      <c r="G970">
        <f>Sheet1!K970</f>
        <v>28116.3</v>
      </c>
      <c r="H970">
        <f>Sheet1!N970</f>
        <v>6368.05</v>
      </c>
      <c r="I970">
        <f t="shared" si="18"/>
        <v>1</v>
      </c>
    </row>
    <row r="971" spans="1:9" x14ac:dyDescent="0.3">
      <c r="A971">
        <f>Sheet1!A971</f>
        <v>1970</v>
      </c>
      <c r="B971" t="str">
        <f>Sheet1!B971</f>
        <v>2025-10-03</v>
      </c>
      <c r="C971" t="str">
        <f>TEXT(Sheet1!B971,"YYYY-MM")</f>
        <v>2025-10</v>
      </c>
      <c r="D971" t="str">
        <f>Sheet1!D971</f>
        <v>Mumbai</v>
      </c>
      <c r="E971" t="str">
        <f>Sheet1!F971</f>
        <v>Furniture</v>
      </c>
      <c r="F971" t="str">
        <f>Sheet1!H971</f>
        <v>Rahul</v>
      </c>
      <c r="G971">
        <f>Sheet1!K971</f>
        <v>162368</v>
      </c>
      <c r="H971">
        <f>Sheet1!N971</f>
        <v>45239.09</v>
      </c>
      <c r="I971">
        <f t="shared" si="18"/>
        <v>1</v>
      </c>
    </row>
    <row r="972" spans="1:9" x14ac:dyDescent="0.3">
      <c r="A972">
        <f>Sheet1!A972</f>
        <v>1971</v>
      </c>
      <c r="B972" t="str">
        <f>Sheet1!B972</f>
        <v>2025-10-03</v>
      </c>
      <c r="C972" t="str">
        <f>TEXT(Sheet1!B972,"YYYY-MM")</f>
        <v>2025-10</v>
      </c>
      <c r="D972" t="str">
        <f>Sheet1!D972</f>
        <v>Delhi</v>
      </c>
      <c r="E972" t="str">
        <f>Sheet1!F972</f>
        <v>Electronics</v>
      </c>
      <c r="F972" t="str">
        <f>Sheet1!H972</f>
        <v>Sneha</v>
      </c>
      <c r="G972">
        <f>Sheet1!K972</f>
        <v>98427.6</v>
      </c>
      <c r="H972">
        <f>Sheet1!N972</f>
        <v>26754.69</v>
      </c>
      <c r="I972">
        <f t="shared" si="18"/>
        <v>1</v>
      </c>
    </row>
    <row r="973" spans="1:9" x14ac:dyDescent="0.3">
      <c r="A973">
        <f>Sheet1!A973</f>
        <v>1972</v>
      </c>
      <c r="B973" t="str">
        <f>Sheet1!B973</f>
        <v>2025-10-03</v>
      </c>
      <c r="C973" t="str">
        <f>TEXT(Sheet1!B973,"YYYY-MM")</f>
        <v>2025-10</v>
      </c>
      <c r="D973" t="str">
        <f>Sheet1!D973</f>
        <v>Pune</v>
      </c>
      <c r="E973" t="str">
        <f>Sheet1!F973</f>
        <v>Furniture</v>
      </c>
      <c r="F973" t="str">
        <f>Sheet1!H973</f>
        <v>Rahul</v>
      </c>
      <c r="G973">
        <f>Sheet1!K973</f>
        <v>229170</v>
      </c>
      <c r="H973">
        <f>Sheet1!N973</f>
        <v>66126.06</v>
      </c>
      <c r="I973">
        <f t="shared" si="18"/>
        <v>1</v>
      </c>
    </row>
    <row r="974" spans="1:9" x14ac:dyDescent="0.3">
      <c r="A974">
        <f>Sheet1!A974</f>
        <v>1973</v>
      </c>
      <c r="B974" t="str">
        <f>Sheet1!B974</f>
        <v>2025-10-03</v>
      </c>
      <c r="C974" t="str">
        <f>TEXT(Sheet1!B974,"YYYY-MM")</f>
        <v>2025-10</v>
      </c>
      <c r="D974" t="str">
        <f>Sheet1!D974</f>
        <v>Hyderabad</v>
      </c>
      <c r="E974" t="str">
        <f>Sheet1!F974</f>
        <v>Clothing</v>
      </c>
      <c r="F974" t="str">
        <f>Sheet1!H974</f>
        <v>Sneha</v>
      </c>
      <c r="G974">
        <f>Sheet1!K974</f>
        <v>119903.55</v>
      </c>
      <c r="H974">
        <f>Sheet1!N974</f>
        <v>15394.22</v>
      </c>
      <c r="I974">
        <f t="shared" si="18"/>
        <v>1</v>
      </c>
    </row>
    <row r="975" spans="1:9" x14ac:dyDescent="0.3">
      <c r="A975">
        <f>Sheet1!A975</f>
        <v>1974</v>
      </c>
      <c r="B975" t="str">
        <f>Sheet1!B975</f>
        <v>2025-10-04</v>
      </c>
      <c r="C975" t="str">
        <f>TEXT(Sheet1!B975,"YYYY-MM")</f>
        <v>2025-10</v>
      </c>
      <c r="D975" t="str">
        <f>Sheet1!D975</f>
        <v>Hyderabad</v>
      </c>
      <c r="E975" t="str">
        <f>Sheet1!F975</f>
        <v>Electronics</v>
      </c>
      <c r="F975" t="str">
        <f>Sheet1!H975</f>
        <v>Sneha</v>
      </c>
      <c r="G975">
        <f>Sheet1!K975</f>
        <v>91555.3</v>
      </c>
      <c r="H975">
        <f>Sheet1!N975</f>
        <v>19197.759999999998</v>
      </c>
      <c r="I975">
        <f t="shared" si="18"/>
        <v>1</v>
      </c>
    </row>
    <row r="976" spans="1:9" x14ac:dyDescent="0.3">
      <c r="A976">
        <f>Sheet1!A976</f>
        <v>1975</v>
      </c>
      <c r="B976" t="str">
        <f>Sheet1!B976</f>
        <v>2025-10-04</v>
      </c>
      <c r="C976" t="str">
        <f>TEXT(Sheet1!B976,"YYYY-MM")</f>
        <v>2025-10</v>
      </c>
      <c r="D976" t="str">
        <f>Sheet1!D976</f>
        <v>Delhi</v>
      </c>
      <c r="E976" t="str">
        <f>Sheet1!F976</f>
        <v>Electronics</v>
      </c>
      <c r="F976" t="str">
        <f>Sheet1!H976</f>
        <v>Rahul</v>
      </c>
      <c r="G976">
        <f>Sheet1!K976</f>
        <v>90407.7</v>
      </c>
      <c r="H976">
        <f>Sheet1!N976</f>
        <v>21231.93</v>
      </c>
      <c r="I976">
        <f t="shared" si="18"/>
        <v>1</v>
      </c>
    </row>
    <row r="977" spans="1:9" x14ac:dyDescent="0.3">
      <c r="A977">
        <f>Sheet1!A977</f>
        <v>1976</v>
      </c>
      <c r="B977" t="str">
        <f>Sheet1!B977</f>
        <v>2025-10-04</v>
      </c>
      <c r="C977" t="str">
        <f>TEXT(Sheet1!B977,"YYYY-MM")</f>
        <v>2025-10</v>
      </c>
      <c r="D977" t="str">
        <f>Sheet1!D977</f>
        <v>Delhi</v>
      </c>
      <c r="E977" t="str">
        <f>Sheet1!F977</f>
        <v>Electronics</v>
      </c>
      <c r="F977" t="str">
        <f>Sheet1!H977</f>
        <v>Sneha</v>
      </c>
      <c r="G977">
        <f>Sheet1!K977</f>
        <v>13752.15</v>
      </c>
      <c r="H977">
        <f>Sheet1!N977</f>
        <v>1979.87</v>
      </c>
      <c r="I977">
        <f t="shared" si="18"/>
        <v>1</v>
      </c>
    </row>
    <row r="978" spans="1:9" x14ac:dyDescent="0.3">
      <c r="A978">
        <f>Sheet1!A978</f>
        <v>1977</v>
      </c>
      <c r="B978" t="str">
        <f>Sheet1!B978</f>
        <v>2025-10-04</v>
      </c>
      <c r="C978" t="str">
        <f>TEXT(Sheet1!B978,"YYYY-MM")</f>
        <v>2025-10</v>
      </c>
      <c r="D978" t="str">
        <f>Sheet1!D978</f>
        <v>Mumbai</v>
      </c>
      <c r="E978" t="str">
        <f>Sheet1!F978</f>
        <v>Electronics</v>
      </c>
      <c r="F978" t="str">
        <f>Sheet1!H978</f>
        <v>Ajay</v>
      </c>
      <c r="G978">
        <f>Sheet1!K978</f>
        <v>25291.75</v>
      </c>
      <c r="H978">
        <f>Sheet1!N978</f>
        <v>2934.61</v>
      </c>
      <c r="I978">
        <f t="shared" si="18"/>
        <v>1</v>
      </c>
    </row>
    <row r="979" spans="1:9" x14ac:dyDescent="0.3">
      <c r="A979">
        <f>Sheet1!A979</f>
        <v>1978</v>
      </c>
      <c r="B979" t="str">
        <f>Sheet1!B979</f>
        <v>2025-10-05</v>
      </c>
      <c r="C979" t="str">
        <f>TEXT(Sheet1!B979,"YYYY-MM")</f>
        <v>2025-10</v>
      </c>
      <c r="D979" t="str">
        <f>Sheet1!D979</f>
        <v>Hyderabad</v>
      </c>
      <c r="E979" t="str">
        <f>Sheet1!F979</f>
        <v>Furniture</v>
      </c>
      <c r="F979" t="str">
        <f>Sheet1!H979</f>
        <v>Rahul</v>
      </c>
      <c r="G979">
        <f>Sheet1!K979</f>
        <v>9658</v>
      </c>
      <c r="H979">
        <f>Sheet1!N979</f>
        <v>2761.85</v>
      </c>
      <c r="I979">
        <f t="shared" si="18"/>
        <v>1</v>
      </c>
    </row>
    <row r="980" spans="1:9" x14ac:dyDescent="0.3">
      <c r="A980">
        <f>Sheet1!A980</f>
        <v>1979</v>
      </c>
      <c r="B980" t="str">
        <f>Sheet1!B980</f>
        <v>2025-10-05</v>
      </c>
      <c r="C980" t="str">
        <f>TEXT(Sheet1!B980,"YYYY-MM")</f>
        <v>2025-10</v>
      </c>
      <c r="D980" t="str">
        <f>Sheet1!D980</f>
        <v>Hyderabad</v>
      </c>
      <c r="E980" t="str">
        <f>Sheet1!F980</f>
        <v>Furniture</v>
      </c>
      <c r="F980" t="str">
        <f>Sheet1!H980</f>
        <v>Sneha</v>
      </c>
      <c r="G980">
        <f>Sheet1!K980</f>
        <v>21468</v>
      </c>
      <c r="H980">
        <f>Sheet1!N980</f>
        <v>5766.8</v>
      </c>
      <c r="I980">
        <f t="shared" si="18"/>
        <v>1</v>
      </c>
    </row>
    <row r="981" spans="1:9" x14ac:dyDescent="0.3">
      <c r="A981">
        <f>Sheet1!A981</f>
        <v>1980</v>
      </c>
      <c r="B981" t="str">
        <f>Sheet1!B981</f>
        <v>2025-10-05</v>
      </c>
      <c r="C981" t="str">
        <f>TEXT(Sheet1!B981,"YYYY-MM")</f>
        <v>2025-10</v>
      </c>
      <c r="D981" t="str">
        <f>Sheet1!D981</f>
        <v>Bangalore</v>
      </c>
      <c r="E981" t="str">
        <f>Sheet1!F981</f>
        <v>Furniture</v>
      </c>
      <c r="F981" t="str">
        <f>Sheet1!H981</f>
        <v>Ajay</v>
      </c>
      <c r="G981">
        <f>Sheet1!K981</f>
        <v>70054.2</v>
      </c>
      <c r="H981">
        <f>Sheet1!N981</f>
        <v>10085.98</v>
      </c>
      <c r="I981">
        <f t="shared" si="18"/>
        <v>1</v>
      </c>
    </row>
    <row r="982" spans="1:9" x14ac:dyDescent="0.3">
      <c r="A982">
        <f>Sheet1!A982</f>
        <v>1981</v>
      </c>
      <c r="B982" t="str">
        <f>Sheet1!B982</f>
        <v>2025-10-06</v>
      </c>
      <c r="C982" t="str">
        <f>TEXT(Sheet1!B982,"YYYY-MM")</f>
        <v>2025-10</v>
      </c>
      <c r="D982" t="str">
        <f>Sheet1!D982</f>
        <v>Hyderabad</v>
      </c>
      <c r="E982" t="str">
        <f>Sheet1!F982</f>
        <v>Furniture</v>
      </c>
      <c r="F982" t="str">
        <f>Sheet1!H982</f>
        <v>Sneha</v>
      </c>
      <c r="G982">
        <f>Sheet1!K982</f>
        <v>2193</v>
      </c>
      <c r="H982">
        <f>Sheet1!N982</f>
        <v>235.48</v>
      </c>
      <c r="I982">
        <f t="shared" si="18"/>
        <v>1</v>
      </c>
    </row>
    <row r="983" spans="1:9" x14ac:dyDescent="0.3">
      <c r="A983">
        <f>Sheet1!A983</f>
        <v>1982</v>
      </c>
      <c r="B983" t="str">
        <f>Sheet1!B983</f>
        <v>2025-10-06</v>
      </c>
      <c r="C983" t="str">
        <f>TEXT(Sheet1!B983,"YYYY-MM")</f>
        <v>2025-10</v>
      </c>
      <c r="D983" t="str">
        <f>Sheet1!D983</f>
        <v>Hyderabad</v>
      </c>
      <c r="E983" t="str">
        <f>Sheet1!F983</f>
        <v>Clothing</v>
      </c>
      <c r="F983" t="str">
        <f>Sheet1!H983</f>
        <v>Pooja</v>
      </c>
      <c r="G983">
        <f>Sheet1!K983</f>
        <v>160405.6</v>
      </c>
      <c r="H983">
        <f>Sheet1!N983</f>
        <v>30168.26</v>
      </c>
      <c r="I983">
        <f t="shared" si="18"/>
        <v>1</v>
      </c>
    </row>
    <row r="984" spans="1:9" x14ac:dyDescent="0.3">
      <c r="A984">
        <f>Sheet1!A984</f>
        <v>1983</v>
      </c>
      <c r="B984" t="str">
        <f>Sheet1!B984</f>
        <v>2025-10-06</v>
      </c>
      <c r="C984" t="str">
        <f>TEXT(Sheet1!B984,"YYYY-MM")</f>
        <v>2025-10</v>
      </c>
      <c r="D984" t="str">
        <f>Sheet1!D984</f>
        <v>Pune</v>
      </c>
      <c r="E984" t="str">
        <f>Sheet1!F984</f>
        <v>Clothing</v>
      </c>
      <c r="F984" t="str">
        <f>Sheet1!H984</f>
        <v>Pooja</v>
      </c>
      <c r="G984">
        <f>Sheet1!K984</f>
        <v>56551.5</v>
      </c>
      <c r="H984">
        <f>Sheet1!N984</f>
        <v>12866.36</v>
      </c>
      <c r="I984">
        <f t="shared" si="18"/>
        <v>1</v>
      </c>
    </row>
    <row r="985" spans="1:9" x14ac:dyDescent="0.3">
      <c r="A985">
        <f>Sheet1!A985</f>
        <v>1984</v>
      </c>
      <c r="B985" t="str">
        <f>Sheet1!B985</f>
        <v>2025-10-06</v>
      </c>
      <c r="C985" t="str">
        <f>TEXT(Sheet1!B985,"YYYY-MM")</f>
        <v>2025-10</v>
      </c>
      <c r="D985" t="str">
        <f>Sheet1!D985</f>
        <v>Delhi</v>
      </c>
      <c r="E985" t="str">
        <f>Sheet1!F985</f>
        <v>Furniture</v>
      </c>
      <c r="F985" t="str">
        <f>Sheet1!H985</f>
        <v>Ajay</v>
      </c>
      <c r="G985">
        <f>Sheet1!K985</f>
        <v>31810.400000000001</v>
      </c>
      <c r="H985">
        <f>Sheet1!N985</f>
        <v>8980.93</v>
      </c>
      <c r="I985">
        <f t="shared" si="18"/>
        <v>1</v>
      </c>
    </row>
    <row r="986" spans="1:9" x14ac:dyDescent="0.3">
      <c r="A986">
        <f>Sheet1!A986</f>
        <v>1985</v>
      </c>
      <c r="B986" t="str">
        <f>Sheet1!B986</f>
        <v>2025-10-06</v>
      </c>
      <c r="C986" t="str">
        <f>TEXT(Sheet1!B986,"YYYY-MM")</f>
        <v>2025-10</v>
      </c>
      <c r="D986" t="str">
        <f>Sheet1!D986</f>
        <v>Mumbai</v>
      </c>
      <c r="E986" t="str">
        <f>Sheet1!F986</f>
        <v>Clothing</v>
      </c>
      <c r="F986" t="str">
        <f>Sheet1!H986</f>
        <v>Pooja</v>
      </c>
      <c r="G986">
        <f>Sheet1!K986</f>
        <v>64164.6</v>
      </c>
      <c r="H986">
        <f>Sheet1!N986</f>
        <v>18708.23</v>
      </c>
      <c r="I986">
        <f t="shared" si="18"/>
        <v>1</v>
      </c>
    </row>
    <row r="987" spans="1:9" x14ac:dyDescent="0.3">
      <c r="A987">
        <f>Sheet1!A987</f>
        <v>1986</v>
      </c>
      <c r="B987" t="str">
        <f>Sheet1!B987</f>
        <v>2025-10-07</v>
      </c>
      <c r="C987" t="str">
        <f>TEXT(Sheet1!B987,"YYYY-MM")</f>
        <v>2025-10</v>
      </c>
      <c r="D987" t="str">
        <f>Sheet1!D987</f>
        <v>Hyderabad</v>
      </c>
      <c r="E987" t="str">
        <f>Sheet1!F987</f>
        <v>Clothing</v>
      </c>
      <c r="F987" t="str">
        <f>Sheet1!H987</f>
        <v>Sneha</v>
      </c>
      <c r="G987">
        <f>Sheet1!K987</f>
        <v>141801</v>
      </c>
      <c r="H987">
        <f>Sheet1!N987</f>
        <v>37118.33</v>
      </c>
      <c r="I987">
        <f t="shared" si="18"/>
        <v>1</v>
      </c>
    </row>
    <row r="988" spans="1:9" x14ac:dyDescent="0.3">
      <c r="A988">
        <f>Sheet1!A988</f>
        <v>1987</v>
      </c>
      <c r="B988" t="str">
        <f>Sheet1!B988</f>
        <v>2025-10-07</v>
      </c>
      <c r="C988" t="str">
        <f>TEXT(Sheet1!B988,"YYYY-MM")</f>
        <v>2025-10</v>
      </c>
      <c r="D988" t="str">
        <f>Sheet1!D988</f>
        <v>Pune</v>
      </c>
      <c r="E988" t="str">
        <f>Sheet1!F988</f>
        <v>Furniture</v>
      </c>
      <c r="F988" t="str">
        <f>Sheet1!H988</f>
        <v>Ajay</v>
      </c>
      <c r="G988">
        <f>Sheet1!K988</f>
        <v>197885</v>
      </c>
      <c r="H988">
        <f>Sheet1!N988</f>
        <v>19791.060000000001</v>
      </c>
      <c r="I988">
        <f t="shared" si="18"/>
        <v>1</v>
      </c>
    </row>
    <row r="989" spans="1:9" x14ac:dyDescent="0.3">
      <c r="A989">
        <f>Sheet1!A989</f>
        <v>1988</v>
      </c>
      <c r="B989" t="str">
        <f>Sheet1!B989</f>
        <v>2025-10-08</v>
      </c>
      <c r="C989" t="str">
        <f>TEXT(Sheet1!B989,"YYYY-MM")</f>
        <v>2025-10</v>
      </c>
      <c r="D989" t="str">
        <f>Sheet1!D989</f>
        <v>Pune</v>
      </c>
      <c r="E989" t="str">
        <f>Sheet1!F989</f>
        <v>Clothing</v>
      </c>
      <c r="F989" t="str">
        <f>Sheet1!H989</f>
        <v>Sneha</v>
      </c>
      <c r="G989">
        <f>Sheet1!K989</f>
        <v>98952.75</v>
      </c>
      <c r="H989">
        <f>Sheet1!N989</f>
        <v>18053.990000000002</v>
      </c>
      <c r="I989">
        <f t="shared" si="18"/>
        <v>1</v>
      </c>
    </row>
    <row r="990" spans="1:9" x14ac:dyDescent="0.3">
      <c r="A990">
        <f>Sheet1!A990</f>
        <v>1989</v>
      </c>
      <c r="B990" t="str">
        <f>Sheet1!B990</f>
        <v>2025-10-08</v>
      </c>
      <c r="C990" t="str">
        <f>TEXT(Sheet1!B990,"YYYY-MM")</f>
        <v>2025-10</v>
      </c>
      <c r="D990" t="str">
        <f>Sheet1!D990</f>
        <v>Mumbai</v>
      </c>
      <c r="E990" t="str">
        <f>Sheet1!F990</f>
        <v>Furniture</v>
      </c>
      <c r="F990" t="str">
        <f>Sheet1!H990</f>
        <v>Pooja</v>
      </c>
      <c r="G990">
        <f>Sheet1!K990</f>
        <v>63207</v>
      </c>
      <c r="H990">
        <f>Sheet1!N990</f>
        <v>16887.849999999999</v>
      </c>
      <c r="I990">
        <f t="shared" si="18"/>
        <v>1</v>
      </c>
    </row>
    <row r="991" spans="1:9" x14ac:dyDescent="0.3">
      <c r="A991">
        <f>Sheet1!A991</f>
        <v>1990</v>
      </c>
      <c r="B991" t="str">
        <f>Sheet1!B991</f>
        <v>2025-10-08</v>
      </c>
      <c r="C991" t="str">
        <f>TEXT(Sheet1!B991,"YYYY-MM")</f>
        <v>2025-10</v>
      </c>
      <c r="D991" t="str">
        <f>Sheet1!D991</f>
        <v>Pune</v>
      </c>
      <c r="E991" t="str">
        <f>Sheet1!F991</f>
        <v>Clothing</v>
      </c>
      <c r="F991" t="str">
        <f>Sheet1!H991</f>
        <v>Sneha</v>
      </c>
      <c r="G991">
        <f>Sheet1!K991</f>
        <v>115232.4</v>
      </c>
      <c r="H991">
        <f>Sheet1!N991</f>
        <v>20750.04</v>
      </c>
      <c r="I991">
        <f t="shared" si="18"/>
        <v>1</v>
      </c>
    </row>
    <row r="992" spans="1:9" x14ac:dyDescent="0.3">
      <c r="A992">
        <f>Sheet1!A992</f>
        <v>1991</v>
      </c>
      <c r="B992" t="str">
        <f>Sheet1!B992</f>
        <v>2025-10-08</v>
      </c>
      <c r="C992" t="str">
        <f>TEXT(Sheet1!B992,"YYYY-MM")</f>
        <v>2025-10</v>
      </c>
      <c r="D992" t="str">
        <f>Sheet1!D992</f>
        <v>Bangalore</v>
      </c>
      <c r="E992" t="str">
        <f>Sheet1!F992</f>
        <v>Furniture</v>
      </c>
      <c r="F992" t="str">
        <f>Sheet1!H992</f>
        <v>Rahul</v>
      </c>
      <c r="G992">
        <f>Sheet1!K992</f>
        <v>143546.4</v>
      </c>
      <c r="H992">
        <f>Sheet1!N992</f>
        <v>35911.519999999997</v>
      </c>
      <c r="I992">
        <f t="shared" si="18"/>
        <v>1</v>
      </c>
    </row>
    <row r="993" spans="1:9" x14ac:dyDescent="0.3">
      <c r="A993">
        <f>Sheet1!A993</f>
        <v>1992</v>
      </c>
      <c r="B993" t="str">
        <f>Sheet1!B993</f>
        <v>2025-10-08</v>
      </c>
      <c r="C993" t="str">
        <f>TEXT(Sheet1!B993,"YYYY-MM")</f>
        <v>2025-10</v>
      </c>
      <c r="D993" t="str">
        <f>Sheet1!D993</f>
        <v>Mumbai</v>
      </c>
      <c r="E993" t="str">
        <f>Sheet1!F993</f>
        <v>Electronics</v>
      </c>
      <c r="F993" t="str">
        <f>Sheet1!H993</f>
        <v>Ajay</v>
      </c>
      <c r="G993">
        <f>Sheet1!K993</f>
        <v>56601</v>
      </c>
      <c r="H993">
        <f>Sheet1!N993</f>
        <v>11669.9</v>
      </c>
      <c r="I993">
        <f t="shared" si="18"/>
        <v>1</v>
      </c>
    </row>
    <row r="994" spans="1:9" x14ac:dyDescent="0.3">
      <c r="A994">
        <f>Sheet1!A994</f>
        <v>1993</v>
      </c>
      <c r="B994" t="str">
        <f>Sheet1!B994</f>
        <v>2025-10-09</v>
      </c>
      <c r="C994" t="str">
        <f>TEXT(Sheet1!B994,"YYYY-MM")</f>
        <v>2025-10</v>
      </c>
      <c r="D994" t="str">
        <f>Sheet1!D994</f>
        <v>Mumbai</v>
      </c>
      <c r="E994" t="str">
        <f>Sheet1!F994</f>
        <v>Electronics</v>
      </c>
      <c r="F994" t="str">
        <f>Sheet1!H994</f>
        <v>Ajay</v>
      </c>
      <c r="G994">
        <f>Sheet1!K994</f>
        <v>35676</v>
      </c>
      <c r="H994">
        <f>Sheet1!N994</f>
        <v>6752.54</v>
      </c>
      <c r="I994">
        <f t="shared" si="18"/>
        <v>1</v>
      </c>
    </row>
    <row r="995" spans="1:9" x14ac:dyDescent="0.3">
      <c r="A995">
        <f>Sheet1!A995</f>
        <v>1994</v>
      </c>
      <c r="B995" t="str">
        <f>Sheet1!B995</f>
        <v>2025-10-09</v>
      </c>
      <c r="C995" t="str">
        <f>TEXT(Sheet1!B995,"YYYY-MM")</f>
        <v>2025-10</v>
      </c>
      <c r="D995" t="str">
        <f>Sheet1!D995</f>
        <v>Bangalore</v>
      </c>
      <c r="E995" t="str">
        <f>Sheet1!F995</f>
        <v>Clothing</v>
      </c>
      <c r="F995" t="str">
        <f>Sheet1!H995</f>
        <v>Rahul</v>
      </c>
      <c r="G995">
        <f>Sheet1!K995</f>
        <v>5813.1</v>
      </c>
      <c r="H995">
        <f>Sheet1!N995</f>
        <v>953.59</v>
      </c>
      <c r="I995">
        <f t="shared" si="18"/>
        <v>1</v>
      </c>
    </row>
    <row r="996" spans="1:9" x14ac:dyDescent="0.3">
      <c r="A996">
        <f>Sheet1!A996</f>
        <v>1995</v>
      </c>
      <c r="B996" t="str">
        <f>Sheet1!B996</f>
        <v>2025-10-09</v>
      </c>
      <c r="C996" t="str">
        <f>TEXT(Sheet1!B996,"YYYY-MM")</f>
        <v>2025-10</v>
      </c>
      <c r="D996" t="str">
        <f>Sheet1!D996</f>
        <v>Hyderabad</v>
      </c>
      <c r="E996" t="str">
        <f>Sheet1!F996</f>
        <v>Clothing</v>
      </c>
      <c r="F996" t="str">
        <f>Sheet1!H996</f>
        <v>Pooja</v>
      </c>
      <c r="G996">
        <f>Sheet1!K996</f>
        <v>2694.5</v>
      </c>
      <c r="H996">
        <f>Sheet1!N996</f>
        <v>775.23</v>
      </c>
      <c r="I996">
        <f t="shared" si="18"/>
        <v>1</v>
      </c>
    </row>
    <row r="997" spans="1:9" x14ac:dyDescent="0.3">
      <c r="A997">
        <f>Sheet1!A997</f>
        <v>1996</v>
      </c>
      <c r="B997" t="str">
        <f>Sheet1!B997</f>
        <v>2025-10-09</v>
      </c>
      <c r="C997" t="str">
        <f>TEXT(Sheet1!B997,"YYYY-MM")</f>
        <v>2025-10</v>
      </c>
      <c r="D997" t="str">
        <f>Sheet1!D997</f>
        <v>Delhi</v>
      </c>
      <c r="E997" t="str">
        <f>Sheet1!F997</f>
        <v>Furniture</v>
      </c>
      <c r="F997" t="str">
        <f>Sheet1!H997</f>
        <v>Ajay</v>
      </c>
      <c r="G997">
        <f>Sheet1!K997</f>
        <v>93718</v>
      </c>
      <c r="H997">
        <f>Sheet1!N997</f>
        <v>20079.259999999998</v>
      </c>
      <c r="I997">
        <f t="shared" si="18"/>
        <v>1</v>
      </c>
    </row>
    <row r="998" spans="1:9" x14ac:dyDescent="0.3">
      <c r="A998">
        <f>Sheet1!A998</f>
        <v>1997</v>
      </c>
      <c r="B998" t="str">
        <f>Sheet1!B998</f>
        <v>2025-10-09</v>
      </c>
      <c r="C998" t="str">
        <f>TEXT(Sheet1!B998,"YYYY-MM")</f>
        <v>2025-10</v>
      </c>
      <c r="D998" t="str">
        <f>Sheet1!D998</f>
        <v>Hyderabad</v>
      </c>
      <c r="E998" t="str">
        <f>Sheet1!F998</f>
        <v>Furniture</v>
      </c>
      <c r="F998" t="str">
        <f>Sheet1!H998</f>
        <v>Pooja</v>
      </c>
      <c r="G998">
        <f>Sheet1!K998</f>
        <v>51111.9</v>
      </c>
      <c r="H998">
        <f>Sheet1!N998</f>
        <v>7896.17</v>
      </c>
      <c r="I998">
        <f t="shared" si="18"/>
        <v>1</v>
      </c>
    </row>
    <row r="999" spans="1:9" x14ac:dyDescent="0.3">
      <c r="A999">
        <f>Sheet1!A999</f>
        <v>1998</v>
      </c>
      <c r="B999" t="str">
        <f>Sheet1!B999</f>
        <v>2025-10-10</v>
      </c>
      <c r="C999" t="str">
        <f>TEXT(Sheet1!B999,"YYYY-MM")</f>
        <v>2025-10</v>
      </c>
      <c r="D999" t="str">
        <f>Sheet1!D999</f>
        <v>Mumbai</v>
      </c>
      <c r="E999" t="str">
        <f>Sheet1!F999</f>
        <v>Electronics</v>
      </c>
      <c r="F999" t="str">
        <f>Sheet1!H999</f>
        <v>Pooja</v>
      </c>
      <c r="G999">
        <f>Sheet1!K999</f>
        <v>73221.25</v>
      </c>
      <c r="H999">
        <f>Sheet1!N999</f>
        <v>20681.28</v>
      </c>
      <c r="I999">
        <f t="shared" si="18"/>
        <v>1</v>
      </c>
    </row>
    <row r="1000" spans="1:9" x14ac:dyDescent="0.3">
      <c r="A1000">
        <f>Sheet1!A1000</f>
        <v>1999</v>
      </c>
      <c r="B1000" t="str">
        <f>Sheet1!B1000</f>
        <v>2025-10-10</v>
      </c>
      <c r="C1000" t="str">
        <f>TEXT(Sheet1!B1000,"YYYY-MM")</f>
        <v>2025-10</v>
      </c>
      <c r="D1000" t="str">
        <f>Sheet1!D1000</f>
        <v>Hyderabad</v>
      </c>
      <c r="E1000" t="str">
        <f>Sheet1!F1000</f>
        <v>Electronics</v>
      </c>
      <c r="F1000" t="str">
        <f>Sheet1!H1000</f>
        <v>Ajay</v>
      </c>
      <c r="G1000">
        <f>Sheet1!K1000</f>
        <v>160310.6</v>
      </c>
      <c r="H1000">
        <f>Sheet1!N1000</f>
        <v>40486.870000000003</v>
      </c>
      <c r="I1000">
        <f t="shared" si="18"/>
        <v>1</v>
      </c>
    </row>
    <row r="1001" spans="1:9" x14ac:dyDescent="0.3">
      <c r="A1001">
        <f>Sheet1!A1001</f>
        <v>2000</v>
      </c>
      <c r="B1001" t="str">
        <f>Sheet1!B1001</f>
        <v>2025-10-11</v>
      </c>
      <c r="C1001" t="str">
        <f>TEXT(Sheet1!B1001,"YYYY-MM")</f>
        <v>2025-10</v>
      </c>
      <c r="D1001" t="str">
        <f>Sheet1!D1001</f>
        <v>Hyderabad</v>
      </c>
      <c r="E1001" t="str">
        <f>Sheet1!F1001</f>
        <v>Electronics</v>
      </c>
      <c r="F1001" t="str">
        <f>Sheet1!H1001</f>
        <v>Ajay</v>
      </c>
      <c r="G1001">
        <f>Sheet1!K1001</f>
        <v>101783.25</v>
      </c>
      <c r="H1001">
        <f>Sheet1!N1001</f>
        <v>17814.66</v>
      </c>
      <c r="I1001">
        <f t="shared" si="18"/>
        <v>1</v>
      </c>
    </row>
    <row r="1002" spans="1:9" x14ac:dyDescent="0.3">
      <c r="A1002">
        <f>Sheet1!A1002</f>
        <v>2001</v>
      </c>
      <c r="B1002" t="str">
        <f>Sheet1!B1002</f>
        <v>2025-10-11</v>
      </c>
      <c r="C1002" t="str">
        <f>TEXT(Sheet1!B1002,"YYYY-MM")</f>
        <v>2025-10</v>
      </c>
      <c r="D1002" t="str">
        <f>Sheet1!D1002</f>
        <v>Pune</v>
      </c>
      <c r="E1002" t="str">
        <f>Sheet1!F1002</f>
        <v>Furniture</v>
      </c>
      <c r="F1002" t="str">
        <f>Sheet1!H1002</f>
        <v>Rahul</v>
      </c>
      <c r="G1002">
        <f>Sheet1!K1002</f>
        <v>98289.75</v>
      </c>
      <c r="H1002">
        <f>Sheet1!N1002</f>
        <v>26534.17</v>
      </c>
      <c r="I1002">
        <f t="shared" si="18"/>
        <v>1</v>
      </c>
    </row>
    <row r="1003" spans="1:9" x14ac:dyDescent="0.3">
      <c r="A1003">
        <f>Sheet1!A1003</f>
        <v>2002</v>
      </c>
      <c r="B1003" t="str">
        <f>Sheet1!B1003</f>
        <v>2025-10-11</v>
      </c>
      <c r="C1003" t="str">
        <f>TEXT(Sheet1!B1003,"YYYY-MM")</f>
        <v>2025-10</v>
      </c>
      <c r="D1003" t="str">
        <f>Sheet1!D1003</f>
        <v>Pune</v>
      </c>
      <c r="E1003" t="str">
        <f>Sheet1!F1003</f>
        <v>Furniture</v>
      </c>
      <c r="F1003" t="str">
        <f>Sheet1!H1003</f>
        <v>Sneha</v>
      </c>
      <c r="G1003">
        <f>Sheet1!K1003</f>
        <v>45797.599999999999</v>
      </c>
      <c r="H1003">
        <f>Sheet1!N1003</f>
        <v>8542.83</v>
      </c>
      <c r="I1003">
        <f t="shared" si="18"/>
        <v>1</v>
      </c>
    </row>
    <row r="1004" spans="1:9" x14ac:dyDescent="0.3">
      <c r="A1004">
        <f>Sheet1!A1004</f>
        <v>2003</v>
      </c>
      <c r="B1004" t="str">
        <f>Sheet1!B1004</f>
        <v>2025-10-11</v>
      </c>
      <c r="C1004" t="str">
        <f>TEXT(Sheet1!B1004,"YYYY-MM")</f>
        <v>2025-10</v>
      </c>
      <c r="D1004" t="str">
        <f>Sheet1!D1004</f>
        <v>Bangalore</v>
      </c>
      <c r="E1004" t="str">
        <f>Sheet1!F1004</f>
        <v>Electronics</v>
      </c>
      <c r="F1004" t="str">
        <f>Sheet1!H1004</f>
        <v>Pooja</v>
      </c>
      <c r="G1004">
        <f>Sheet1!K1004</f>
        <v>52922.6</v>
      </c>
      <c r="H1004">
        <f>Sheet1!N1004</f>
        <v>5619.84</v>
      </c>
      <c r="I1004">
        <f t="shared" si="18"/>
        <v>1</v>
      </c>
    </row>
    <row r="1005" spans="1:9" x14ac:dyDescent="0.3">
      <c r="A1005">
        <f>Sheet1!A1005</f>
        <v>2004</v>
      </c>
      <c r="B1005" t="str">
        <f>Sheet1!B1005</f>
        <v>2025-10-11</v>
      </c>
      <c r="C1005" t="str">
        <f>TEXT(Sheet1!B1005,"YYYY-MM")</f>
        <v>2025-10</v>
      </c>
      <c r="D1005" t="str">
        <f>Sheet1!D1005</f>
        <v>Bangalore</v>
      </c>
      <c r="E1005" t="str">
        <f>Sheet1!F1005</f>
        <v>Electronics</v>
      </c>
      <c r="F1005" t="str">
        <f>Sheet1!H1005</f>
        <v>Pooja</v>
      </c>
      <c r="G1005">
        <f>Sheet1!K1005</f>
        <v>34707.300000000003</v>
      </c>
      <c r="H1005">
        <f>Sheet1!N1005</f>
        <v>8343.49</v>
      </c>
      <c r="I1005">
        <f t="shared" si="18"/>
        <v>1</v>
      </c>
    </row>
    <row r="1006" spans="1:9" x14ac:dyDescent="0.3">
      <c r="A1006">
        <f>Sheet1!A1006</f>
        <v>2005</v>
      </c>
      <c r="B1006" t="str">
        <f>Sheet1!B1006</f>
        <v>2025-10-12</v>
      </c>
      <c r="C1006" t="str">
        <f>TEXT(Sheet1!B1006,"YYYY-MM")</f>
        <v>2025-10</v>
      </c>
      <c r="D1006" t="str">
        <f>Sheet1!D1006</f>
        <v>Hyderabad</v>
      </c>
      <c r="E1006" t="str">
        <f>Sheet1!F1006</f>
        <v>Furniture</v>
      </c>
      <c r="F1006" t="str">
        <f>Sheet1!H1006</f>
        <v>Rahul</v>
      </c>
      <c r="G1006">
        <f>Sheet1!K1006</f>
        <v>30139.200000000001</v>
      </c>
      <c r="H1006">
        <f>Sheet1!N1006</f>
        <v>8624.17</v>
      </c>
      <c r="I1006">
        <f t="shared" si="18"/>
        <v>1</v>
      </c>
    </row>
    <row r="1007" spans="1:9" x14ac:dyDescent="0.3">
      <c r="A1007">
        <f>Sheet1!A1007</f>
        <v>2006</v>
      </c>
      <c r="B1007" t="str">
        <f>Sheet1!B1007</f>
        <v>2025-10-12</v>
      </c>
      <c r="C1007" t="str">
        <f>TEXT(Sheet1!B1007,"YYYY-MM")</f>
        <v>2025-10</v>
      </c>
      <c r="D1007" t="str">
        <f>Sheet1!D1007</f>
        <v>Bangalore</v>
      </c>
      <c r="E1007" t="str">
        <f>Sheet1!F1007</f>
        <v>Furniture</v>
      </c>
      <c r="F1007" t="str">
        <f>Sheet1!H1007</f>
        <v>Ajay</v>
      </c>
      <c r="G1007">
        <f>Sheet1!K1007</f>
        <v>9144</v>
      </c>
      <c r="H1007">
        <f>Sheet1!N1007</f>
        <v>1628.35</v>
      </c>
      <c r="I1007">
        <f t="shared" si="18"/>
        <v>1</v>
      </c>
    </row>
    <row r="1008" spans="1:9" x14ac:dyDescent="0.3">
      <c r="A1008">
        <f>Sheet1!A1008</f>
        <v>2007</v>
      </c>
      <c r="B1008" t="str">
        <f>Sheet1!B1008</f>
        <v>2025-10-12</v>
      </c>
      <c r="C1008" t="str">
        <f>TEXT(Sheet1!B1008,"YYYY-MM")</f>
        <v>2025-10</v>
      </c>
      <c r="D1008" t="str">
        <f>Sheet1!D1008</f>
        <v>Mumbai</v>
      </c>
      <c r="E1008" t="str">
        <f>Sheet1!F1008</f>
        <v>Clothing</v>
      </c>
      <c r="F1008" t="str">
        <f>Sheet1!H1008</f>
        <v>Sneha</v>
      </c>
      <c r="G1008">
        <f>Sheet1!K1008</f>
        <v>9596.5</v>
      </c>
      <c r="H1008">
        <f>Sheet1!N1008</f>
        <v>1179.9100000000001</v>
      </c>
      <c r="I1008">
        <f t="shared" si="18"/>
        <v>1</v>
      </c>
    </row>
    <row r="1009" spans="1:9" x14ac:dyDescent="0.3">
      <c r="A1009">
        <f>Sheet1!A1009</f>
        <v>2008</v>
      </c>
      <c r="B1009" t="str">
        <f>Sheet1!B1009</f>
        <v>2025-10-12</v>
      </c>
      <c r="C1009" t="str">
        <f>TEXT(Sheet1!B1009,"YYYY-MM")</f>
        <v>2025-10</v>
      </c>
      <c r="D1009" t="str">
        <f>Sheet1!D1009</f>
        <v>Bangalore</v>
      </c>
      <c r="E1009" t="str">
        <f>Sheet1!F1009</f>
        <v>Clothing</v>
      </c>
      <c r="F1009" t="str">
        <f>Sheet1!H1009</f>
        <v>Sneha</v>
      </c>
      <c r="G1009">
        <f>Sheet1!K1009</f>
        <v>146253</v>
      </c>
      <c r="H1009">
        <f>Sheet1!N1009</f>
        <v>21967.43</v>
      </c>
      <c r="I1009">
        <f t="shared" si="18"/>
        <v>1</v>
      </c>
    </row>
    <row r="1010" spans="1:9" x14ac:dyDescent="0.3">
      <c r="A1010">
        <f>Sheet1!A1010</f>
        <v>2009</v>
      </c>
      <c r="B1010" t="str">
        <f>Sheet1!B1010</f>
        <v>2025-10-12</v>
      </c>
      <c r="C1010" t="str">
        <f>TEXT(Sheet1!B1010,"YYYY-MM")</f>
        <v>2025-10</v>
      </c>
      <c r="D1010" t="str">
        <f>Sheet1!D1010</f>
        <v>Hyderabad</v>
      </c>
      <c r="E1010" t="str">
        <f>Sheet1!F1010</f>
        <v>Furniture</v>
      </c>
      <c r="F1010" t="str">
        <f>Sheet1!H1010</f>
        <v>Sneha</v>
      </c>
      <c r="G1010">
        <f>Sheet1!K1010</f>
        <v>77822.100000000006</v>
      </c>
      <c r="H1010">
        <f>Sheet1!N1010</f>
        <v>8418.18</v>
      </c>
      <c r="I1010">
        <f t="shared" si="18"/>
        <v>1</v>
      </c>
    </row>
    <row r="1011" spans="1:9" x14ac:dyDescent="0.3">
      <c r="A1011">
        <f>Sheet1!A1011</f>
        <v>2010</v>
      </c>
      <c r="B1011" t="str">
        <f>Sheet1!B1011</f>
        <v>2025-10-13</v>
      </c>
      <c r="C1011" t="str">
        <f>TEXT(Sheet1!B1011,"YYYY-MM")</f>
        <v>2025-10</v>
      </c>
      <c r="D1011" t="str">
        <f>Sheet1!D1011</f>
        <v>Bangalore</v>
      </c>
      <c r="E1011" t="str">
        <f>Sheet1!F1011</f>
        <v>Clothing</v>
      </c>
      <c r="F1011" t="str">
        <f>Sheet1!H1011</f>
        <v>Rahul</v>
      </c>
      <c r="G1011">
        <f>Sheet1!K1011</f>
        <v>21316.5</v>
      </c>
      <c r="H1011">
        <f>Sheet1!N1011</f>
        <v>2418.42</v>
      </c>
      <c r="I1011">
        <f t="shared" si="18"/>
        <v>1</v>
      </c>
    </row>
    <row r="1012" spans="1:9" x14ac:dyDescent="0.3">
      <c r="A1012">
        <f>Sheet1!A1012</f>
        <v>2011</v>
      </c>
      <c r="B1012" t="str">
        <f>Sheet1!B1012</f>
        <v>2025-10-13</v>
      </c>
      <c r="C1012" t="str">
        <f>TEXT(Sheet1!B1012,"YYYY-MM")</f>
        <v>2025-10</v>
      </c>
      <c r="D1012" t="str">
        <f>Sheet1!D1012</f>
        <v>Hyderabad</v>
      </c>
      <c r="E1012" t="str">
        <f>Sheet1!F1012</f>
        <v>Electronics</v>
      </c>
      <c r="F1012" t="str">
        <f>Sheet1!H1012</f>
        <v>Ajay</v>
      </c>
      <c r="G1012">
        <f>Sheet1!K1012</f>
        <v>25761.8</v>
      </c>
      <c r="H1012">
        <f>Sheet1!N1012</f>
        <v>3793.03</v>
      </c>
      <c r="I1012">
        <f t="shared" si="18"/>
        <v>1</v>
      </c>
    </row>
    <row r="1013" spans="1:9" x14ac:dyDescent="0.3">
      <c r="A1013">
        <f>Sheet1!A1013</f>
        <v>2012</v>
      </c>
      <c r="B1013" t="str">
        <f>Sheet1!B1013</f>
        <v>2025-10-13</v>
      </c>
      <c r="C1013" t="str">
        <f>TEXT(Sheet1!B1013,"YYYY-MM")</f>
        <v>2025-10</v>
      </c>
      <c r="D1013" t="str">
        <f>Sheet1!D1013</f>
        <v>Pune</v>
      </c>
      <c r="E1013" t="str">
        <f>Sheet1!F1013</f>
        <v>Clothing</v>
      </c>
      <c r="F1013" t="str">
        <f>Sheet1!H1013</f>
        <v>Pooja</v>
      </c>
      <c r="G1013">
        <f>Sheet1!K1013</f>
        <v>189915.5</v>
      </c>
      <c r="H1013">
        <f>Sheet1!N1013</f>
        <v>30275.52</v>
      </c>
      <c r="I1013">
        <f t="shared" si="18"/>
        <v>1</v>
      </c>
    </row>
    <row r="1014" spans="1:9" x14ac:dyDescent="0.3">
      <c r="A1014">
        <f>Sheet1!A1014</f>
        <v>2013</v>
      </c>
      <c r="B1014" t="str">
        <f>Sheet1!B1014</f>
        <v>2025-10-13</v>
      </c>
      <c r="C1014" t="str">
        <f>TEXT(Sheet1!B1014,"YYYY-MM")</f>
        <v>2025-10</v>
      </c>
      <c r="D1014" t="str">
        <f>Sheet1!D1014</f>
        <v>Bangalore</v>
      </c>
      <c r="E1014" t="str">
        <f>Sheet1!F1014</f>
        <v>Electronics</v>
      </c>
      <c r="F1014" t="str">
        <f>Sheet1!H1014</f>
        <v>Pooja</v>
      </c>
      <c r="G1014">
        <f>Sheet1!K1014</f>
        <v>53858</v>
      </c>
      <c r="H1014">
        <f>Sheet1!N1014</f>
        <v>15041.86</v>
      </c>
      <c r="I1014">
        <f t="shared" si="18"/>
        <v>1</v>
      </c>
    </row>
    <row r="1015" spans="1:9" x14ac:dyDescent="0.3">
      <c r="A1015">
        <f>Sheet1!A1015</f>
        <v>2014</v>
      </c>
      <c r="B1015" t="str">
        <f>Sheet1!B1015</f>
        <v>2025-10-13</v>
      </c>
      <c r="C1015" t="str">
        <f>TEXT(Sheet1!B1015,"YYYY-MM")</f>
        <v>2025-10</v>
      </c>
      <c r="D1015" t="str">
        <f>Sheet1!D1015</f>
        <v>Pune</v>
      </c>
      <c r="E1015" t="str">
        <f>Sheet1!F1015</f>
        <v>Furniture</v>
      </c>
      <c r="F1015" t="str">
        <f>Sheet1!H1015</f>
        <v>Ajay</v>
      </c>
      <c r="G1015">
        <f>Sheet1!K1015</f>
        <v>70903.25</v>
      </c>
      <c r="H1015">
        <f>Sheet1!N1015</f>
        <v>14560.58</v>
      </c>
      <c r="I1015">
        <f t="shared" si="18"/>
        <v>1</v>
      </c>
    </row>
    <row r="1016" spans="1:9" x14ac:dyDescent="0.3">
      <c r="A1016">
        <f>Sheet1!A1016</f>
        <v>2015</v>
      </c>
      <c r="B1016" t="str">
        <f>Sheet1!B1016</f>
        <v>2025-10-14</v>
      </c>
      <c r="C1016" t="str">
        <f>TEXT(Sheet1!B1016,"YYYY-MM")</f>
        <v>2025-10</v>
      </c>
      <c r="D1016" t="str">
        <f>Sheet1!D1016</f>
        <v>Pune</v>
      </c>
      <c r="E1016" t="str">
        <f>Sheet1!F1016</f>
        <v>Furniture</v>
      </c>
      <c r="F1016" t="str">
        <f>Sheet1!H1016</f>
        <v>Ajay</v>
      </c>
      <c r="G1016">
        <f>Sheet1!K1016</f>
        <v>92764.65</v>
      </c>
      <c r="H1016">
        <f>Sheet1!N1016</f>
        <v>9642.8799999999992</v>
      </c>
      <c r="I1016">
        <f t="shared" si="18"/>
        <v>1</v>
      </c>
    </row>
    <row r="1017" spans="1:9" x14ac:dyDescent="0.3">
      <c r="A1017">
        <f>Sheet1!A1017</f>
        <v>2016</v>
      </c>
      <c r="B1017" t="str">
        <f>Sheet1!B1017</f>
        <v>2025-10-14</v>
      </c>
      <c r="C1017" t="str">
        <f>TEXT(Sheet1!B1017,"YYYY-MM")</f>
        <v>2025-10</v>
      </c>
      <c r="D1017" t="str">
        <f>Sheet1!D1017</f>
        <v>Mumbai</v>
      </c>
      <c r="E1017" t="str">
        <f>Sheet1!F1017</f>
        <v>Electronics</v>
      </c>
      <c r="F1017" t="str">
        <f>Sheet1!H1017</f>
        <v>Sneha</v>
      </c>
      <c r="G1017">
        <f>Sheet1!K1017</f>
        <v>126781.75</v>
      </c>
      <c r="H1017">
        <f>Sheet1!N1017</f>
        <v>31405.759999999998</v>
      </c>
      <c r="I1017">
        <f t="shared" si="18"/>
        <v>1</v>
      </c>
    </row>
    <row r="1018" spans="1:9" x14ac:dyDescent="0.3">
      <c r="A1018">
        <f>Sheet1!A1018</f>
        <v>2017</v>
      </c>
      <c r="B1018" t="str">
        <f>Sheet1!B1018</f>
        <v>2025-10-15</v>
      </c>
      <c r="C1018" t="str">
        <f>TEXT(Sheet1!B1018,"YYYY-MM")</f>
        <v>2025-10</v>
      </c>
      <c r="D1018" t="str">
        <f>Sheet1!D1018</f>
        <v>Mumbai</v>
      </c>
      <c r="E1018" t="str">
        <f>Sheet1!F1018</f>
        <v>Clothing</v>
      </c>
      <c r="F1018" t="str">
        <f>Sheet1!H1018</f>
        <v>Ajay</v>
      </c>
      <c r="G1018">
        <f>Sheet1!K1018</f>
        <v>169804.5</v>
      </c>
      <c r="H1018">
        <f>Sheet1!N1018</f>
        <v>22532.720000000001</v>
      </c>
      <c r="I1018">
        <f t="shared" si="18"/>
        <v>1</v>
      </c>
    </row>
    <row r="1019" spans="1:9" x14ac:dyDescent="0.3">
      <c r="A1019">
        <f>Sheet1!A1019</f>
        <v>2018</v>
      </c>
      <c r="B1019" t="str">
        <f>Sheet1!B1019</f>
        <v>2025-10-15</v>
      </c>
      <c r="C1019" t="str">
        <f>TEXT(Sheet1!B1019,"YYYY-MM")</f>
        <v>2025-10</v>
      </c>
      <c r="D1019" t="str">
        <f>Sheet1!D1019</f>
        <v>Delhi</v>
      </c>
      <c r="E1019" t="str">
        <f>Sheet1!F1019</f>
        <v>Clothing</v>
      </c>
      <c r="F1019" t="str">
        <f>Sheet1!H1019</f>
        <v>Ajay</v>
      </c>
      <c r="G1019">
        <f>Sheet1!K1019</f>
        <v>183714.75</v>
      </c>
      <c r="H1019">
        <f>Sheet1!N1019</f>
        <v>34315.339999999997</v>
      </c>
      <c r="I1019">
        <f t="shared" si="18"/>
        <v>1</v>
      </c>
    </row>
    <row r="1020" spans="1:9" x14ac:dyDescent="0.3">
      <c r="A1020">
        <f>Sheet1!A1020</f>
        <v>2019</v>
      </c>
      <c r="B1020" t="str">
        <f>Sheet1!B1020</f>
        <v>2025-10-15</v>
      </c>
      <c r="C1020" t="str">
        <f>TEXT(Sheet1!B1020,"YYYY-MM")</f>
        <v>2025-10</v>
      </c>
      <c r="D1020" t="str">
        <f>Sheet1!D1020</f>
        <v>Pune</v>
      </c>
      <c r="E1020" t="str">
        <f>Sheet1!F1020</f>
        <v>Clothing</v>
      </c>
      <c r="F1020" t="str">
        <f>Sheet1!H1020</f>
        <v>Ajay</v>
      </c>
      <c r="G1020">
        <f>Sheet1!K1020</f>
        <v>148140</v>
      </c>
      <c r="H1020">
        <f>Sheet1!N1020</f>
        <v>20894.060000000001</v>
      </c>
      <c r="I1020">
        <f t="shared" si="18"/>
        <v>1</v>
      </c>
    </row>
    <row r="1021" spans="1:9" x14ac:dyDescent="0.3">
      <c r="A1021">
        <f>Sheet1!A1021</f>
        <v>2020</v>
      </c>
      <c r="B1021" t="str">
        <f>Sheet1!B1021</f>
        <v>2025-10-16</v>
      </c>
      <c r="C1021" t="str">
        <f>TEXT(Sheet1!B1021,"YYYY-MM")</f>
        <v>2025-10</v>
      </c>
      <c r="D1021" t="str">
        <f>Sheet1!D1021</f>
        <v>Mumbai</v>
      </c>
      <c r="E1021" t="str">
        <f>Sheet1!F1021</f>
        <v>Clothing</v>
      </c>
      <c r="F1021" t="str">
        <f>Sheet1!H1021</f>
        <v>Sneha</v>
      </c>
      <c r="G1021">
        <f>Sheet1!K1021</f>
        <v>1382</v>
      </c>
      <c r="H1021">
        <f>Sheet1!N1021</f>
        <v>329.2</v>
      </c>
      <c r="I1021">
        <f t="shared" si="18"/>
        <v>1</v>
      </c>
    </row>
    <row r="1022" spans="1:9" x14ac:dyDescent="0.3">
      <c r="A1022">
        <f>Sheet1!A1022</f>
        <v>2021</v>
      </c>
      <c r="B1022" t="str">
        <f>Sheet1!B1022</f>
        <v>2025-10-16</v>
      </c>
      <c r="C1022" t="str">
        <f>TEXT(Sheet1!B1022,"YYYY-MM")</f>
        <v>2025-10</v>
      </c>
      <c r="D1022" t="str">
        <f>Sheet1!D1022</f>
        <v>Mumbai</v>
      </c>
      <c r="E1022" t="str">
        <f>Sheet1!F1022</f>
        <v>Clothing</v>
      </c>
      <c r="F1022" t="str">
        <f>Sheet1!H1022</f>
        <v>Sneha</v>
      </c>
      <c r="G1022">
        <f>Sheet1!K1022</f>
        <v>45675</v>
      </c>
      <c r="H1022">
        <f>Sheet1!N1022</f>
        <v>10245.540000000001</v>
      </c>
      <c r="I1022">
        <f t="shared" si="18"/>
        <v>1</v>
      </c>
    </row>
    <row r="1023" spans="1:9" x14ac:dyDescent="0.3">
      <c r="A1023">
        <f>Sheet1!A1023</f>
        <v>2022</v>
      </c>
      <c r="B1023" t="str">
        <f>Sheet1!B1023</f>
        <v>2025-10-16</v>
      </c>
      <c r="C1023" t="str">
        <f>TEXT(Sheet1!B1023,"YYYY-MM")</f>
        <v>2025-10</v>
      </c>
      <c r="D1023" t="str">
        <f>Sheet1!D1023</f>
        <v>Pune</v>
      </c>
      <c r="E1023" t="str">
        <f>Sheet1!F1023</f>
        <v>Clothing</v>
      </c>
      <c r="F1023" t="str">
        <f>Sheet1!H1023</f>
        <v>Rahul</v>
      </c>
      <c r="G1023">
        <f>Sheet1!K1023</f>
        <v>177277.6</v>
      </c>
      <c r="H1023">
        <f>Sheet1!N1023</f>
        <v>50132.51</v>
      </c>
      <c r="I1023">
        <f t="shared" si="18"/>
        <v>1</v>
      </c>
    </row>
    <row r="1024" spans="1:9" x14ac:dyDescent="0.3">
      <c r="A1024">
        <f>Sheet1!A1024</f>
        <v>2023</v>
      </c>
      <c r="B1024" t="str">
        <f>Sheet1!B1024</f>
        <v>2025-10-16</v>
      </c>
      <c r="C1024" t="str">
        <f>TEXT(Sheet1!B1024,"YYYY-MM")</f>
        <v>2025-10</v>
      </c>
      <c r="D1024" t="str">
        <f>Sheet1!D1024</f>
        <v>Delhi</v>
      </c>
      <c r="E1024" t="str">
        <f>Sheet1!F1024</f>
        <v>Clothing</v>
      </c>
      <c r="F1024" t="str">
        <f>Sheet1!H1024</f>
        <v>Ajay</v>
      </c>
      <c r="G1024">
        <f>Sheet1!K1024</f>
        <v>3376.2</v>
      </c>
      <c r="H1024">
        <f>Sheet1!N1024</f>
        <v>573.79999999999995</v>
      </c>
      <c r="I1024">
        <f t="shared" si="18"/>
        <v>1</v>
      </c>
    </row>
    <row r="1025" spans="1:9" x14ac:dyDescent="0.3">
      <c r="A1025">
        <f>Sheet1!A1025</f>
        <v>2024</v>
      </c>
      <c r="B1025" t="str">
        <f>Sheet1!B1025</f>
        <v>2025-10-17</v>
      </c>
      <c r="C1025" t="str">
        <f>TEXT(Sheet1!B1025,"YYYY-MM")</f>
        <v>2025-10</v>
      </c>
      <c r="D1025" t="str">
        <f>Sheet1!D1025</f>
        <v>Bangalore</v>
      </c>
      <c r="E1025" t="str">
        <f>Sheet1!F1025</f>
        <v>Clothing</v>
      </c>
      <c r="F1025" t="str">
        <f>Sheet1!H1025</f>
        <v>Pooja</v>
      </c>
      <c r="G1025">
        <f>Sheet1!K1025</f>
        <v>195700.5</v>
      </c>
      <c r="H1025">
        <f>Sheet1!N1025</f>
        <v>51773.84</v>
      </c>
      <c r="I1025">
        <f t="shared" si="18"/>
        <v>1</v>
      </c>
    </row>
    <row r="1026" spans="1:9" x14ac:dyDescent="0.3">
      <c r="A1026">
        <f>Sheet1!A1026</f>
        <v>2025</v>
      </c>
      <c r="B1026" t="str">
        <f>Sheet1!B1026</f>
        <v>2025-10-17</v>
      </c>
      <c r="C1026" t="str">
        <f>TEXT(Sheet1!B1026,"YYYY-MM")</f>
        <v>2025-10</v>
      </c>
      <c r="D1026" t="str">
        <f>Sheet1!D1026</f>
        <v>Mumbai</v>
      </c>
      <c r="E1026" t="str">
        <f>Sheet1!F1026</f>
        <v>Electronics</v>
      </c>
      <c r="F1026" t="str">
        <f>Sheet1!H1026</f>
        <v>Ajay</v>
      </c>
      <c r="G1026">
        <f>Sheet1!K1026</f>
        <v>99871.6</v>
      </c>
      <c r="H1026">
        <f>Sheet1!N1026</f>
        <v>26121.79</v>
      </c>
      <c r="I1026">
        <f t="shared" ref="I1026:I1089" si="19">IF(AND(OR(FilterCity="All",D1026=FilterCity),OR(FilterCategory="All",E1026=FilterCategory),OR(FilterRep="All",F1026=FilterRep),C1026&gt;=FilterMonthFrom,C1026&lt;=FilterMonthTo),1,0)</f>
        <v>1</v>
      </c>
    </row>
    <row r="1027" spans="1:9" x14ac:dyDescent="0.3">
      <c r="A1027">
        <f>Sheet1!A1027</f>
        <v>2026</v>
      </c>
      <c r="B1027" t="str">
        <f>Sheet1!B1027</f>
        <v>2025-10-18</v>
      </c>
      <c r="C1027" t="str">
        <f>TEXT(Sheet1!B1027,"YYYY-MM")</f>
        <v>2025-10</v>
      </c>
      <c r="D1027" t="str">
        <f>Sheet1!D1027</f>
        <v>Delhi</v>
      </c>
      <c r="E1027" t="str">
        <f>Sheet1!F1027</f>
        <v>Clothing</v>
      </c>
      <c r="F1027" t="str">
        <f>Sheet1!H1027</f>
        <v>Sneha</v>
      </c>
      <c r="G1027">
        <f>Sheet1!K1027</f>
        <v>105902.2</v>
      </c>
      <c r="H1027">
        <f>Sheet1!N1027</f>
        <v>20030.5</v>
      </c>
      <c r="I1027">
        <f t="shared" si="19"/>
        <v>1</v>
      </c>
    </row>
    <row r="1028" spans="1:9" x14ac:dyDescent="0.3">
      <c r="A1028">
        <f>Sheet1!A1028</f>
        <v>2027</v>
      </c>
      <c r="B1028" t="str">
        <f>Sheet1!B1028</f>
        <v>2025-10-18</v>
      </c>
      <c r="C1028" t="str">
        <f>TEXT(Sheet1!B1028,"YYYY-MM")</f>
        <v>2025-10</v>
      </c>
      <c r="D1028" t="str">
        <f>Sheet1!D1028</f>
        <v>Bangalore</v>
      </c>
      <c r="E1028" t="str">
        <f>Sheet1!F1028</f>
        <v>Electronics</v>
      </c>
      <c r="F1028" t="str">
        <f>Sheet1!H1028</f>
        <v>Rahul</v>
      </c>
      <c r="G1028">
        <f>Sheet1!K1028</f>
        <v>80667</v>
      </c>
      <c r="H1028">
        <f>Sheet1!N1028</f>
        <v>22814.560000000001</v>
      </c>
      <c r="I1028">
        <f t="shared" si="19"/>
        <v>1</v>
      </c>
    </row>
    <row r="1029" spans="1:9" x14ac:dyDescent="0.3">
      <c r="A1029">
        <f>Sheet1!A1029</f>
        <v>2028</v>
      </c>
      <c r="B1029" t="str">
        <f>Sheet1!B1029</f>
        <v>2025-10-19</v>
      </c>
      <c r="C1029" t="str">
        <f>TEXT(Sheet1!B1029,"YYYY-MM")</f>
        <v>2025-10</v>
      </c>
      <c r="D1029" t="str">
        <f>Sheet1!D1029</f>
        <v>Pune</v>
      </c>
      <c r="E1029" t="str">
        <f>Sheet1!F1029</f>
        <v>Electronics</v>
      </c>
      <c r="F1029" t="str">
        <f>Sheet1!H1029</f>
        <v>Sneha</v>
      </c>
      <c r="G1029">
        <f>Sheet1!K1029</f>
        <v>77328.100000000006</v>
      </c>
      <c r="H1029">
        <f>Sheet1!N1029</f>
        <v>20406.150000000001</v>
      </c>
      <c r="I1029">
        <f t="shared" si="19"/>
        <v>1</v>
      </c>
    </row>
    <row r="1030" spans="1:9" x14ac:dyDescent="0.3">
      <c r="A1030">
        <f>Sheet1!A1030</f>
        <v>2029</v>
      </c>
      <c r="B1030" t="str">
        <f>Sheet1!B1030</f>
        <v>2025-10-19</v>
      </c>
      <c r="C1030" t="str">
        <f>TEXT(Sheet1!B1030,"YYYY-MM")</f>
        <v>2025-10</v>
      </c>
      <c r="D1030" t="str">
        <f>Sheet1!D1030</f>
        <v>Mumbai</v>
      </c>
      <c r="E1030" t="str">
        <f>Sheet1!F1030</f>
        <v>Electronics</v>
      </c>
      <c r="F1030" t="str">
        <f>Sheet1!H1030</f>
        <v>Rahul</v>
      </c>
      <c r="G1030">
        <f>Sheet1!K1030</f>
        <v>35577</v>
      </c>
      <c r="H1030">
        <f>Sheet1!N1030</f>
        <v>6286.01</v>
      </c>
      <c r="I1030">
        <f t="shared" si="19"/>
        <v>1</v>
      </c>
    </row>
    <row r="1031" spans="1:9" x14ac:dyDescent="0.3">
      <c r="A1031">
        <f>Sheet1!A1031</f>
        <v>2030</v>
      </c>
      <c r="B1031" t="str">
        <f>Sheet1!B1031</f>
        <v>2025-10-20</v>
      </c>
      <c r="C1031" t="str">
        <f>TEXT(Sheet1!B1031,"YYYY-MM")</f>
        <v>2025-10</v>
      </c>
      <c r="D1031" t="str">
        <f>Sheet1!D1031</f>
        <v>Mumbai</v>
      </c>
      <c r="E1031" t="str">
        <f>Sheet1!F1031</f>
        <v>Furniture</v>
      </c>
      <c r="F1031" t="str">
        <f>Sheet1!H1031</f>
        <v>Rahul</v>
      </c>
      <c r="G1031">
        <f>Sheet1!K1031</f>
        <v>117993.8</v>
      </c>
      <c r="H1031">
        <f>Sheet1!N1031</f>
        <v>32701.57</v>
      </c>
      <c r="I1031">
        <f t="shared" si="19"/>
        <v>1</v>
      </c>
    </row>
    <row r="1032" spans="1:9" x14ac:dyDescent="0.3">
      <c r="A1032">
        <f>Sheet1!A1032</f>
        <v>2031</v>
      </c>
      <c r="B1032" t="str">
        <f>Sheet1!B1032</f>
        <v>2025-10-20</v>
      </c>
      <c r="C1032" t="str">
        <f>TEXT(Sheet1!B1032,"YYYY-MM")</f>
        <v>2025-10</v>
      </c>
      <c r="D1032" t="str">
        <f>Sheet1!D1032</f>
        <v>Mumbai</v>
      </c>
      <c r="E1032" t="str">
        <f>Sheet1!F1032</f>
        <v>Electronics</v>
      </c>
      <c r="F1032" t="str">
        <f>Sheet1!H1032</f>
        <v>Sneha</v>
      </c>
      <c r="G1032">
        <f>Sheet1!K1032</f>
        <v>13402.8</v>
      </c>
      <c r="H1032">
        <f>Sheet1!N1032</f>
        <v>1744.78</v>
      </c>
      <c r="I1032">
        <f t="shared" si="19"/>
        <v>1</v>
      </c>
    </row>
    <row r="1033" spans="1:9" x14ac:dyDescent="0.3">
      <c r="A1033">
        <f>Sheet1!A1033</f>
        <v>2032</v>
      </c>
      <c r="B1033" t="str">
        <f>Sheet1!B1033</f>
        <v>2025-10-20</v>
      </c>
      <c r="C1033" t="str">
        <f>TEXT(Sheet1!B1033,"YYYY-MM")</f>
        <v>2025-10</v>
      </c>
      <c r="D1033" t="str">
        <f>Sheet1!D1033</f>
        <v>Pune</v>
      </c>
      <c r="E1033" t="str">
        <f>Sheet1!F1033</f>
        <v>Clothing</v>
      </c>
      <c r="F1033" t="str">
        <f>Sheet1!H1033</f>
        <v>Ajay</v>
      </c>
      <c r="G1033">
        <f>Sheet1!K1033</f>
        <v>12552</v>
      </c>
      <c r="H1033">
        <f>Sheet1!N1033</f>
        <v>2078.34</v>
      </c>
      <c r="I1033">
        <f t="shared" si="19"/>
        <v>1</v>
      </c>
    </row>
    <row r="1034" spans="1:9" x14ac:dyDescent="0.3">
      <c r="A1034">
        <f>Sheet1!A1034</f>
        <v>2033</v>
      </c>
      <c r="B1034" t="str">
        <f>Sheet1!B1034</f>
        <v>2025-10-20</v>
      </c>
      <c r="C1034" t="str">
        <f>TEXT(Sheet1!B1034,"YYYY-MM")</f>
        <v>2025-10</v>
      </c>
      <c r="D1034" t="str">
        <f>Sheet1!D1034</f>
        <v>Pune</v>
      </c>
      <c r="E1034" t="str">
        <f>Sheet1!F1034</f>
        <v>Clothing</v>
      </c>
      <c r="F1034" t="str">
        <f>Sheet1!H1034</f>
        <v>Rahul</v>
      </c>
      <c r="G1034">
        <f>Sheet1!K1034</f>
        <v>29888.55</v>
      </c>
      <c r="H1034">
        <f>Sheet1!N1034</f>
        <v>7009.34</v>
      </c>
      <c r="I1034">
        <f t="shared" si="19"/>
        <v>1</v>
      </c>
    </row>
    <row r="1035" spans="1:9" x14ac:dyDescent="0.3">
      <c r="A1035">
        <f>Sheet1!A1035</f>
        <v>2034</v>
      </c>
      <c r="B1035" t="str">
        <f>Sheet1!B1035</f>
        <v>2025-10-20</v>
      </c>
      <c r="C1035" t="str">
        <f>TEXT(Sheet1!B1035,"YYYY-MM")</f>
        <v>2025-10</v>
      </c>
      <c r="D1035" t="str">
        <f>Sheet1!D1035</f>
        <v>Delhi</v>
      </c>
      <c r="E1035" t="str">
        <f>Sheet1!F1035</f>
        <v>Electronics</v>
      </c>
      <c r="F1035" t="str">
        <f>Sheet1!H1035</f>
        <v>Pooja</v>
      </c>
      <c r="G1035">
        <f>Sheet1!K1035</f>
        <v>577</v>
      </c>
      <c r="H1035">
        <f>Sheet1!N1035</f>
        <v>131.71</v>
      </c>
      <c r="I1035">
        <f t="shared" si="19"/>
        <v>1</v>
      </c>
    </row>
    <row r="1036" spans="1:9" x14ac:dyDescent="0.3">
      <c r="A1036">
        <f>Sheet1!A1036</f>
        <v>2035</v>
      </c>
      <c r="B1036" t="str">
        <f>Sheet1!B1036</f>
        <v>2025-10-21</v>
      </c>
      <c r="C1036" t="str">
        <f>TEXT(Sheet1!B1036,"YYYY-MM")</f>
        <v>2025-10</v>
      </c>
      <c r="D1036" t="str">
        <f>Sheet1!D1036</f>
        <v>Delhi</v>
      </c>
      <c r="E1036" t="str">
        <f>Sheet1!F1036</f>
        <v>Clothing</v>
      </c>
      <c r="F1036" t="str">
        <f>Sheet1!H1036</f>
        <v>Rahul</v>
      </c>
      <c r="G1036">
        <f>Sheet1!K1036</f>
        <v>84198.6</v>
      </c>
      <c r="H1036">
        <f>Sheet1!N1036</f>
        <v>21409.05</v>
      </c>
      <c r="I1036">
        <f t="shared" si="19"/>
        <v>1</v>
      </c>
    </row>
    <row r="1037" spans="1:9" x14ac:dyDescent="0.3">
      <c r="A1037">
        <f>Sheet1!A1037</f>
        <v>2036</v>
      </c>
      <c r="B1037" t="str">
        <f>Sheet1!B1037</f>
        <v>2025-10-21</v>
      </c>
      <c r="C1037" t="str">
        <f>TEXT(Sheet1!B1037,"YYYY-MM")</f>
        <v>2025-10</v>
      </c>
      <c r="D1037" t="str">
        <f>Sheet1!D1037</f>
        <v>Hyderabad</v>
      </c>
      <c r="E1037" t="str">
        <f>Sheet1!F1037</f>
        <v>Clothing</v>
      </c>
      <c r="F1037" t="str">
        <f>Sheet1!H1037</f>
        <v>Pooja</v>
      </c>
      <c r="G1037">
        <f>Sheet1!K1037</f>
        <v>88782</v>
      </c>
      <c r="H1037">
        <f>Sheet1!N1037</f>
        <v>11668.75</v>
      </c>
      <c r="I1037">
        <f t="shared" si="19"/>
        <v>1</v>
      </c>
    </row>
    <row r="1038" spans="1:9" x14ac:dyDescent="0.3">
      <c r="A1038">
        <f>Sheet1!A1038</f>
        <v>2037</v>
      </c>
      <c r="B1038" t="str">
        <f>Sheet1!B1038</f>
        <v>2025-10-21</v>
      </c>
      <c r="C1038" t="str">
        <f>TEXT(Sheet1!B1038,"YYYY-MM")</f>
        <v>2025-10</v>
      </c>
      <c r="D1038" t="str">
        <f>Sheet1!D1038</f>
        <v>Pune</v>
      </c>
      <c r="E1038" t="str">
        <f>Sheet1!F1038</f>
        <v>Electronics</v>
      </c>
      <c r="F1038" t="str">
        <f>Sheet1!H1038</f>
        <v>Pooja</v>
      </c>
      <c r="G1038">
        <f>Sheet1!K1038</f>
        <v>116878.5</v>
      </c>
      <c r="H1038">
        <f>Sheet1!N1038</f>
        <v>35059.879999999997</v>
      </c>
      <c r="I1038">
        <f t="shared" si="19"/>
        <v>1</v>
      </c>
    </row>
    <row r="1039" spans="1:9" x14ac:dyDescent="0.3">
      <c r="A1039">
        <f>Sheet1!A1039</f>
        <v>2038</v>
      </c>
      <c r="B1039" t="str">
        <f>Sheet1!B1039</f>
        <v>2025-10-21</v>
      </c>
      <c r="C1039" t="str">
        <f>TEXT(Sheet1!B1039,"YYYY-MM")</f>
        <v>2025-10</v>
      </c>
      <c r="D1039" t="str">
        <f>Sheet1!D1039</f>
        <v>Pune</v>
      </c>
      <c r="E1039" t="str">
        <f>Sheet1!F1039</f>
        <v>Furniture</v>
      </c>
      <c r="F1039" t="str">
        <f>Sheet1!H1039</f>
        <v>Rahul</v>
      </c>
      <c r="G1039">
        <f>Sheet1!K1039</f>
        <v>88290</v>
      </c>
      <c r="H1039">
        <f>Sheet1!N1039</f>
        <v>18050.599999999999</v>
      </c>
      <c r="I1039">
        <f t="shared" si="19"/>
        <v>1</v>
      </c>
    </row>
    <row r="1040" spans="1:9" x14ac:dyDescent="0.3">
      <c r="A1040">
        <f>Sheet1!A1040</f>
        <v>2039</v>
      </c>
      <c r="B1040" t="str">
        <f>Sheet1!B1040</f>
        <v>2025-10-21</v>
      </c>
      <c r="C1040" t="str">
        <f>TEXT(Sheet1!B1040,"YYYY-MM")</f>
        <v>2025-10</v>
      </c>
      <c r="D1040" t="str">
        <f>Sheet1!D1040</f>
        <v>Pune</v>
      </c>
      <c r="E1040" t="str">
        <f>Sheet1!F1040</f>
        <v>Furniture</v>
      </c>
      <c r="F1040" t="str">
        <f>Sheet1!H1040</f>
        <v>Sneha</v>
      </c>
      <c r="G1040">
        <f>Sheet1!K1040</f>
        <v>112096</v>
      </c>
      <c r="H1040">
        <f>Sheet1!N1040</f>
        <v>15511.55</v>
      </c>
      <c r="I1040">
        <f t="shared" si="19"/>
        <v>1</v>
      </c>
    </row>
    <row r="1041" spans="1:9" x14ac:dyDescent="0.3">
      <c r="A1041">
        <f>Sheet1!A1041</f>
        <v>2040</v>
      </c>
      <c r="B1041" t="str">
        <f>Sheet1!B1041</f>
        <v>2025-10-22</v>
      </c>
      <c r="C1041" t="str">
        <f>TEXT(Sheet1!B1041,"YYYY-MM")</f>
        <v>2025-10</v>
      </c>
      <c r="D1041" t="str">
        <f>Sheet1!D1041</f>
        <v>Mumbai</v>
      </c>
      <c r="E1041" t="str">
        <f>Sheet1!F1041</f>
        <v>Furniture</v>
      </c>
      <c r="F1041" t="str">
        <f>Sheet1!H1041</f>
        <v>Rahul</v>
      </c>
      <c r="G1041">
        <f>Sheet1!K1041</f>
        <v>222916.5</v>
      </c>
      <c r="H1041">
        <f>Sheet1!N1041</f>
        <v>63495.12</v>
      </c>
      <c r="I1041">
        <f t="shared" si="19"/>
        <v>1</v>
      </c>
    </row>
    <row r="1042" spans="1:9" x14ac:dyDescent="0.3">
      <c r="A1042">
        <f>Sheet1!A1042</f>
        <v>2041</v>
      </c>
      <c r="B1042" t="str">
        <f>Sheet1!B1042</f>
        <v>2025-10-22</v>
      </c>
      <c r="C1042" t="str">
        <f>TEXT(Sheet1!B1042,"YYYY-MM")</f>
        <v>2025-10</v>
      </c>
      <c r="D1042" t="str">
        <f>Sheet1!D1042</f>
        <v>Hyderabad</v>
      </c>
      <c r="E1042" t="str">
        <f>Sheet1!F1042</f>
        <v>Furniture</v>
      </c>
      <c r="F1042" t="str">
        <f>Sheet1!H1042</f>
        <v>Sneha</v>
      </c>
      <c r="G1042">
        <f>Sheet1!K1042</f>
        <v>90324</v>
      </c>
      <c r="H1042">
        <f>Sheet1!N1042</f>
        <v>21880.07</v>
      </c>
      <c r="I1042">
        <f t="shared" si="19"/>
        <v>1</v>
      </c>
    </row>
    <row r="1043" spans="1:9" x14ac:dyDescent="0.3">
      <c r="A1043">
        <f>Sheet1!A1043</f>
        <v>2042</v>
      </c>
      <c r="B1043" t="str">
        <f>Sheet1!B1043</f>
        <v>2025-10-22</v>
      </c>
      <c r="C1043" t="str">
        <f>TEXT(Sheet1!B1043,"YYYY-MM")</f>
        <v>2025-10</v>
      </c>
      <c r="D1043" t="str">
        <f>Sheet1!D1043</f>
        <v>Bangalore</v>
      </c>
      <c r="E1043" t="str">
        <f>Sheet1!F1043</f>
        <v>Electronics</v>
      </c>
      <c r="F1043" t="str">
        <f>Sheet1!H1043</f>
        <v>Pooja</v>
      </c>
      <c r="G1043">
        <f>Sheet1!K1043</f>
        <v>25890.3</v>
      </c>
      <c r="H1043">
        <f>Sheet1!N1043</f>
        <v>3950.88</v>
      </c>
      <c r="I1043">
        <f t="shared" si="19"/>
        <v>1</v>
      </c>
    </row>
    <row r="1044" spans="1:9" x14ac:dyDescent="0.3">
      <c r="A1044">
        <f>Sheet1!A1044</f>
        <v>2043</v>
      </c>
      <c r="B1044" t="str">
        <f>Sheet1!B1044</f>
        <v>2025-10-22</v>
      </c>
      <c r="C1044" t="str">
        <f>TEXT(Sheet1!B1044,"YYYY-MM")</f>
        <v>2025-10</v>
      </c>
      <c r="D1044" t="str">
        <f>Sheet1!D1044</f>
        <v>Mumbai</v>
      </c>
      <c r="E1044" t="str">
        <f>Sheet1!F1044</f>
        <v>Clothing</v>
      </c>
      <c r="F1044" t="str">
        <f>Sheet1!H1044</f>
        <v>Rahul</v>
      </c>
      <c r="G1044">
        <f>Sheet1!K1044</f>
        <v>186081.25</v>
      </c>
      <c r="H1044">
        <f>Sheet1!N1044</f>
        <v>41818.5</v>
      </c>
      <c r="I1044">
        <f t="shared" si="19"/>
        <v>1</v>
      </c>
    </row>
    <row r="1045" spans="1:9" x14ac:dyDescent="0.3">
      <c r="A1045">
        <f>Sheet1!A1045</f>
        <v>2044</v>
      </c>
      <c r="B1045" t="str">
        <f>Sheet1!B1045</f>
        <v>2025-10-22</v>
      </c>
      <c r="C1045" t="str">
        <f>TEXT(Sheet1!B1045,"YYYY-MM")</f>
        <v>2025-10</v>
      </c>
      <c r="D1045" t="str">
        <f>Sheet1!D1045</f>
        <v>Hyderabad</v>
      </c>
      <c r="E1045" t="str">
        <f>Sheet1!F1045</f>
        <v>Furniture</v>
      </c>
      <c r="F1045" t="str">
        <f>Sheet1!H1045</f>
        <v>Ajay</v>
      </c>
      <c r="G1045">
        <f>Sheet1!K1045</f>
        <v>8276.4</v>
      </c>
      <c r="H1045">
        <f>Sheet1!N1045</f>
        <v>2312.31</v>
      </c>
      <c r="I1045">
        <f t="shared" si="19"/>
        <v>1</v>
      </c>
    </row>
    <row r="1046" spans="1:9" x14ac:dyDescent="0.3">
      <c r="A1046">
        <f>Sheet1!A1046</f>
        <v>2045</v>
      </c>
      <c r="B1046" t="str">
        <f>Sheet1!B1046</f>
        <v>2025-10-23</v>
      </c>
      <c r="C1046" t="str">
        <f>TEXT(Sheet1!B1046,"YYYY-MM")</f>
        <v>2025-10</v>
      </c>
      <c r="D1046" t="str">
        <f>Sheet1!D1046</f>
        <v>Delhi</v>
      </c>
      <c r="E1046" t="str">
        <f>Sheet1!F1046</f>
        <v>Furniture</v>
      </c>
      <c r="F1046" t="str">
        <f>Sheet1!H1046</f>
        <v>Ajay</v>
      </c>
      <c r="G1046">
        <f>Sheet1!K1046</f>
        <v>88599.6</v>
      </c>
      <c r="H1046">
        <f>Sheet1!N1046</f>
        <v>23119.08</v>
      </c>
      <c r="I1046">
        <f t="shared" si="19"/>
        <v>1</v>
      </c>
    </row>
    <row r="1047" spans="1:9" x14ac:dyDescent="0.3">
      <c r="A1047">
        <f>Sheet1!A1047</f>
        <v>2046</v>
      </c>
      <c r="B1047" t="str">
        <f>Sheet1!B1047</f>
        <v>2025-10-23</v>
      </c>
      <c r="C1047" t="str">
        <f>TEXT(Sheet1!B1047,"YYYY-MM")</f>
        <v>2025-10</v>
      </c>
      <c r="D1047" t="str">
        <f>Sheet1!D1047</f>
        <v>Delhi</v>
      </c>
      <c r="E1047" t="str">
        <f>Sheet1!F1047</f>
        <v>Electronics</v>
      </c>
      <c r="F1047" t="str">
        <f>Sheet1!H1047</f>
        <v>Pooja</v>
      </c>
      <c r="G1047">
        <f>Sheet1!K1047</f>
        <v>79674</v>
      </c>
      <c r="H1047">
        <f>Sheet1!N1047</f>
        <v>16674.189999999999</v>
      </c>
      <c r="I1047">
        <f t="shared" si="19"/>
        <v>1</v>
      </c>
    </row>
    <row r="1048" spans="1:9" x14ac:dyDescent="0.3">
      <c r="A1048">
        <f>Sheet1!A1048</f>
        <v>2047</v>
      </c>
      <c r="B1048" t="str">
        <f>Sheet1!B1048</f>
        <v>2025-10-23</v>
      </c>
      <c r="C1048" t="str">
        <f>TEXT(Sheet1!B1048,"YYYY-MM")</f>
        <v>2025-10</v>
      </c>
      <c r="D1048" t="str">
        <f>Sheet1!D1048</f>
        <v>Bangalore</v>
      </c>
      <c r="E1048" t="str">
        <f>Sheet1!F1048</f>
        <v>Electronics</v>
      </c>
      <c r="F1048" t="str">
        <f>Sheet1!H1048</f>
        <v>Sneha</v>
      </c>
      <c r="G1048">
        <f>Sheet1!K1048</f>
        <v>98037.3</v>
      </c>
      <c r="H1048">
        <f>Sheet1!N1048</f>
        <v>23638.11</v>
      </c>
      <c r="I1048">
        <f t="shared" si="19"/>
        <v>1</v>
      </c>
    </row>
    <row r="1049" spans="1:9" x14ac:dyDescent="0.3">
      <c r="A1049">
        <f>Sheet1!A1049</f>
        <v>2048</v>
      </c>
      <c r="B1049" t="str">
        <f>Sheet1!B1049</f>
        <v>2025-10-23</v>
      </c>
      <c r="C1049" t="str">
        <f>TEXT(Sheet1!B1049,"YYYY-MM")</f>
        <v>2025-10</v>
      </c>
      <c r="D1049" t="str">
        <f>Sheet1!D1049</f>
        <v>Pune</v>
      </c>
      <c r="E1049" t="str">
        <f>Sheet1!F1049</f>
        <v>Electronics</v>
      </c>
      <c r="F1049" t="str">
        <f>Sheet1!H1049</f>
        <v>Ajay</v>
      </c>
      <c r="G1049">
        <f>Sheet1!K1049</f>
        <v>185074.75</v>
      </c>
      <c r="H1049">
        <f>Sheet1!N1049</f>
        <v>45457.26</v>
      </c>
      <c r="I1049">
        <f t="shared" si="19"/>
        <v>1</v>
      </c>
    </row>
    <row r="1050" spans="1:9" x14ac:dyDescent="0.3">
      <c r="A1050">
        <f>Sheet1!A1050</f>
        <v>2049</v>
      </c>
      <c r="B1050" t="str">
        <f>Sheet1!B1050</f>
        <v>2025-10-24</v>
      </c>
      <c r="C1050" t="str">
        <f>TEXT(Sheet1!B1050,"YYYY-MM")</f>
        <v>2025-10</v>
      </c>
      <c r="D1050" t="str">
        <f>Sheet1!D1050</f>
        <v>Delhi</v>
      </c>
      <c r="E1050" t="str">
        <f>Sheet1!F1050</f>
        <v>Furniture</v>
      </c>
      <c r="F1050" t="str">
        <f>Sheet1!H1050</f>
        <v>Pooja</v>
      </c>
      <c r="G1050">
        <f>Sheet1!K1050</f>
        <v>7680.6</v>
      </c>
      <c r="H1050">
        <f>Sheet1!N1050</f>
        <v>1238.48</v>
      </c>
      <c r="I1050">
        <f t="shared" si="19"/>
        <v>1</v>
      </c>
    </row>
    <row r="1051" spans="1:9" x14ac:dyDescent="0.3">
      <c r="A1051">
        <f>Sheet1!A1051</f>
        <v>2050</v>
      </c>
      <c r="B1051" t="str">
        <f>Sheet1!B1051</f>
        <v>2025-10-24</v>
      </c>
      <c r="C1051" t="str">
        <f>TEXT(Sheet1!B1051,"YYYY-MM")</f>
        <v>2025-10</v>
      </c>
      <c r="D1051" t="str">
        <f>Sheet1!D1051</f>
        <v>Bangalore</v>
      </c>
      <c r="E1051" t="str">
        <f>Sheet1!F1051</f>
        <v>Clothing</v>
      </c>
      <c r="F1051" t="str">
        <f>Sheet1!H1051</f>
        <v>Ajay</v>
      </c>
      <c r="G1051">
        <f>Sheet1!K1051</f>
        <v>211563</v>
      </c>
      <c r="H1051">
        <f>Sheet1!N1051</f>
        <v>21806.47</v>
      </c>
      <c r="I1051">
        <f t="shared" si="19"/>
        <v>1</v>
      </c>
    </row>
    <row r="1052" spans="1:9" x14ac:dyDescent="0.3">
      <c r="A1052">
        <f>Sheet1!A1052</f>
        <v>2051</v>
      </c>
      <c r="B1052" t="str">
        <f>Sheet1!B1052</f>
        <v>2025-10-24</v>
      </c>
      <c r="C1052" t="str">
        <f>TEXT(Sheet1!B1052,"YYYY-MM")</f>
        <v>2025-10</v>
      </c>
      <c r="D1052" t="str">
        <f>Sheet1!D1052</f>
        <v>Mumbai</v>
      </c>
      <c r="E1052" t="str">
        <f>Sheet1!F1052</f>
        <v>Clothing</v>
      </c>
      <c r="F1052" t="str">
        <f>Sheet1!H1052</f>
        <v>Ajay</v>
      </c>
      <c r="G1052">
        <f>Sheet1!K1052</f>
        <v>148996.79999999999</v>
      </c>
      <c r="H1052">
        <f>Sheet1!N1052</f>
        <v>31121.9</v>
      </c>
      <c r="I1052">
        <f t="shared" si="19"/>
        <v>1</v>
      </c>
    </row>
    <row r="1053" spans="1:9" x14ac:dyDescent="0.3">
      <c r="A1053">
        <f>Sheet1!A1053</f>
        <v>2052</v>
      </c>
      <c r="B1053" t="str">
        <f>Sheet1!B1053</f>
        <v>2025-10-25</v>
      </c>
      <c r="C1053" t="str">
        <f>TEXT(Sheet1!B1053,"YYYY-MM")</f>
        <v>2025-10</v>
      </c>
      <c r="D1053" t="str">
        <f>Sheet1!D1053</f>
        <v>Mumbai</v>
      </c>
      <c r="E1053" t="str">
        <f>Sheet1!F1053</f>
        <v>Clothing</v>
      </c>
      <c r="F1053" t="str">
        <f>Sheet1!H1053</f>
        <v>Sneha</v>
      </c>
      <c r="G1053">
        <f>Sheet1!K1053</f>
        <v>66312</v>
      </c>
      <c r="H1053">
        <f>Sheet1!N1053</f>
        <v>9438.74</v>
      </c>
      <c r="I1053">
        <f t="shared" si="19"/>
        <v>1</v>
      </c>
    </row>
    <row r="1054" spans="1:9" x14ac:dyDescent="0.3">
      <c r="A1054">
        <f>Sheet1!A1054</f>
        <v>2053</v>
      </c>
      <c r="B1054" t="str">
        <f>Sheet1!B1054</f>
        <v>2025-10-25</v>
      </c>
      <c r="C1054" t="str">
        <f>TEXT(Sheet1!B1054,"YYYY-MM")</f>
        <v>2025-10</v>
      </c>
      <c r="D1054" t="str">
        <f>Sheet1!D1054</f>
        <v>Bangalore</v>
      </c>
      <c r="E1054" t="str">
        <f>Sheet1!F1054</f>
        <v>Furniture</v>
      </c>
      <c r="F1054" t="str">
        <f>Sheet1!H1054</f>
        <v>Sneha</v>
      </c>
      <c r="G1054">
        <f>Sheet1!K1054</f>
        <v>40464</v>
      </c>
      <c r="H1054">
        <f>Sheet1!N1054</f>
        <v>5439.27</v>
      </c>
      <c r="I1054">
        <f t="shared" si="19"/>
        <v>1</v>
      </c>
    </row>
    <row r="1055" spans="1:9" x14ac:dyDescent="0.3">
      <c r="A1055">
        <f>Sheet1!A1055</f>
        <v>2054</v>
      </c>
      <c r="B1055" t="str">
        <f>Sheet1!B1055</f>
        <v>2025-10-25</v>
      </c>
      <c r="C1055" t="str">
        <f>TEXT(Sheet1!B1055,"YYYY-MM")</f>
        <v>2025-10</v>
      </c>
      <c r="D1055" t="str">
        <f>Sheet1!D1055</f>
        <v>Delhi</v>
      </c>
      <c r="E1055" t="str">
        <f>Sheet1!F1055</f>
        <v>Furniture</v>
      </c>
      <c r="F1055" t="str">
        <f>Sheet1!H1055</f>
        <v>Pooja</v>
      </c>
      <c r="G1055">
        <f>Sheet1!K1055</f>
        <v>5960</v>
      </c>
      <c r="H1055">
        <f>Sheet1!N1055</f>
        <v>1028.3900000000001</v>
      </c>
      <c r="I1055">
        <f t="shared" si="19"/>
        <v>1</v>
      </c>
    </row>
    <row r="1056" spans="1:9" x14ac:dyDescent="0.3">
      <c r="A1056">
        <f>Sheet1!A1056</f>
        <v>2055</v>
      </c>
      <c r="B1056" t="str">
        <f>Sheet1!B1056</f>
        <v>2025-10-25</v>
      </c>
      <c r="C1056" t="str">
        <f>TEXT(Sheet1!B1056,"YYYY-MM")</f>
        <v>2025-10</v>
      </c>
      <c r="D1056" t="str">
        <f>Sheet1!D1056</f>
        <v>Mumbai</v>
      </c>
      <c r="E1056" t="str">
        <f>Sheet1!F1056</f>
        <v>Electronics</v>
      </c>
      <c r="F1056" t="str">
        <f>Sheet1!H1056</f>
        <v>Pooja</v>
      </c>
      <c r="G1056">
        <f>Sheet1!K1056</f>
        <v>77053.5</v>
      </c>
      <c r="H1056">
        <f>Sheet1!N1056</f>
        <v>10543.21</v>
      </c>
      <c r="I1056">
        <f t="shared" si="19"/>
        <v>1</v>
      </c>
    </row>
    <row r="1057" spans="1:9" x14ac:dyDescent="0.3">
      <c r="A1057">
        <f>Sheet1!A1057</f>
        <v>2056</v>
      </c>
      <c r="B1057" t="str">
        <f>Sheet1!B1057</f>
        <v>2025-10-26</v>
      </c>
      <c r="C1057" t="str">
        <f>TEXT(Sheet1!B1057,"YYYY-MM")</f>
        <v>2025-10</v>
      </c>
      <c r="D1057" t="str">
        <f>Sheet1!D1057</f>
        <v>Pune</v>
      </c>
      <c r="E1057" t="str">
        <f>Sheet1!F1057</f>
        <v>Clothing</v>
      </c>
      <c r="F1057" t="str">
        <f>Sheet1!H1057</f>
        <v>Sneha</v>
      </c>
      <c r="G1057">
        <f>Sheet1!K1057</f>
        <v>7479</v>
      </c>
      <c r="H1057">
        <f>Sheet1!N1057</f>
        <v>1068</v>
      </c>
      <c r="I1057">
        <f t="shared" si="19"/>
        <v>1</v>
      </c>
    </row>
    <row r="1058" spans="1:9" x14ac:dyDescent="0.3">
      <c r="A1058">
        <f>Sheet1!A1058</f>
        <v>2057</v>
      </c>
      <c r="B1058" t="str">
        <f>Sheet1!B1058</f>
        <v>2025-10-26</v>
      </c>
      <c r="C1058" t="str">
        <f>TEXT(Sheet1!B1058,"YYYY-MM")</f>
        <v>2025-10</v>
      </c>
      <c r="D1058" t="str">
        <f>Sheet1!D1058</f>
        <v>Hyderabad</v>
      </c>
      <c r="E1058" t="str">
        <f>Sheet1!F1058</f>
        <v>Electronics</v>
      </c>
      <c r="F1058" t="str">
        <f>Sheet1!H1058</f>
        <v>Sneha</v>
      </c>
      <c r="G1058">
        <f>Sheet1!K1058</f>
        <v>45475</v>
      </c>
      <c r="H1058">
        <f>Sheet1!N1058</f>
        <v>7178.85</v>
      </c>
      <c r="I1058">
        <f t="shared" si="19"/>
        <v>1</v>
      </c>
    </row>
    <row r="1059" spans="1:9" x14ac:dyDescent="0.3">
      <c r="A1059">
        <f>Sheet1!A1059</f>
        <v>2058</v>
      </c>
      <c r="B1059" t="str">
        <f>Sheet1!B1059</f>
        <v>2025-10-27</v>
      </c>
      <c r="C1059" t="str">
        <f>TEXT(Sheet1!B1059,"YYYY-MM")</f>
        <v>2025-10</v>
      </c>
      <c r="D1059" t="str">
        <f>Sheet1!D1059</f>
        <v>Bangalore</v>
      </c>
      <c r="E1059" t="str">
        <f>Sheet1!F1059</f>
        <v>Furniture</v>
      </c>
      <c r="F1059" t="str">
        <f>Sheet1!H1059</f>
        <v>Ajay</v>
      </c>
      <c r="G1059">
        <f>Sheet1!K1059</f>
        <v>131644</v>
      </c>
      <c r="H1059">
        <f>Sheet1!N1059</f>
        <v>38765.53</v>
      </c>
      <c r="I1059">
        <f t="shared" si="19"/>
        <v>1</v>
      </c>
    </row>
    <row r="1060" spans="1:9" x14ac:dyDescent="0.3">
      <c r="A1060">
        <f>Sheet1!A1060</f>
        <v>2059</v>
      </c>
      <c r="B1060" t="str">
        <f>Sheet1!B1060</f>
        <v>2025-10-27</v>
      </c>
      <c r="C1060" t="str">
        <f>TEXT(Sheet1!B1060,"YYYY-MM")</f>
        <v>2025-10</v>
      </c>
      <c r="D1060" t="str">
        <f>Sheet1!D1060</f>
        <v>Delhi</v>
      </c>
      <c r="E1060" t="str">
        <f>Sheet1!F1060</f>
        <v>Furniture</v>
      </c>
      <c r="F1060" t="str">
        <f>Sheet1!H1060</f>
        <v>Ajay</v>
      </c>
      <c r="G1060">
        <f>Sheet1!K1060</f>
        <v>69418.399999999994</v>
      </c>
      <c r="H1060">
        <f>Sheet1!N1060</f>
        <v>16812.09</v>
      </c>
      <c r="I1060">
        <f t="shared" si="19"/>
        <v>1</v>
      </c>
    </row>
    <row r="1061" spans="1:9" x14ac:dyDescent="0.3">
      <c r="A1061">
        <f>Sheet1!A1061</f>
        <v>2060</v>
      </c>
      <c r="B1061" t="str">
        <f>Sheet1!B1061</f>
        <v>2025-10-27</v>
      </c>
      <c r="C1061" t="str">
        <f>TEXT(Sheet1!B1061,"YYYY-MM")</f>
        <v>2025-10</v>
      </c>
      <c r="D1061" t="str">
        <f>Sheet1!D1061</f>
        <v>Mumbai</v>
      </c>
      <c r="E1061" t="str">
        <f>Sheet1!F1061</f>
        <v>Electronics</v>
      </c>
      <c r="F1061" t="str">
        <f>Sheet1!H1061</f>
        <v>Sneha</v>
      </c>
      <c r="G1061">
        <f>Sheet1!K1061</f>
        <v>27759.95</v>
      </c>
      <c r="H1061">
        <f>Sheet1!N1061</f>
        <v>6198.31</v>
      </c>
      <c r="I1061">
        <f t="shared" si="19"/>
        <v>1</v>
      </c>
    </row>
    <row r="1062" spans="1:9" x14ac:dyDescent="0.3">
      <c r="A1062">
        <f>Sheet1!A1062</f>
        <v>2061</v>
      </c>
      <c r="B1062" t="str">
        <f>Sheet1!B1062</f>
        <v>2025-10-28</v>
      </c>
      <c r="C1062" t="str">
        <f>TEXT(Sheet1!B1062,"YYYY-MM")</f>
        <v>2025-10</v>
      </c>
      <c r="D1062" t="str">
        <f>Sheet1!D1062</f>
        <v>Bangalore</v>
      </c>
      <c r="E1062" t="str">
        <f>Sheet1!F1062</f>
        <v>Furniture</v>
      </c>
      <c r="F1062" t="str">
        <f>Sheet1!H1062</f>
        <v>Sneha</v>
      </c>
      <c r="G1062">
        <f>Sheet1!K1062</f>
        <v>179520</v>
      </c>
      <c r="H1062">
        <f>Sheet1!N1062</f>
        <v>20726.03</v>
      </c>
      <c r="I1062">
        <f t="shared" si="19"/>
        <v>1</v>
      </c>
    </row>
    <row r="1063" spans="1:9" x14ac:dyDescent="0.3">
      <c r="A1063">
        <f>Sheet1!A1063</f>
        <v>2062</v>
      </c>
      <c r="B1063" t="str">
        <f>Sheet1!B1063</f>
        <v>2025-10-28</v>
      </c>
      <c r="C1063" t="str">
        <f>TEXT(Sheet1!B1063,"YYYY-MM")</f>
        <v>2025-10</v>
      </c>
      <c r="D1063" t="str">
        <f>Sheet1!D1063</f>
        <v>Delhi</v>
      </c>
      <c r="E1063" t="str">
        <f>Sheet1!F1063</f>
        <v>Electronics</v>
      </c>
      <c r="F1063" t="str">
        <f>Sheet1!H1063</f>
        <v>Ajay</v>
      </c>
      <c r="G1063">
        <f>Sheet1!K1063</f>
        <v>133628</v>
      </c>
      <c r="H1063">
        <f>Sheet1!N1063</f>
        <v>38548.29</v>
      </c>
      <c r="I1063">
        <f t="shared" si="19"/>
        <v>1</v>
      </c>
    </row>
    <row r="1064" spans="1:9" x14ac:dyDescent="0.3">
      <c r="A1064">
        <f>Sheet1!A1064</f>
        <v>2063</v>
      </c>
      <c r="B1064" t="str">
        <f>Sheet1!B1064</f>
        <v>2025-10-29</v>
      </c>
      <c r="C1064" t="str">
        <f>TEXT(Sheet1!B1064,"YYYY-MM")</f>
        <v>2025-10</v>
      </c>
      <c r="D1064" t="str">
        <f>Sheet1!D1064</f>
        <v>Bangalore</v>
      </c>
      <c r="E1064" t="str">
        <f>Sheet1!F1064</f>
        <v>Clothing</v>
      </c>
      <c r="F1064" t="str">
        <f>Sheet1!H1064</f>
        <v>Sneha</v>
      </c>
      <c r="G1064">
        <f>Sheet1!K1064</f>
        <v>108300</v>
      </c>
      <c r="H1064">
        <f>Sheet1!N1064</f>
        <v>32291.26</v>
      </c>
      <c r="I1064">
        <f t="shared" si="19"/>
        <v>1</v>
      </c>
    </row>
    <row r="1065" spans="1:9" x14ac:dyDescent="0.3">
      <c r="A1065">
        <f>Sheet1!A1065</f>
        <v>2064</v>
      </c>
      <c r="B1065" t="str">
        <f>Sheet1!B1065</f>
        <v>2025-10-29</v>
      </c>
      <c r="C1065" t="str">
        <f>TEXT(Sheet1!B1065,"YYYY-MM")</f>
        <v>2025-10</v>
      </c>
      <c r="D1065" t="str">
        <f>Sheet1!D1065</f>
        <v>Hyderabad</v>
      </c>
      <c r="E1065" t="str">
        <f>Sheet1!F1065</f>
        <v>Furniture</v>
      </c>
      <c r="F1065" t="str">
        <f>Sheet1!H1065</f>
        <v>Pooja</v>
      </c>
      <c r="G1065">
        <f>Sheet1!K1065</f>
        <v>44429.5</v>
      </c>
      <c r="H1065">
        <f>Sheet1!N1065</f>
        <v>5629.22</v>
      </c>
      <c r="I1065">
        <f t="shared" si="19"/>
        <v>1</v>
      </c>
    </row>
    <row r="1066" spans="1:9" x14ac:dyDescent="0.3">
      <c r="A1066">
        <f>Sheet1!A1066</f>
        <v>2065</v>
      </c>
      <c r="B1066" t="str">
        <f>Sheet1!B1066</f>
        <v>2025-10-29</v>
      </c>
      <c r="C1066" t="str">
        <f>TEXT(Sheet1!B1066,"YYYY-MM")</f>
        <v>2025-10</v>
      </c>
      <c r="D1066" t="str">
        <f>Sheet1!D1066</f>
        <v>Hyderabad</v>
      </c>
      <c r="E1066" t="str">
        <f>Sheet1!F1066</f>
        <v>Electronics</v>
      </c>
      <c r="F1066" t="str">
        <f>Sheet1!H1066</f>
        <v>Rahul</v>
      </c>
      <c r="G1066">
        <f>Sheet1!K1066</f>
        <v>34540</v>
      </c>
      <c r="H1066">
        <f>Sheet1!N1066</f>
        <v>6152.09</v>
      </c>
      <c r="I1066">
        <f t="shared" si="19"/>
        <v>1</v>
      </c>
    </row>
    <row r="1067" spans="1:9" x14ac:dyDescent="0.3">
      <c r="A1067">
        <f>Sheet1!A1067</f>
        <v>2066</v>
      </c>
      <c r="B1067" t="str">
        <f>Sheet1!B1067</f>
        <v>2025-10-29</v>
      </c>
      <c r="C1067" t="str">
        <f>TEXT(Sheet1!B1067,"YYYY-MM")</f>
        <v>2025-10</v>
      </c>
      <c r="D1067" t="str">
        <f>Sheet1!D1067</f>
        <v>Mumbai</v>
      </c>
      <c r="E1067" t="str">
        <f>Sheet1!F1067</f>
        <v>Furniture</v>
      </c>
      <c r="F1067" t="str">
        <f>Sheet1!H1067</f>
        <v>Sneha</v>
      </c>
      <c r="G1067">
        <f>Sheet1!K1067</f>
        <v>97866</v>
      </c>
      <c r="H1067">
        <f>Sheet1!N1067</f>
        <v>24265.85</v>
      </c>
      <c r="I1067">
        <f t="shared" si="19"/>
        <v>1</v>
      </c>
    </row>
    <row r="1068" spans="1:9" x14ac:dyDescent="0.3">
      <c r="A1068">
        <f>Sheet1!A1068</f>
        <v>2067</v>
      </c>
      <c r="B1068" t="str">
        <f>Sheet1!B1068</f>
        <v>2025-10-29</v>
      </c>
      <c r="C1068" t="str">
        <f>TEXT(Sheet1!B1068,"YYYY-MM")</f>
        <v>2025-10</v>
      </c>
      <c r="D1068" t="str">
        <f>Sheet1!D1068</f>
        <v>Mumbai</v>
      </c>
      <c r="E1068" t="str">
        <f>Sheet1!F1068</f>
        <v>Clothing</v>
      </c>
      <c r="F1068" t="str">
        <f>Sheet1!H1068</f>
        <v>Sneha</v>
      </c>
      <c r="G1068">
        <f>Sheet1!K1068</f>
        <v>46051.25</v>
      </c>
      <c r="H1068">
        <f>Sheet1!N1068</f>
        <v>10986.36</v>
      </c>
      <c r="I1068">
        <f t="shared" si="19"/>
        <v>1</v>
      </c>
    </row>
    <row r="1069" spans="1:9" x14ac:dyDescent="0.3">
      <c r="A1069">
        <f>Sheet1!A1069</f>
        <v>2068</v>
      </c>
      <c r="B1069" t="str">
        <f>Sheet1!B1069</f>
        <v>2025-10-30</v>
      </c>
      <c r="C1069" t="str">
        <f>TEXT(Sheet1!B1069,"YYYY-MM")</f>
        <v>2025-10</v>
      </c>
      <c r="D1069" t="str">
        <f>Sheet1!D1069</f>
        <v>Delhi</v>
      </c>
      <c r="E1069" t="str">
        <f>Sheet1!F1069</f>
        <v>Clothing</v>
      </c>
      <c r="F1069" t="str">
        <f>Sheet1!H1069</f>
        <v>Sneha</v>
      </c>
      <c r="G1069">
        <f>Sheet1!K1069</f>
        <v>157785</v>
      </c>
      <c r="H1069">
        <f>Sheet1!N1069</f>
        <v>28000.1</v>
      </c>
      <c r="I1069">
        <f t="shared" si="19"/>
        <v>1</v>
      </c>
    </row>
    <row r="1070" spans="1:9" x14ac:dyDescent="0.3">
      <c r="A1070">
        <f>Sheet1!A1070</f>
        <v>2069</v>
      </c>
      <c r="B1070" t="str">
        <f>Sheet1!B1070</f>
        <v>2025-10-30</v>
      </c>
      <c r="C1070" t="str">
        <f>TEXT(Sheet1!B1070,"YYYY-MM")</f>
        <v>2025-10</v>
      </c>
      <c r="D1070" t="str">
        <f>Sheet1!D1070</f>
        <v>Hyderabad</v>
      </c>
      <c r="E1070" t="str">
        <f>Sheet1!F1070</f>
        <v>Clothing</v>
      </c>
      <c r="F1070" t="str">
        <f>Sheet1!H1070</f>
        <v>Ajay</v>
      </c>
      <c r="G1070">
        <f>Sheet1!K1070</f>
        <v>5529</v>
      </c>
      <c r="H1070">
        <f>Sheet1!N1070</f>
        <v>750.63</v>
      </c>
      <c r="I1070">
        <f t="shared" si="19"/>
        <v>1</v>
      </c>
    </row>
    <row r="1071" spans="1:9" x14ac:dyDescent="0.3">
      <c r="A1071">
        <f>Sheet1!A1071</f>
        <v>2070</v>
      </c>
      <c r="B1071" t="str">
        <f>Sheet1!B1071</f>
        <v>2025-10-30</v>
      </c>
      <c r="C1071" t="str">
        <f>TEXT(Sheet1!B1071,"YYYY-MM")</f>
        <v>2025-10</v>
      </c>
      <c r="D1071" t="str">
        <f>Sheet1!D1071</f>
        <v>Delhi</v>
      </c>
      <c r="E1071" t="str">
        <f>Sheet1!F1071</f>
        <v>Furniture</v>
      </c>
      <c r="F1071" t="str">
        <f>Sheet1!H1071</f>
        <v>Sneha</v>
      </c>
      <c r="G1071">
        <f>Sheet1!K1071</f>
        <v>48281.85</v>
      </c>
      <c r="H1071">
        <f>Sheet1!N1071</f>
        <v>6191.27</v>
      </c>
      <c r="I1071">
        <f t="shared" si="19"/>
        <v>1</v>
      </c>
    </row>
    <row r="1072" spans="1:9" x14ac:dyDescent="0.3">
      <c r="A1072">
        <f>Sheet1!A1072</f>
        <v>2071</v>
      </c>
      <c r="B1072" t="str">
        <f>Sheet1!B1072</f>
        <v>2025-10-31</v>
      </c>
      <c r="C1072" t="str">
        <f>TEXT(Sheet1!B1072,"YYYY-MM")</f>
        <v>2025-10</v>
      </c>
      <c r="D1072" t="str">
        <f>Sheet1!D1072</f>
        <v>Bangalore</v>
      </c>
      <c r="E1072" t="str">
        <f>Sheet1!F1072</f>
        <v>Furniture</v>
      </c>
      <c r="F1072" t="str">
        <f>Sheet1!H1072</f>
        <v>Rahul</v>
      </c>
      <c r="G1072">
        <f>Sheet1!K1072</f>
        <v>34809.199999999997</v>
      </c>
      <c r="H1072">
        <f>Sheet1!N1072</f>
        <v>10374.530000000001</v>
      </c>
      <c r="I1072">
        <f t="shared" si="19"/>
        <v>1</v>
      </c>
    </row>
    <row r="1073" spans="1:9" x14ac:dyDescent="0.3">
      <c r="A1073">
        <f>Sheet1!A1073</f>
        <v>2072</v>
      </c>
      <c r="B1073" t="str">
        <f>Sheet1!B1073</f>
        <v>2025-10-31</v>
      </c>
      <c r="C1073" t="str">
        <f>TEXT(Sheet1!B1073,"YYYY-MM")</f>
        <v>2025-10</v>
      </c>
      <c r="D1073" t="str">
        <f>Sheet1!D1073</f>
        <v>Bangalore</v>
      </c>
      <c r="E1073" t="str">
        <f>Sheet1!F1073</f>
        <v>Clothing</v>
      </c>
      <c r="F1073" t="str">
        <f>Sheet1!H1073</f>
        <v>Rahul</v>
      </c>
      <c r="G1073">
        <f>Sheet1!K1073</f>
        <v>146037.6</v>
      </c>
      <c r="H1073">
        <f>Sheet1!N1073</f>
        <v>16131.33</v>
      </c>
      <c r="I1073">
        <f t="shared" si="19"/>
        <v>1</v>
      </c>
    </row>
    <row r="1074" spans="1:9" x14ac:dyDescent="0.3">
      <c r="A1074">
        <f>Sheet1!A1074</f>
        <v>2073</v>
      </c>
      <c r="B1074" t="str">
        <f>Sheet1!B1074</f>
        <v>2025-11-01</v>
      </c>
      <c r="C1074" t="str">
        <f>TEXT(Sheet1!B1074,"YYYY-MM")</f>
        <v>2025-11</v>
      </c>
      <c r="D1074" t="str">
        <f>Sheet1!D1074</f>
        <v>Bangalore</v>
      </c>
      <c r="E1074" t="str">
        <f>Sheet1!F1074</f>
        <v>Furniture</v>
      </c>
      <c r="F1074" t="str">
        <f>Sheet1!H1074</f>
        <v>Ajay</v>
      </c>
      <c r="G1074">
        <f>Sheet1!K1074</f>
        <v>51459</v>
      </c>
      <c r="H1074">
        <f>Sheet1!N1074</f>
        <v>10608.12</v>
      </c>
      <c r="I1074">
        <f t="shared" si="19"/>
        <v>1</v>
      </c>
    </row>
    <row r="1075" spans="1:9" x14ac:dyDescent="0.3">
      <c r="A1075">
        <f>Sheet1!A1075</f>
        <v>2074</v>
      </c>
      <c r="B1075" t="str">
        <f>Sheet1!B1075</f>
        <v>2025-11-01</v>
      </c>
      <c r="C1075" t="str">
        <f>TEXT(Sheet1!B1075,"YYYY-MM")</f>
        <v>2025-11</v>
      </c>
      <c r="D1075" t="str">
        <f>Sheet1!D1075</f>
        <v>Mumbai</v>
      </c>
      <c r="E1075" t="str">
        <f>Sheet1!F1075</f>
        <v>Furniture</v>
      </c>
      <c r="F1075" t="str">
        <f>Sheet1!H1075</f>
        <v>Rahul</v>
      </c>
      <c r="G1075">
        <f>Sheet1!K1075</f>
        <v>14201.1</v>
      </c>
      <c r="H1075">
        <f>Sheet1!N1075</f>
        <v>3313.68</v>
      </c>
      <c r="I1075">
        <f t="shared" si="19"/>
        <v>1</v>
      </c>
    </row>
    <row r="1076" spans="1:9" x14ac:dyDescent="0.3">
      <c r="A1076">
        <f>Sheet1!A1076</f>
        <v>2075</v>
      </c>
      <c r="B1076" t="str">
        <f>Sheet1!B1076</f>
        <v>2025-11-01</v>
      </c>
      <c r="C1076" t="str">
        <f>TEXT(Sheet1!B1076,"YYYY-MM")</f>
        <v>2025-11</v>
      </c>
      <c r="D1076" t="str">
        <f>Sheet1!D1076</f>
        <v>Pune</v>
      </c>
      <c r="E1076" t="str">
        <f>Sheet1!F1076</f>
        <v>Furniture</v>
      </c>
      <c r="F1076" t="str">
        <f>Sheet1!H1076</f>
        <v>Rahul</v>
      </c>
      <c r="G1076">
        <f>Sheet1!K1076</f>
        <v>58026</v>
      </c>
      <c r="H1076">
        <f>Sheet1!N1076</f>
        <v>16914.150000000001</v>
      </c>
      <c r="I1076">
        <f t="shared" si="19"/>
        <v>1</v>
      </c>
    </row>
    <row r="1077" spans="1:9" x14ac:dyDescent="0.3">
      <c r="A1077">
        <f>Sheet1!A1077</f>
        <v>2076</v>
      </c>
      <c r="B1077" t="str">
        <f>Sheet1!B1077</f>
        <v>2025-11-02</v>
      </c>
      <c r="C1077" t="str">
        <f>TEXT(Sheet1!B1077,"YYYY-MM")</f>
        <v>2025-11</v>
      </c>
      <c r="D1077" t="str">
        <f>Sheet1!D1077</f>
        <v>Bangalore</v>
      </c>
      <c r="E1077" t="str">
        <f>Sheet1!F1077</f>
        <v>Electronics</v>
      </c>
      <c r="F1077" t="str">
        <f>Sheet1!H1077</f>
        <v>Ajay</v>
      </c>
      <c r="G1077">
        <f>Sheet1!K1077</f>
        <v>80289.899999999994</v>
      </c>
      <c r="H1077">
        <f>Sheet1!N1077</f>
        <v>13182.37</v>
      </c>
      <c r="I1077">
        <f t="shared" si="19"/>
        <v>1</v>
      </c>
    </row>
    <row r="1078" spans="1:9" x14ac:dyDescent="0.3">
      <c r="A1078">
        <f>Sheet1!A1078</f>
        <v>2077</v>
      </c>
      <c r="B1078" t="str">
        <f>Sheet1!B1078</f>
        <v>2025-11-02</v>
      </c>
      <c r="C1078" t="str">
        <f>TEXT(Sheet1!B1078,"YYYY-MM")</f>
        <v>2025-11</v>
      </c>
      <c r="D1078" t="str">
        <f>Sheet1!D1078</f>
        <v>Bangalore</v>
      </c>
      <c r="E1078" t="str">
        <f>Sheet1!F1078</f>
        <v>Electronics</v>
      </c>
      <c r="F1078" t="str">
        <f>Sheet1!H1078</f>
        <v>Sneha</v>
      </c>
      <c r="G1078">
        <f>Sheet1!K1078</f>
        <v>8624</v>
      </c>
      <c r="H1078">
        <f>Sheet1!N1078</f>
        <v>1718.67</v>
      </c>
      <c r="I1078">
        <f t="shared" si="19"/>
        <v>1</v>
      </c>
    </row>
    <row r="1079" spans="1:9" x14ac:dyDescent="0.3">
      <c r="A1079">
        <f>Sheet1!A1079</f>
        <v>2078</v>
      </c>
      <c r="B1079" t="str">
        <f>Sheet1!B1079</f>
        <v>2025-11-02</v>
      </c>
      <c r="C1079" t="str">
        <f>TEXT(Sheet1!B1079,"YYYY-MM")</f>
        <v>2025-11</v>
      </c>
      <c r="D1079" t="str">
        <f>Sheet1!D1079</f>
        <v>Delhi</v>
      </c>
      <c r="E1079" t="str">
        <f>Sheet1!F1079</f>
        <v>Electronics</v>
      </c>
      <c r="F1079" t="str">
        <f>Sheet1!H1079</f>
        <v>Rahul</v>
      </c>
      <c r="G1079">
        <f>Sheet1!K1079</f>
        <v>122202</v>
      </c>
      <c r="H1079">
        <f>Sheet1!N1079</f>
        <v>25640.54</v>
      </c>
      <c r="I1079">
        <f t="shared" si="19"/>
        <v>1</v>
      </c>
    </row>
    <row r="1080" spans="1:9" x14ac:dyDescent="0.3">
      <c r="A1080">
        <f>Sheet1!A1080</f>
        <v>2079</v>
      </c>
      <c r="B1080" t="str">
        <f>Sheet1!B1080</f>
        <v>2025-11-02</v>
      </c>
      <c r="C1080" t="str">
        <f>TEXT(Sheet1!B1080,"YYYY-MM")</f>
        <v>2025-11</v>
      </c>
      <c r="D1080" t="str">
        <f>Sheet1!D1080</f>
        <v>Delhi</v>
      </c>
      <c r="E1080" t="str">
        <f>Sheet1!F1080</f>
        <v>Electronics</v>
      </c>
      <c r="F1080" t="str">
        <f>Sheet1!H1080</f>
        <v>Ajay</v>
      </c>
      <c r="G1080">
        <f>Sheet1!K1080</f>
        <v>105840</v>
      </c>
      <c r="H1080">
        <f>Sheet1!N1080</f>
        <v>28266.14</v>
      </c>
      <c r="I1080">
        <f t="shared" si="19"/>
        <v>1</v>
      </c>
    </row>
    <row r="1081" spans="1:9" x14ac:dyDescent="0.3">
      <c r="A1081">
        <f>Sheet1!A1081</f>
        <v>2080</v>
      </c>
      <c r="B1081" t="str">
        <f>Sheet1!B1081</f>
        <v>2025-11-03</v>
      </c>
      <c r="C1081" t="str">
        <f>TEXT(Sheet1!B1081,"YYYY-MM")</f>
        <v>2025-11</v>
      </c>
      <c r="D1081" t="str">
        <f>Sheet1!D1081</f>
        <v>Hyderabad</v>
      </c>
      <c r="E1081" t="str">
        <f>Sheet1!F1081</f>
        <v>Clothing</v>
      </c>
      <c r="F1081" t="str">
        <f>Sheet1!H1081</f>
        <v>Ajay</v>
      </c>
      <c r="G1081">
        <f>Sheet1!K1081</f>
        <v>86577.600000000006</v>
      </c>
      <c r="H1081">
        <f>Sheet1!N1081</f>
        <v>14776.25</v>
      </c>
      <c r="I1081">
        <f t="shared" si="19"/>
        <v>1</v>
      </c>
    </row>
    <row r="1082" spans="1:9" x14ac:dyDescent="0.3">
      <c r="A1082">
        <f>Sheet1!A1082</f>
        <v>2081</v>
      </c>
      <c r="B1082" t="str">
        <f>Sheet1!B1082</f>
        <v>2025-11-03</v>
      </c>
      <c r="C1082" t="str">
        <f>TEXT(Sheet1!B1082,"YYYY-MM")</f>
        <v>2025-11</v>
      </c>
      <c r="D1082" t="str">
        <f>Sheet1!D1082</f>
        <v>Bangalore</v>
      </c>
      <c r="E1082" t="str">
        <f>Sheet1!F1082</f>
        <v>Clothing</v>
      </c>
      <c r="F1082" t="str">
        <f>Sheet1!H1082</f>
        <v>Ajay</v>
      </c>
      <c r="G1082">
        <f>Sheet1!K1082</f>
        <v>130834.95</v>
      </c>
      <c r="H1082">
        <f>Sheet1!N1082</f>
        <v>38558.86</v>
      </c>
      <c r="I1082">
        <f t="shared" si="19"/>
        <v>1</v>
      </c>
    </row>
    <row r="1083" spans="1:9" x14ac:dyDescent="0.3">
      <c r="A1083">
        <f>Sheet1!A1083</f>
        <v>2082</v>
      </c>
      <c r="B1083" t="str">
        <f>Sheet1!B1083</f>
        <v>2025-11-04</v>
      </c>
      <c r="C1083" t="str">
        <f>TEXT(Sheet1!B1083,"YYYY-MM")</f>
        <v>2025-11</v>
      </c>
      <c r="D1083" t="str">
        <f>Sheet1!D1083</f>
        <v>Hyderabad</v>
      </c>
      <c r="E1083" t="str">
        <f>Sheet1!F1083</f>
        <v>Furniture</v>
      </c>
      <c r="F1083" t="str">
        <f>Sheet1!H1083</f>
        <v>Rahul</v>
      </c>
      <c r="G1083">
        <f>Sheet1!K1083</f>
        <v>88021.75</v>
      </c>
      <c r="H1083">
        <f>Sheet1!N1083</f>
        <v>10491.83</v>
      </c>
      <c r="I1083">
        <f t="shared" si="19"/>
        <v>1</v>
      </c>
    </row>
    <row r="1084" spans="1:9" x14ac:dyDescent="0.3">
      <c r="A1084">
        <f>Sheet1!A1084</f>
        <v>2083</v>
      </c>
      <c r="B1084" t="str">
        <f>Sheet1!B1084</f>
        <v>2025-11-04</v>
      </c>
      <c r="C1084" t="str">
        <f>TEXT(Sheet1!B1084,"YYYY-MM")</f>
        <v>2025-11</v>
      </c>
      <c r="D1084" t="str">
        <f>Sheet1!D1084</f>
        <v>Hyderabad</v>
      </c>
      <c r="E1084" t="str">
        <f>Sheet1!F1084</f>
        <v>Clothing</v>
      </c>
      <c r="F1084" t="str">
        <f>Sheet1!H1084</f>
        <v>Rahul</v>
      </c>
      <c r="G1084">
        <f>Sheet1!K1084</f>
        <v>16668</v>
      </c>
      <c r="H1084">
        <f>Sheet1!N1084</f>
        <v>4339.45</v>
      </c>
      <c r="I1084">
        <f t="shared" si="19"/>
        <v>1</v>
      </c>
    </row>
    <row r="1085" spans="1:9" x14ac:dyDescent="0.3">
      <c r="A1085">
        <f>Sheet1!A1085</f>
        <v>2084</v>
      </c>
      <c r="B1085" t="str">
        <f>Sheet1!B1085</f>
        <v>2025-11-04</v>
      </c>
      <c r="C1085" t="str">
        <f>TEXT(Sheet1!B1085,"YYYY-MM")</f>
        <v>2025-11</v>
      </c>
      <c r="D1085" t="str">
        <f>Sheet1!D1085</f>
        <v>Mumbai</v>
      </c>
      <c r="E1085" t="str">
        <f>Sheet1!F1085</f>
        <v>Electronics</v>
      </c>
      <c r="F1085" t="str">
        <f>Sheet1!H1085</f>
        <v>Rahul</v>
      </c>
      <c r="G1085">
        <f>Sheet1!K1085</f>
        <v>50144</v>
      </c>
      <c r="H1085">
        <f>Sheet1!N1085</f>
        <v>6184.85</v>
      </c>
      <c r="I1085">
        <f t="shared" si="19"/>
        <v>1</v>
      </c>
    </row>
    <row r="1086" spans="1:9" x14ac:dyDescent="0.3">
      <c r="A1086">
        <f>Sheet1!A1086</f>
        <v>2085</v>
      </c>
      <c r="B1086" t="str">
        <f>Sheet1!B1086</f>
        <v>2025-11-04</v>
      </c>
      <c r="C1086" t="str">
        <f>TEXT(Sheet1!B1086,"YYYY-MM")</f>
        <v>2025-11</v>
      </c>
      <c r="D1086" t="str">
        <f>Sheet1!D1086</f>
        <v>Mumbai</v>
      </c>
      <c r="E1086" t="str">
        <f>Sheet1!F1086</f>
        <v>Clothing</v>
      </c>
      <c r="F1086" t="str">
        <f>Sheet1!H1086</f>
        <v>Ajay</v>
      </c>
      <c r="G1086">
        <f>Sheet1!K1086</f>
        <v>130296</v>
      </c>
      <c r="H1086">
        <f>Sheet1!N1086</f>
        <v>13435.34</v>
      </c>
      <c r="I1086">
        <f t="shared" si="19"/>
        <v>1</v>
      </c>
    </row>
    <row r="1087" spans="1:9" x14ac:dyDescent="0.3">
      <c r="A1087">
        <f>Sheet1!A1087</f>
        <v>2086</v>
      </c>
      <c r="B1087" t="str">
        <f>Sheet1!B1087</f>
        <v>2025-11-04</v>
      </c>
      <c r="C1087" t="str">
        <f>TEXT(Sheet1!B1087,"YYYY-MM")</f>
        <v>2025-11</v>
      </c>
      <c r="D1087" t="str">
        <f>Sheet1!D1087</f>
        <v>Bangalore</v>
      </c>
      <c r="E1087" t="str">
        <f>Sheet1!F1087</f>
        <v>Electronics</v>
      </c>
      <c r="F1087" t="str">
        <f>Sheet1!H1087</f>
        <v>Sneha</v>
      </c>
      <c r="G1087">
        <f>Sheet1!K1087</f>
        <v>13576.2</v>
      </c>
      <c r="H1087">
        <f>Sheet1!N1087</f>
        <v>2995.21</v>
      </c>
      <c r="I1087">
        <f t="shared" si="19"/>
        <v>1</v>
      </c>
    </row>
    <row r="1088" spans="1:9" x14ac:dyDescent="0.3">
      <c r="A1088">
        <f>Sheet1!A1088</f>
        <v>2087</v>
      </c>
      <c r="B1088" t="str">
        <f>Sheet1!B1088</f>
        <v>2025-11-05</v>
      </c>
      <c r="C1088" t="str">
        <f>TEXT(Sheet1!B1088,"YYYY-MM")</f>
        <v>2025-11</v>
      </c>
      <c r="D1088" t="str">
        <f>Sheet1!D1088</f>
        <v>Delhi</v>
      </c>
      <c r="E1088" t="str">
        <f>Sheet1!F1088</f>
        <v>Electronics</v>
      </c>
      <c r="F1088" t="str">
        <f>Sheet1!H1088</f>
        <v>Rahul</v>
      </c>
      <c r="G1088">
        <f>Sheet1!K1088</f>
        <v>30600</v>
      </c>
      <c r="H1088">
        <f>Sheet1!N1088</f>
        <v>4281.7299999999996</v>
      </c>
      <c r="I1088">
        <f t="shared" si="19"/>
        <v>1</v>
      </c>
    </row>
    <row r="1089" spans="1:9" x14ac:dyDescent="0.3">
      <c r="A1089">
        <f>Sheet1!A1089</f>
        <v>2088</v>
      </c>
      <c r="B1089" t="str">
        <f>Sheet1!B1089</f>
        <v>2025-11-05</v>
      </c>
      <c r="C1089" t="str">
        <f>TEXT(Sheet1!B1089,"YYYY-MM")</f>
        <v>2025-11</v>
      </c>
      <c r="D1089" t="str">
        <f>Sheet1!D1089</f>
        <v>Delhi</v>
      </c>
      <c r="E1089" t="str">
        <f>Sheet1!F1089</f>
        <v>Clothing</v>
      </c>
      <c r="F1089" t="str">
        <f>Sheet1!H1089</f>
        <v>Ajay</v>
      </c>
      <c r="G1089">
        <f>Sheet1!K1089</f>
        <v>26343.9</v>
      </c>
      <c r="H1089">
        <f>Sheet1!N1089</f>
        <v>3750.13</v>
      </c>
      <c r="I1089">
        <f t="shared" si="19"/>
        <v>1</v>
      </c>
    </row>
    <row r="1090" spans="1:9" x14ac:dyDescent="0.3">
      <c r="A1090">
        <f>Sheet1!A1090</f>
        <v>2089</v>
      </c>
      <c r="B1090" t="str">
        <f>Sheet1!B1090</f>
        <v>2025-11-05</v>
      </c>
      <c r="C1090" t="str">
        <f>TEXT(Sheet1!B1090,"YYYY-MM")</f>
        <v>2025-11</v>
      </c>
      <c r="D1090" t="str">
        <f>Sheet1!D1090</f>
        <v>Hyderabad</v>
      </c>
      <c r="E1090" t="str">
        <f>Sheet1!F1090</f>
        <v>Clothing</v>
      </c>
      <c r="F1090" t="str">
        <f>Sheet1!H1090</f>
        <v>Ajay</v>
      </c>
      <c r="G1090">
        <f>Sheet1!K1090</f>
        <v>60741</v>
      </c>
      <c r="H1090">
        <f>Sheet1!N1090</f>
        <v>17292.849999999999</v>
      </c>
      <c r="I1090">
        <f t="shared" ref="I1090:I1153" si="20">IF(AND(OR(FilterCity="All",D1090=FilterCity),OR(FilterCategory="All",E1090=FilterCategory),OR(FilterRep="All",F1090=FilterRep),C1090&gt;=FilterMonthFrom,C1090&lt;=FilterMonthTo),1,0)</f>
        <v>1</v>
      </c>
    </row>
    <row r="1091" spans="1:9" x14ac:dyDescent="0.3">
      <c r="A1091">
        <f>Sheet1!A1091</f>
        <v>2090</v>
      </c>
      <c r="B1091" t="str">
        <f>Sheet1!B1091</f>
        <v>2025-11-06</v>
      </c>
      <c r="C1091" t="str">
        <f>TEXT(Sheet1!B1091,"YYYY-MM")</f>
        <v>2025-11</v>
      </c>
      <c r="D1091" t="str">
        <f>Sheet1!D1091</f>
        <v>Delhi</v>
      </c>
      <c r="E1091" t="str">
        <f>Sheet1!F1091</f>
        <v>Clothing</v>
      </c>
      <c r="F1091" t="str">
        <f>Sheet1!H1091</f>
        <v>Rahul</v>
      </c>
      <c r="G1091">
        <f>Sheet1!K1091</f>
        <v>149425.5</v>
      </c>
      <c r="H1091">
        <f>Sheet1!N1091</f>
        <v>31015.87</v>
      </c>
      <c r="I1091">
        <f t="shared" si="20"/>
        <v>1</v>
      </c>
    </row>
    <row r="1092" spans="1:9" x14ac:dyDescent="0.3">
      <c r="A1092">
        <f>Sheet1!A1092</f>
        <v>2091</v>
      </c>
      <c r="B1092" t="str">
        <f>Sheet1!B1092</f>
        <v>2025-11-06</v>
      </c>
      <c r="C1092" t="str">
        <f>TEXT(Sheet1!B1092,"YYYY-MM")</f>
        <v>2025-11</v>
      </c>
      <c r="D1092" t="str">
        <f>Sheet1!D1092</f>
        <v>Pune</v>
      </c>
      <c r="E1092" t="str">
        <f>Sheet1!F1092</f>
        <v>Clothing</v>
      </c>
      <c r="F1092" t="str">
        <f>Sheet1!H1092</f>
        <v>Pooja</v>
      </c>
      <c r="G1092">
        <f>Sheet1!K1092</f>
        <v>96201.75</v>
      </c>
      <c r="H1092">
        <f>Sheet1!N1092</f>
        <v>11106.27</v>
      </c>
      <c r="I1092">
        <f t="shared" si="20"/>
        <v>1</v>
      </c>
    </row>
    <row r="1093" spans="1:9" x14ac:dyDescent="0.3">
      <c r="A1093">
        <f>Sheet1!A1093</f>
        <v>2092</v>
      </c>
      <c r="B1093" t="str">
        <f>Sheet1!B1093</f>
        <v>2025-11-06</v>
      </c>
      <c r="C1093" t="str">
        <f>TEXT(Sheet1!B1093,"YYYY-MM")</f>
        <v>2025-11</v>
      </c>
      <c r="D1093" t="str">
        <f>Sheet1!D1093</f>
        <v>Hyderabad</v>
      </c>
      <c r="E1093" t="str">
        <f>Sheet1!F1093</f>
        <v>Clothing</v>
      </c>
      <c r="F1093" t="str">
        <f>Sheet1!H1093</f>
        <v>Pooja</v>
      </c>
      <c r="G1093">
        <f>Sheet1!K1093</f>
        <v>118898</v>
      </c>
      <c r="H1093">
        <f>Sheet1!N1093</f>
        <v>13419.21</v>
      </c>
      <c r="I1093">
        <f t="shared" si="20"/>
        <v>1</v>
      </c>
    </row>
    <row r="1094" spans="1:9" x14ac:dyDescent="0.3">
      <c r="A1094">
        <f>Sheet1!A1094</f>
        <v>2093</v>
      </c>
      <c r="B1094" t="str">
        <f>Sheet1!B1094</f>
        <v>2025-11-06</v>
      </c>
      <c r="C1094" t="str">
        <f>TEXT(Sheet1!B1094,"YYYY-MM")</f>
        <v>2025-11</v>
      </c>
      <c r="D1094" t="str">
        <f>Sheet1!D1094</f>
        <v>Bangalore</v>
      </c>
      <c r="E1094" t="str">
        <f>Sheet1!F1094</f>
        <v>Clothing</v>
      </c>
      <c r="F1094" t="str">
        <f>Sheet1!H1094</f>
        <v>Sneha</v>
      </c>
      <c r="G1094">
        <f>Sheet1!K1094</f>
        <v>110410</v>
      </c>
      <c r="H1094">
        <f>Sheet1!N1094</f>
        <v>29817.42</v>
      </c>
      <c r="I1094">
        <f t="shared" si="20"/>
        <v>1</v>
      </c>
    </row>
    <row r="1095" spans="1:9" x14ac:dyDescent="0.3">
      <c r="A1095">
        <f>Sheet1!A1095</f>
        <v>2094</v>
      </c>
      <c r="B1095" t="str">
        <f>Sheet1!B1095</f>
        <v>2025-11-07</v>
      </c>
      <c r="C1095" t="str">
        <f>TEXT(Sheet1!B1095,"YYYY-MM")</f>
        <v>2025-11</v>
      </c>
      <c r="D1095" t="str">
        <f>Sheet1!D1095</f>
        <v>Pune</v>
      </c>
      <c r="E1095" t="str">
        <f>Sheet1!F1095</f>
        <v>Furniture</v>
      </c>
      <c r="F1095" t="str">
        <f>Sheet1!H1095</f>
        <v>Rahul</v>
      </c>
      <c r="G1095">
        <f>Sheet1!K1095</f>
        <v>210082.5</v>
      </c>
      <c r="H1095">
        <f>Sheet1!N1095</f>
        <v>42171.92</v>
      </c>
      <c r="I1095">
        <f t="shared" si="20"/>
        <v>1</v>
      </c>
    </row>
    <row r="1096" spans="1:9" x14ac:dyDescent="0.3">
      <c r="A1096">
        <f>Sheet1!A1096</f>
        <v>2095</v>
      </c>
      <c r="B1096" t="str">
        <f>Sheet1!B1096</f>
        <v>2025-11-07</v>
      </c>
      <c r="C1096" t="str">
        <f>TEXT(Sheet1!B1096,"YYYY-MM")</f>
        <v>2025-11</v>
      </c>
      <c r="D1096" t="str">
        <f>Sheet1!D1096</f>
        <v>Mumbai</v>
      </c>
      <c r="E1096" t="str">
        <f>Sheet1!F1096</f>
        <v>Clothing</v>
      </c>
      <c r="F1096" t="str">
        <f>Sheet1!H1096</f>
        <v>Ajay</v>
      </c>
      <c r="G1096">
        <f>Sheet1!K1096</f>
        <v>37309</v>
      </c>
      <c r="H1096">
        <f>Sheet1!N1096</f>
        <v>6514.09</v>
      </c>
      <c r="I1096">
        <f t="shared" si="20"/>
        <v>1</v>
      </c>
    </row>
    <row r="1097" spans="1:9" x14ac:dyDescent="0.3">
      <c r="A1097">
        <f>Sheet1!A1097</f>
        <v>2096</v>
      </c>
      <c r="B1097" t="str">
        <f>Sheet1!B1097</f>
        <v>2025-11-07</v>
      </c>
      <c r="C1097" t="str">
        <f>TEXT(Sheet1!B1097,"YYYY-MM")</f>
        <v>2025-11</v>
      </c>
      <c r="D1097" t="str">
        <f>Sheet1!D1097</f>
        <v>Bangalore</v>
      </c>
      <c r="E1097" t="str">
        <f>Sheet1!F1097</f>
        <v>Electronics</v>
      </c>
      <c r="F1097" t="str">
        <f>Sheet1!H1097</f>
        <v>Ajay</v>
      </c>
      <c r="G1097">
        <f>Sheet1!K1097</f>
        <v>94886</v>
      </c>
      <c r="H1097">
        <f>Sheet1!N1097</f>
        <v>13639.84</v>
      </c>
      <c r="I1097">
        <f t="shared" si="20"/>
        <v>1</v>
      </c>
    </row>
    <row r="1098" spans="1:9" x14ac:dyDescent="0.3">
      <c r="A1098">
        <f>Sheet1!A1098</f>
        <v>2097</v>
      </c>
      <c r="B1098" t="str">
        <f>Sheet1!B1098</f>
        <v>2025-11-07</v>
      </c>
      <c r="C1098" t="str">
        <f>TEXT(Sheet1!B1098,"YYYY-MM")</f>
        <v>2025-11</v>
      </c>
      <c r="D1098" t="str">
        <f>Sheet1!D1098</f>
        <v>Pune</v>
      </c>
      <c r="E1098" t="str">
        <f>Sheet1!F1098</f>
        <v>Electronics</v>
      </c>
      <c r="F1098" t="str">
        <f>Sheet1!H1098</f>
        <v>Pooja</v>
      </c>
      <c r="G1098">
        <f>Sheet1!K1098</f>
        <v>74137</v>
      </c>
      <c r="H1098">
        <f>Sheet1!N1098</f>
        <v>8316.4699999999993</v>
      </c>
      <c r="I1098">
        <f t="shared" si="20"/>
        <v>1</v>
      </c>
    </row>
    <row r="1099" spans="1:9" x14ac:dyDescent="0.3">
      <c r="A1099">
        <f>Sheet1!A1099</f>
        <v>2098</v>
      </c>
      <c r="B1099" t="str">
        <f>Sheet1!B1099</f>
        <v>2025-11-08</v>
      </c>
      <c r="C1099" t="str">
        <f>TEXT(Sheet1!B1099,"YYYY-MM")</f>
        <v>2025-11</v>
      </c>
      <c r="D1099" t="str">
        <f>Sheet1!D1099</f>
        <v>Bangalore</v>
      </c>
      <c r="E1099" t="str">
        <f>Sheet1!F1099</f>
        <v>Clothing</v>
      </c>
      <c r="F1099" t="str">
        <f>Sheet1!H1099</f>
        <v>Sneha</v>
      </c>
      <c r="G1099">
        <f>Sheet1!K1099</f>
        <v>17858.099999999999</v>
      </c>
      <c r="H1099">
        <f>Sheet1!N1099</f>
        <v>4951.57</v>
      </c>
      <c r="I1099">
        <f t="shared" si="20"/>
        <v>1</v>
      </c>
    </row>
    <row r="1100" spans="1:9" x14ac:dyDescent="0.3">
      <c r="A1100">
        <f>Sheet1!A1100</f>
        <v>2099</v>
      </c>
      <c r="B1100" t="str">
        <f>Sheet1!B1100</f>
        <v>2025-11-08</v>
      </c>
      <c r="C1100" t="str">
        <f>TEXT(Sheet1!B1100,"YYYY-MM")</f>
        <v>2025-11</v>
      </c>
      <c r="D1100" t="str">
        <f>Sheet1!D1100</f>
        <v>Bangalore</v>
      </c>
      <c r="E1100" t="str">
        <f>Sheet1!F1100</f>
        <v>Clothing</v>
      </c>
      <c r="F1100" t="str">
        <f>Sheet1!H1100</f>
        <v>Pooja</v>
      </c>
      <c r="G1100">
        <f>Sheet1!K1100</f>
        <v>644</v>
      </c>
      <c r="H1100">
        <f>Sheet1!N1100</f>
        <v>71.989999999999995</v>
      </c>
      <c r="I1100">
        <f t="shared" si="20"/>
        <v>1</v>
      </c>
    </row>
    <row r="1101" spans="1:9" x14ac:dyDescent="0.3">
      <c r="A1101">
        <f>Sheet1!A1101</f>
        <v>2100</v>
      </c>
      <c r="B1101" t="str">
        <f>Sheet1!B1101</f>
        <v>2025-11-08</v>
      </c>
      <c r="C1101" t="str">
        <f>TEXT(Sheet1!B1101,"YYYY-MM")</f>
        <v>2025-11</v>
      </c>
      <c r="D1101" t="str">
        <f>Sheet1!D1101</f>
        <v>Bangalore</v>
      </c>
      <c r="E1101" t="str">
        <f>Sheet1!F1101</f>
        <v>Furniture</v>
      </c>
      <c r="F1101" t="str">
        <f>Sheet1!H1101</f>
        <v>Sneha</v>
      </c>
      <c r="G1101">
        <f>Sheet1!K1101</f>
        <v>180648</v>
      </c>
      <c r="H1101">
        <f>Sheet1!N1101</f>
        <v>32788.06</v>
      </c>
      <c r="I1101">
        <f t="shared" si="20"/>
        <v>1</v>
      </c>
    </row>
    <row r="1102" spans="1:9" x14ac:dyDescent="0.3">
      <c r="A1102">
        <f>Sheet1!A1102</f>
        <v>2101</v>
      </c>
      <c r="B1102" t="str">
        <f>Sheet1!B1102</f>
        <v>2025-11-08</v>
      </c>
      <c r="C1102" t="str">
        <f>TEXT(Sheet1!B1102,"YYYY-MM")</f>
        <v>2025-11</v>
      </c>
      <c r="D1102" t="str">
        <f>Sheet1!D1102</f>
        <v>Bangalore</v>
      </c>
      <c r="E1102" t="str">
        <f>Sheet1!F1102</f>
        <v>Electronics</v>
      </c>
      <c r="F1102" t="str">
        <f>Sheet1!H1102</f>
        <v>Pooja</v>
      </c>
      <c r="G1102">
        <f>Sheet1!K1102</f>
        <v>97281.9</v>
      </c>
      <c r="H1102">
        <f>Sheet1!N1102</f>
        <v>16288.45</v>
      </c>
      <c r="I1102">
        <f t="shared" si="20"/>
        <v>1</v>
      </c>
    </row>
    <row r="1103" spans="1:9" x14ac:dyDescent="0.3">
      <c r="A1103">
        <f>Sheet1!A1103</f>
        <v>2102</v>
      </c>
      <c r="B1103" t="str">
        <f>Sheet1!B1103</f>
        <v>2025-11-08</v>
      </c>
      <c r="C1103" t="str">
        <f>TEXT(Sheet1!B1103,"YYYY-MM")</f>
        <v>2025-11</v>
      </c>
      <c r="D1103" t="str">
        <f>Sheet1!D1103</f>
        <v>Delhi</v>
      </c>
      <c r="E1103" t="str">
        <f>Sheet1!F1103</f>
        <v>Furniture</v>
      </c>
      <c r="F1103" t="str">
        <f>Sheet1!H1103</f>
        <v>Ajay</v>
      </c>
      <c r="G1103">
        <f>Sheet1!K1103</f>
        <v>69344.3</v>
      </c>
      <c r="H1103">
        <f>Sheet1!N1103</f>
        <v>20535.400000000001</v>
      </c>
      <c r="I1103">
        <f t="shared" si="20"/>
        <v>1</v>
      </c>
    </row>
    <row r="1104" spans="1:9" x14ac:dyDescent="0.3">
      <c r="A1104">
        <f>Sheet1!A1104</f>
        <v>2103</v>
      </c>
      <c r="B1104" t="str">
        <f>Sheet1!B1104</f>
        <v>2025-11-09</v>
      </c>
      <c r="C1104" t="str">
        <f>TEXT(Sheet1!B1104,"YYYY-MM")</f>
        <v>2025-11</v>
      </c>
      <c r="D1104" t="str">
        <f>Sheet1!D1104</f>
        <v>Mumbai</v>
      </c>
      <c r="E1104" t="str">
        <f>Sheet1!F1104</f>
        <v>Clothing</v>
      </c>
      <c r="F1104" t="str">
        <f>Sheet1!H1104</f>
        <v>Rahul</v>
      </c>
      <c r="G1104">
        <f>Sheet1!K1104</f>
        <v>100107.9</v>
      </c>
      <c r="H1104">
        <f>Sheet1!N1104</f>
        <v>18945.47</v>
      </c>
      <c r="I1104">
        <f t="shared" si="20"/>
        <v>1</v>
      </c>
    </row>
    <row r="1105" spans="1:9" x14ac:dyDescent="0.3">
      <c r="A1105">
        <f>Sheet1!A1105</f>
        <v>2104</v>
      </c>
      <c r="B1105" t="str">
        <f>Sheet1!B1105</f>
        <v>2025-11-09</v>
      </c>
      <c r="C1105" t="str">
        <f>TEXT(Sheet1!B1105,"YYYY-MM")</f>
        <v>2025-11</v>
      </c>
      <c r="D1105" t="str">
        <f>Sheet1!D1105</f>
        <v>Hyderabad</v>
      </c>
      <c r="E1105" t="str">
        <f>Sheet1!F1105</f>
        <v>Clothing</v>
      </c>
      <c r="F1105" t="str">
        <f>Sheet1!H1105</f>
        <v>Sneha</v>
      </c>
      <c r="G1105">
        <f>Sheet1!K1105</f>
        <v>119120.4</v>
      </c>
      <c r="H1105">
        <f>Sheet1!N1105</f>
        <v>24047.48</v>
      </c>
      <c r="I1105">
        <f t="shared" si="20"/>
        <v>1</v>
      </c>
    </row>
    <row r="1106" spans="1:9" x14ac:dyDescent="0.3">
      <c r="A1106">
        <f>Sheet1!A1106</f>
        <v>2105</v>
      </c>
      <c r="B1106" t="str">
        <f>Sheet1!B1106</f>
        <v>2025-11-09</v>
      </c>
      <c r="C1106" t="str">
        <f>TEXT(Sheet1!B1106,"YYYY-MM")</f>
        <v>2025-11</v>
      </c>
      <c r="D1106" t="str">
        <f>Sheet1!D1106</f>
        <v>Pune</v>
      </c>
      <c r="E1106" t="str">
        <f>Sheet1!F1106</f>
        <v>Electronics</v>
      </c>
      <c r="F1106" t="str">
        <f>Sheet1!H1106</f>
        <v>Ajay</v>
      </c>
      <c r="G1106">
        <f>Sheet1!K1106</f>
        <v>6144</v>
      </c>
      <c r="H1106">
        <f>Sheet1!N1106</f>
        <v>674.4</v>
      </c>
      <c r="I1106">
        <f t="shared" si="20"/>
        <v>1</v>
      </c>
    </row>
    <row r="1107" spans="1:9" x14ac:dyDescent="0.3">
      <c r="A1107">
        <f>Sheet1!A1107</f>
        <v>2106</v>
      </c>
      <c r="B1107" t="str">
        <f>Sheet1!B1107</f>
        <v>2025-11-10</v>
      </c>
      <c r="C1107" t="str">
        <f>TEXT(Sheet1!B1107,"YYYY-MM")</f>
        <v>2025-11</v>
      </c>
      <c r="D1107" t="str">
        <f>Sheet1!D1107</f>
        <v>Hyderabad</v>
      </c>
      <c r="E1107" t="str">
        <f>Sheet1!F1107</f>
        <v>Electronics</v>
      </c>
      <c r="F1107" t="str">
        <f>Sheet1!H1107</f>
        <v>Sneha</v>
      </c>
      <c r="G1107">
        <f>Sheet1!K1107</f>
        <v>2107.1</v>
      </c>
      <c r="H1107">
        <f>Sheet1!N1107</f>
        <v>609.41999999999996</v>
      </c>
      <c r="I1107">
        <f t="shared" si="20"/>
        <v>1</v>
      </c>
    </row>
    <row r="1108" spans="1:9" x14ac:dyDescent="0.3">
      <c r="A1108">
        <f>Sheet1!A1108</f>
        <v>2107</v>
      </c>
      <c r="B1108" t="str">
        <f>Sheet1!B1108</f>
        <v>2025-11-10</v>
      </c>
      <c r="C1108" t="str">
        <f>TEXT(Sheet1!B1108,"YYYY-MM")</f>
        <v>2025-11</v>
      </c>
      <c r="D1108" t="str">
        <f>Sheet1!D1108</f>
        <v>Delhi</v>
      </c>
      <c r="E1108" t="str">
        <f>Sheet1!F1108</f>
        <v>Electronics</v>
      </c>
      <c r="F1108" t="str">
        <f>Sheet1!H1108</f>
        <v>Ajay</v>
      </c>
      <c r="G1108">
        <f>Sheet1!K1108</f>
        <v>16246.9</v>
      </c>
      <c r="H1108">
        <f>Sheet1!N1108</f>
        <v>2243.4299999999998</v>
      </c>
      <c r="I1108">
        <f t="shared" si="20"/>
        <v>1</v>
      </c>
    </row>
    <row r="1109" spans="1:9" x14ac:dyDescent="0.3">
      <c r="A1109">
        <f>Sheet1!A1109</f>
        <v>2108</v>
      </c>
      <c r="B1109" t="str">
        <f>Sheet1!B1109</f>
        <v>2025-11-10</v>
      </c>
      <c r="C1109" t="str">
        <f>TEXT(Sheet1!B1109,"YYYY-MM")</f>
        <v>2025-11</v>
      </c>
      <c r="D1109" t="str">
        <f>Sheet1!D1109</f>
        <v>Hyderabad</v>
      </c>
      <c r="E1109" t="str">
        <f>Sheet1!F1109</f>
        <v>Furniture</v>
      </c>
      <c r="F1109" t="str">
        <f>Sheet1!H1109</f>
        <v>Sneha</v>
      </c>
      <c r="G1109">
        <f>Sheet1!K1109</f>
        <v>13563</v>
      </c>
      <c r="H1109">
        <f>Sheet1!N1109</f>
        <v>2762.13</v>
      </c>
      <c r="I1109">
        <f t="shared" si="20"/>
        <v>1</v>
      </c>
    </row>
    <row r="1110" spans="1:9" x14ac:dyDescent="0.3">
      <c r="A1110">
        <f>Sheet1!A1110</f>
        <v>2109</v>
      </c>
      <c r="B1110" t="str">
        <f>Sheet1!B1110</f>
        <v>2025-11-10</v>
      </c>
      <c r="C1110" t="str">
        <f>TEXT(Sheet1!B1110,"YYYY-MM")</f>
        <v>2025-11</v>
      </c>
      <c r="D1110" t="str">
        <f>Sheet1!D1110</f>
        <v>Bangalore</v>
      </c>
      <c r="E1110" t="str">
        <f>Sheet1!F1110</f>
        <v>Electronics</v>
      </c>
      <c r="F1110" t="str">
        <f>Sheet1!H1110</f>
        <v>Ajay</v>
      </c>
      <c r="G1110">
        <f>Sheet1!K1110</f>
        <v>33756.050000000003</v>
      </c>
      <c r="H1110">
        <f>Sheet1!N1110</f>
        <v>5958.29</v>
      </c>
      <c r="I1110">
        <f t="shared" si="20"/>
        <v>1</v>
      </c>
    </row>
    <row r="1111" spans="1:9" x14ac:dyDescent="0.3">
      <c r="A1111">
        <f>Sheet1!A1111</f>
        <v>2110</v>
      </c>
      <c r="B1111" t="str">
        <f>Sheet1!B1111</f>
        <v>2025-11-11</v>
      </c>
      <c r="C1111" t="str">
        <f>TEXT(Sheet1!B1111,"YYYY-MM")</f>
        <v>2025-11</v>
      </c>
      <c r="D1111" t="str">
        <f>Sheet1!D1111</f>
        <v>Pune</v>
      </c>
      <c r="E1111" t="str">
        <f>Sheet1!F1111</f>
        <v>Clothing</v>
      </c>
      <c r="F1111" t="str">
        <f>Sheet1!H1111</f>
        <v>Sneha</v>
      </c>
      <c r="G1111">
        <f>Sheet1!K1111</f>
        <v>168266</v>
      </c>
      <c r="H1111">
        <f>Sheet1!N1111</f>
        <v>26437.79</v>
      </c>
      <c r="I1111">
        <f t="shared" si="20"/>
        <v>1</v>
      </c>
    </row>
    <row r="1112" spans="1:9" x14ac:dyDescent="0.3">
      <c r="A1112">
        <f>Sheet1!A1112</f>
        <v>2111</v>
      </c>
      <c r="B1112" t="str">
        <f>Sheet1!B1112</f>
        <v>2025-11-11</v>
      </c>
      <c r="C1112" t="str">
        <f>TEXT(Sheet1!B1112,"YYYY-MM")</f>
        <v>2025-11</v>
      </c>
      <c r="D1112" t="str">
        <f>Sheet1!D1112</f>
        <v>Delhi</v>
      </c>
      <c r="E1112" t="str">
        <f>Sheet1!F1112</f>
        <v>Furniture</v>
      </c>
      <c r="F1112" t="str">
        <f>Sheet1!H1112</f>
        <v>Pooja</v>
      </c>
      <c r="G1112">
        <f>Sheet1!K1112</f>
        <v>31414.6</v>
      </c>
      <c r="H1112">
        <f>Sheet1!N1112</f>
        <v>4389.84</v>
      </c>
      <c r="I1112">
        <f t="shared" si="20"/>
        <v>1</v>
      </c>
    </row>
    <row r="1113" spans="1:9" x14ac:dyDescent="0.3">
      <c r="A1113">
        <f>Sheet1!A1113</f>
        <v>2112</v>
      </c>
      <c r="B1113" t="str">
        <f>Sheet1!B1113</f>
        <v>2025-11-11</v>
      </c>
      <c r="C1113" t="str">
        <f>TEXT(Sheet1!B1113,"YYYY-MM")</f>
        <v>2025-11</v>
      </c>
      <c r="D1113" t="str">
        <f>Sheet1!D1113</f>
        <v>Pune</v>
      </c>
      <c r="E1113" t="str">
        <f>Sheet1!F1113</f>
        <v>Furniture</v>
      </c>
      <c r="F1113" t="str">
        <f>Sheet1!H1113</f>
        <v>Sneha</v>
      </c>
      <c r="G1113">
        <f>Sheet1!K1113</f>
        <v>45189.599999999999</v>
      </c>
      <c r="H1113">
        <f>Sheet1!N1113</f>
        <v>13268.63</v>
      </c>
      <c r="I1113">
        <f t="shared" si="20"/>
        <v>1</v>
      </c>
    </row>
    <row r="1114" spans="1:9" x14ac:dyDescent="0.3">
      <c r="A1114">
        <f>Sheet1!A1114</f>
        <v>2113</v>
      </c>
      <c r="B1114" t="str">
        <f>Sheet1!B1114</f>
        <v>2025-11-12</v>
      </c>
      <c r="C1114" t="str">
        <f>TEXT(Sheet1!B1114,"YYYY-MM")</f>
        <v>2025-11</v>
      </c>
      <c r="D1114" t="str">
        <f>Sheet1!D1114</f>
        <v>Pune</v>
      </c>
      <c r="E1114" t="str">
        <f>Sheet1!F1114</f>
        <v>Clothing</v>
      </c>
      <c r="F1114" t="str">
        <f>Sheet1!H1114</f>
        <v>Ajay</v>
      </c>
      <c r="G1114">
        <f>Sheet1!K1114</f>
        <v>66036.600000000006</v>
      </c>
      <c r="H1114">
        <f>Sheet1!N1114</f>
        <v>17177.419999999998</v>
      </c>
      <c r="I1114">
        <f t="shared" si="20"/>
        <v>1</v>
      </c>
    </row>
    <row r="1115" spans="1:9" x14ac:dyDescent="0.3">
      <c r="A1115">
        <f>Sheet1!A1115</f>
        <v>2114</v>
      </c>
      <c r="B1115" t="str">
        <f>Sheet1!B1115</f>
        <v>2025-11-12</v>
      </c>
      <c r="C1115" t="str">
        <f>TEXT(Sheet1!B1115,"YYYY-MM")</f>
        <v>2025-11</v>
      </c>
      <c r="D1115" t="str">
        <f>Sheet1!D1115</f>
        <v>Pune</v>
      </c>
      <c r="E1115" t="str">
        <f>Sheet1!F1115</f>
        <v>Electronics</v>
      </c>
      <c r="F1115" t="str">
        <f>Sheet1!H1115</f>
        <v>Rahul</v>
      </c>
      <c r="G1115">
        <f>Sheet1!K1115</f>
        <v>57524.6</v>
      </c>
      <c r="H1115">
        <f>Sheet1!N1115</f>
        <v>16908.23</v>
      </c>
      <c r="I1115">
        <f t="shared" si="20"/>
        <v>1</v>
      </c>
    </row>
    <row r="1116" spans="1:9" x14ac:dyDescent="0.3">
      <c r="A1116">
        <f>Sheet1!A1116</f>
        <v>2115</v>
      </c>
      <c r="B1116" t="str">
        <f>Sheet1!B1116</f>
        <v>2025-11-13</v>
      </c>
      <c r="C1116" t="str">
        <f>TEXT(Sheet1!B1116,"YYYY-MM")</f>
        <v>2025-11</v>
      </c>
      <c r="D1116" t="str">
        <f>Sheet1!D1116</f>
        <v>Hyderabad</v>
      </c>
      <c r="E1116" t="str">
        <f>Sheet1!F1116</f>
        <v>Furniture</v>
      </c>
      <c r="F1116" t="str">
        <f>Sheet1!H1116</f>
        <v>Pooja</v>
      </c>
      <c r="G1116">
        <f>Sheet1!K1116</f>
        <v>33256.800000000003</v>
      </c>
      <c r="H1116">
        <f>Sheet1!N1116</f>
        <v>8664.66</v>
      </c>
      <c r="I1116">
        <f t="shared" si="20"/>
        <v>1</v>
      </c>
    </row>
    <row r="1117" spans="1:9" x14ac:dyDescent="0.3">
      <c r="A1117">
        <f>Sheet1!A1117</f>
        <v>2116</v>
      </c>
      <c r="B1117" t="str">
        <f>Sheet1!B1117</f>
        <v>2025-11-13</v>
      </c>
      <c r="C1117" t="str">
        <f>TEXT(Sheet1!B1117,"YYYY-MM")</f>
        <v>2025-11</v>
      </c>
      <c r="D1117" t="str">
        <f>Sheet1!D1117</f>
        <v>Mumbai</v>
      </c>
      <c r="E1117" t="str">
        <f>Sheet1!F1117</f>
        <v>Furniture</v>
      </c>
      <c r="F1117" t="str">
        <f>Sheet1!H1117</f>
        <v>Ajay</v>
      </c>
      <c r="G1117">
        <f>Sheet1!K1117</f>
        <v>139815</v>
      </c>
      <c r="H1117">
        <f>Sheet1!N1117</f>
        <v>39295.360000000001</v>
      </c>
      <c r="I1117">
        <f t="shared" si="20"/>
        <v>1</v>
      </c>
    </row>
    <row r="1118" spans="1:9" x14ac:dyDescent="0.3">
      <c r="A1118">
        <f>Sheet1!A1118</f>
        <v>2117</v>
      </c>
      <c r="B1118" t="str">
        <f>Sheet1!B1118</f>
        <v>2025-11-13</v>
      </c>
      <c r="C1118" t="str">
        <f>TEXT(Sheet1!B1118,"YYYY-MM")</f>
        <v>2025-11</v>
      </c>
      <c r="D1118" t="str">
        <f>Sheet1!D1118</f>
        <v>Hyderabad</v>
      </c>
      <c r="E1118" t="str">
        <f>Sheet1!F1118</f>
        <v>Furniture</v>
      </c>
      <c r="F1118" t="str">
        <f>Sheet1!H1118</f>
        <v>Sneha</v>
      </c>
      <c r="G1118">
        <f>Sheet1!K1118</f>
        <v>24384.799999999999</v>
      </c>
      <c r="H1118">
        <f>Sheet1!N1118</f>
        <v>5770.95</v>
      </c>
      <c r="I1118">
        <f t="shared" si="20"/>
        <v>1</v>
      </c>
    </row>
    <row r="1119" spans="1:9" x14ac:dyDescent="0.3">
      <c r="A1119">
        <f>Sheet1!A1119</f>
        <v>2118</v>
      </c>
      <c r="B1119" t="str">
        <f>Sheet1!B1119</f>
        <v>2025-11-14</v>
      </c>
      <c r="C1119" t="str">
        <f>TEXT(Sheet1!B1119,"YYYY-MM")</f>
        <v>2025-11</v>
      </c>
      <c r="D1119" t="str">
        <f>Sheet1!D1119</f>
        <v>Hyderabad</v>
      </c>
      <c r="E1119" t="str">
        <f>Sheet1!F1119</f>
        <v>Furniture</v>
      </c>
      <c r="F1119" t="str">
        <f>Sheet1!H1119</f>
        <v>Rahul</v>
      </c>
      <c r="G1119">
        <f>Sheet1!K1119</f>
        <v>205117.75</v>
      </c>
      <c r="H1119">
        <f>Sheet1!N1119</f>
        <v>50432.2</v>
      </c>
      <c r="I1119">
        <f t="shared" si="20"/>
        <v>1</v>
      </c>
    </row>
    <row r="1120" spans="1:9" x14ac:dyDescent="0.3">
      <c r="A1120">
        <f>Sheet1!A1120</f>
        <v>2119</v>
      </c>
      <c r="B1120" t="str">
        <f>Sheet1!B1120</f>
        <v>2025-11-14</v>
      </c>
      <c r="C1120" t="str">
        <f>TEXT(Sheet1!B1120,"YYYY-MM")</f>
        <v>2025-11</v>
      </c>
      <c r="D1120" t="str">
        <f>Sheet1!D1120</f>
        <v>Pune</v>
      </c>
      <c r="E1120" t="str">
        <f>Sheet1!F1120</f>
        <v>Furniture</v>
      </c>
      <c r="F1120" t="str">
        <f>Sheet1!H1120</f>
        <v>Pooja</v>
      </c>
      <c r="G1120">
        <f>Sheet1!K1120</f>
        <v>68799</v>
      </c>
      <c r="H1120">
        <f>Sheet1!N1120</f>
        <v>16325.52</v>
      </c>
      <c r="I1120">
        <f t="shared" si="20"/>
        <v>1</v>
      </c>
    </row>
    <row r="1121" spans="1:9" x14ac:dyDescent="0.3">
      <c r="A1121">
        <f>Sheet1!A1121</f>
        <v>2120</v>
      </c>
      <c r="B1121" t="str">
        <f>Sheet1!B1121</f>
        <v>2025-11-15</v>
      </c>
      <c r="C1121" t="str">
        <f>TEXT(Sheet1!B1121,"YYYY-MM")</f>
        <v>2025-11</v>
      </c>
      <c r="D1121" t="str">
        <f>Sheet1!D1121</f>
        <v>Bangalore</v>
      </c>
      <c r="E1121" t="str">
        <f>Sheet1!F1121</f>
        <v>Electronics</v>
      </c>
      <c r="F1121" t="str">
        <f>Sheet1!H1121</f>
        <v>Ajay</v>
      </c>
      <c r="G1121">
        <f>Sheet1!K1121</f>
        <v>69938</v>
      </c>
      <c r="H1121">
        <f>Sheet1!N1121</f>
        <v>17217.830000000002</v>
      </c>
      <c r="I1121">
        <f t="shared" si="20"/>
        <v>1</v>
      </c>
    </row>
    <row r="1122" spans="1:9" x14ac:dyDescent="0.3">
      <c r="A1122">
        <f>Sheet1!A1122</f>
        <v>2121</v>
      </c>
      <c r="B1122" t="str">
        <f>Sheet1!B1122</f>
        <v>2025-11-15</v>
      </c>
      <c r="C1122" t="str">
        <f>TEXT(Sheet1!B1122,"YYYY-MM")</f>
        <v>2025-11</v>
      </c>
      <c r="D1122" t="str">
        <f>Sheet1!D1122</f>
        <v>Mumbai</v>
      </c>
      <c r="E1122" t="str">
        <f>Sheet1!F1122</f>
        <v>Electronics</v>
      </c>
      <c r="F1122" t="str">
        <f>Sheet1!H1122</f>
        <v>Pooja</v>
      </c>
      <c r="G1122">
        <f>Sheet1!K1122</f>
        <v>12084.95</v>
      </c>
      <c r="H1122">
        <f>Sheet1!N1122</f>
        <v>1299.71</v>
      </c>
      <c r="I1122">
        <f t="shared" si="20"/>
        <v>1</v>
      </c>
    </row>
    <row r="1123" spans="1:9" x14ac:dyDescent="0.3">
      <c r="A1123">
        <f>Sheet1!A1123</f>
        <v>2122</v>
      </c>
      <c r="B1123" t="str">
        <f>Sheet1!B1123</f>
        <v>2025-11-15</v>
      </c>
      <c r="C1123" t="str">
        <f>TEXT(Sheet1!B1123,"YYYY-MM")</f>
        <v>2025-11</v>
      </c>
      <c r="D1123" t="str">
        <f>Sheet1!D1123</f>
        <v>Bangalore</v>
      </c>
      <c r="E1123" t="str">
        <f>Sheet1!F1123</f>
        <v>Furniture</v>
      </c>
      <c r="F1123" t="str">
        <f>Sheet1!H1123</f>
        <v>Ajay</v>
      </c>
      <c r="G1123">
        <f>Sheet1!K1123</f>
        <v>60175.8</v>
      </c>
      <c r="H1123">
        <f>Sheet1!N1123</f>
        <v>16796.61</v>
      </c>
      <c r="I1123">
        <f t="shared" si="20"/>
        <v>1</v>
      </c>
    </row>
    <row r="1124" spans="1:9" x14ac:dyDescent="0.3">
      <c r="A1124">
        <f>Sheet1!A1124</f>
        <v>2123</v>
      </c>
      <c r="B1124" t="str">
        <f>Sheet1!B1124</f>
        <v>2025-11-15</v>
      </c>
      <c r="C1124" t="str">
        <f>TEXT(Sheet1!B1124,"YYYY-MM")</f>
        <v>2025-11</v>
      </c>
      <c r="D1124" t="str">
        <f>Sheet1!D1124</f>
        <v>Bangalore</v>
      </c>
      <c r="E1124" t="str">
        <f>Sheet1!F1124</f>
        <v>Clothing</v>
      </c>
      <c r="F1124" t="str">
        <f>Sheet1!H1124</f>
        <v>Ajay</v>
      </c>
      <c r="G1124">
        <f>Sheet1!K1124</f>
        <v>6329.1</v>
      </c>
      <c r="H1124">
        <f>Sheet1!N1124</f>
        <v>1384.95</v>
      </c>
      <c r="I1124">
        <f t="shared" si="20"/>
        <v>1</v>
      </c>
    </row>
    <row r="1125" spans="1:9" x14ac:dyDescent="0.3">
      <c r="A1125">
        <f>Sheet1!A1125</f>
        <v>2124</v>
      </c>
      <c r="B1125" t="str">
        <f>Sheet1!B1125</f>
        <v>2025-11-16</v>
      </c>
      <c r="C1125" t="str">
        <f>TEXT(Sheet1!B1125,"YYYY-MM")</f>
        <v>2025-11</v>
      </c>
      <c r="D1125" t="str">
        <f>Sheet1!D1125</f>
        <v>Delhi</v>
      </c>
      <c r="E1125" t="str">
        <f>Sheet1!F1125</f>
        <v>Electronics</v>
      </c>
      <c r="F1125" t="str">
        <f>Sheet1!H1125</f>
        <v>Sneha</v>
      </c>
      <c r="G1125">
        <f>Sheet1!K1125</f>
        <v>77439.25</v>
      </c>
      <c r="H1125">
        <f>Sheet1!N1125</f>
        <v>21996.240000000002</v>
      </c>
      <c r="I1125">
        <f t="shared" si="20"/>
        <v>1</v>
      </c>
    </row>
    <row r="1126" spans="1:9" x14ac:dyDescent="0.3">
      <c r="A1126">
        <f>Sheet1!A1126</f>
        <v>2125</v>
      </c>
      <c r="B1126" t="str">
        <f>Sheet1!B1126</f>
        <v>2025-11-16</v>
      </c>
      <c r="C1126" t="str">
        <f>TEXT(Sheet1!B1126,"YYYY-MM")</f>
        <v>2025-11</v>
      </c>
      <c r="D1126" t="str">
        <f>Sheet1!D1126</f>
        <v>Mumbai</v>
      </c>
      <c r="E1126" t="str">
        <f>Sheet1!F1126</f>
        <v>Furniture</v>
      </c>
      <c r="F1126" t="str">
        <f>Sheet1!H1126</f>
        <v>Pooja</v>
      </c>
      <c r="G1126">
        <f>Sheet1!K1126</f>
        <v>163320</v>
      </c>
      <c r="H1126">
        <f>Sheet1!N1126</f>
        <v>20294.099999999999</v>
      </c>
      <c r="I1126">
        <f t="shared" si="20"/>
        <v>1</v>
      </c>
    </row>
    <row r="1127" spans="1:9" x14ac:dyDescent="0.3">
      <c r="A1127">
        <f>Sheet1!A1127</f>
        <v>2126</v>
      </c>
      <c r="B1127" t="str">
        <f>Sheet1!B1127</f>
        <v>2025-11-16</v>
      </c>
      <c r="C1127" t="str">
        <f>TEXT(Sheet1!B1127,"YYYY-MM")</f>
        <v>2025-11</v>
      </c>
      <c r="D1127" t="str">
        <f>Sheet1!D1127</f>
        <v>Pune</v>
      </c>
      <c r="E1127" t="str">
        <f>Sheet1!F1127</f>
        <v>Electronics</v>
      </c>
      <c r="F1127" t="str">
        <f>Sheet1!H1127</f>
        <v>Sneha</v>
      </c>
      <c r="G1127">
        <f>Sheet1!K1127</f>
        <v>11658</v>
      </c>
      <c r="H1127">
        <f>Sheet1!N1127</f>
        <v>2941.89</v>
      </c>
      <c r="I1127">
        <f t="shared" si="20"/>
        <v>1</v>
      </c>
    </row>
    <row r="1128" spans="1:9" x14ac:dyDescent="0.3">
      <c r="A1128">
        <f>Sheet1!A1128</f>
        <v>2127</v>
      </c>
      <c r="B1128" t="str">
        <f>Sheet1!B1128</f>
        <v>2025-11-16</v>
      </c>
      <c r="C1128" t="str">
        <f>TEXT(Sheet1!B1128,"YYYY-MM")</f>
        <v>2025-11</v>
      </c>
      <c r="D1128" t="str">
        <f>Sheet1!D1128</f>
        <v>Delhi</v>
      </c>
      <c r="E1128" t="str">
        <f>Sheet1!F1128</f>
        <v>Electronics</v>
      </c>
      <c r="F1128" t="str">
        <f>Sheet1!H1128</f>
        <v>Rahul</v>
      </c>
      <c r="G1128">
        <f>Sheet1!K1128</f>
        <v>27392.400000000001</v>
      </c>
      <c r="H1128">
        <f>Sheet1!N1128</f>
        <v>5119.05</v>
      </c>
      <c r="I1128">
        <f t="shared" si="20"/>
        <v>1</v>
      </c>
    </row>
    <row r="1129" spans="1:9" x14ac:dyDescent="0.3">
      <c r="A1129">
        <f>Sheet1!A1129</f>
        <v>2128</v>
      </c>
      <c r="B1129" t="str">
        <f>Sheet1!B1129</f>
        <v>2025-11-17</v>
      </c>
      <c r="C1129" t="str">
        <f>TEXT(Sheet1!B1129,"YYYY-MM")</f>
        <v>2025-11</v>
      </c>
      <c r="D1129" t="str">
        <f>Sheet1!D1129</f>
        <v>Pune</v>
      </c>
      <c r="E1129" t="str">
        <f>Sheet1!F1129</f>
        <v>Electronics</v>
      </c>
      <c r="F1129" t="str">
        <f>Sheet1!H1129</f>
        <v>Sneha</v>
      </c>
      <c r="G1129">
        <f>Sheet1!K1129</f>
        <v>25513.200000000001</v>
      </c>
      <c r="H1129">
        <f>Sheet1!N1129</f>
        <v>2682.77</v>
      </c>
      <c r="I1129">
        <f t="shared" si="20"/>
        <v>1</v>
      </c>
    </row>
    <row r="1130" spans="1:9" x14ac:dyDescent="0.3">
      <c r="A1130">
        <f>Sheet1!A1130</f>
        <v>2129</v>
      </c>
      <c r="B1130" t="str">
        <f>Sheet1!B1130</f>
        <v>2025-11-17</v>
      </c>
      <c r="C1130" t="str">
        <f>TEXT(Sheet1!B1130,"YYYY-MM")</f>
        <v>2025-11</v>
      </c>
      <c r="D1130" t="str">
        <f>Sheet1!D1130</f>
        <v>Bangalore</v>
      </c>
      <c r="E1130" t="str">
        <f>Sheet1!F1130</f>
        <v>Clothing</v>
      </c>
      <c r="F1130" t="str">
        <f>Sheet1!H1130</f>
        <v>Rahul</v>
      </c>
      <c r="G1130">
        <f>Sheet1!K1130</f>
        <v>13297.4</v>
      </c>
      <c r="H1130">
        <f>Sheet1!N1130</f>
        <v>3343.75</v>
      </c>
      <c r="I1130">
        <f t="shared" si="20"/>
        <v>1</v>
      </c>
    </row>
    <row r="1131" spans="1:9" x14ac:dyDescent="0.3">
      <c r="A1131">
        <f>Sheet1!A1131</f>
        <v>2130</v>
      </c>
      <c r="B1131" t="str">
        <f>Sheet1!B1131</f>
        <v>2025-11-17</v>
      </c>
      <c r="C1131" t="str">
        <f>TEXT(Sheet1!B1131,"YYYY-MM")</f>
        <v>2025-11</v>
      </c>
      <c r="D1131" t="str">
        <f>Sheet1!D1131</f>
        <v>Delhi</v>
      </c>
      <c r="E1131" t="str">
        <f>Sheet1!F1131</f>
        <v>Furniture</v>
      </c>
      <c r="F1131" t="str">
        <f>Sheet1!H1131</f>
        <v>Ajay</v>
      </c>
      <c r="G1131">
        <f>Sheet1!K1131</f>
        <v>50622.6</v>
      </c>
      <c r="H1131">
        <f>Sheet1!N1131</f>
        <v>8754.0499999999993</v>
      </c>
      <c r="I1131">
        <f t="shared" si="20"/>
        <v>1</v>
      </c>
    </row>
    <row r="1132" spans="1:9" x14ac:dyDescent="0.3">
      <c r="A1132">
        <f>Sheet1!A1132</f>
        <v>2131</v>
      </c>
      <c r="B1132" t="str">
        <f>Sheet1!B1132</f>
        <v>2025-11-17</v>
      </c>
      <c r="C1132" t="str">
        <f>TEXT(Sheet1!B1132,"YYYY-MM")</f>
        <v>2025-11</v>
      </c>
      <c r="D1132" t="str">
        <f>Sheet1!D1132</f>
        <v>Bangalore</v>
      </c>
      <c r="E1132" t="str">
        <f>Sheet1!F1132</f>
        <v>Clothing</v>
      </c>
      <c r="F1132" t="str">
        <f>Sheet1!H1132</f>
        <v>Ajay</v>
      </c>
      <c r="G1132">
        <f>Sheet1!K1132</f>
        <v>41056.199999999997</v>
      </c>
      <c r="H1132">
        <f>Sheet1!N1132</f>
        <v>10644.42</v>
      </c>
      <c r="I1132">
        <f t="shared" si="20"/>
        <v>1</v>
      </c>
    </row>
    <row r="1133" spans="1:9" x14ac:dyDescent="0.3">
      <c r="A1133">
        <f>Sheet1!A1133</f>
        <v>2132</v>
      </c>
      <c r="B1133" t="str">
        <f>Sheet1!B1133</f>
        <v>2025-11-18</v>
      </c>
      <c r="C1133" t="str">
        <f>TEXT(Sheet1!B1133,"YYYY-MM")</f>
        <v>2025-11</v>
      </c>
      <c r="D1133" t="str">
        <f>Sheet1!D1133</f>
        <v>Bangalore</v>
      </c>
      <c r="E1133" t="str">
        <f>Sheet1!F1133</f>
        <v>Electronics</v>
      </c>
      <c r="F1133" t="str">
        <f>Sheet1!H1133</f>
        <v>Ajay</v>
      </c>
      <c r="G1133">
        <f>Sheet1!K1133</f>
        <v>62584.1</v>
      </c>
      <c r="H1133">
        <f>Sheet1!N1133</f>
        <v>13121.78</v>
      </c>
      <c r="I1133">
        <f t="shared" si="20"/>
        <v>1</v>
      </c>
    </row>
    <row r="1134" spans="1:9" x14ac:dyDescent="0.3">
      <c r="A1134">
        <f>Sheet1!A1134</f>
        <v>2133</v>
      </c>
      <c r="B1134" t="str">
        <f>Sheet1!B1134</f>
        <v>2025-11-18</v>
      </c>
      <c r="C1134" t="str">
        <f>TEXT(Sheet1!B1134,"YYYY-MM")</f>
        <v>2025-11</v>
      </c>
      <c r="D1134" t="str">
        <f>Sheet1!D1134</f>
        <v>Bangalore</v>
      </c>
      <c r="E1134" t="str">
        <f>Sheet1!F1134</f>
        <v>Electronics</v>
      </c>
      <c r="F1134" t="str">
        <f>Sheet1!H1134</f>
        <v>Pooja</v>
      </c>
      <c r="G1134">
        <f>Sheet1!K1134</f>
        <v>39088.800000000003</v>
      </c>
      <c r="H1134">
        <f>Sheet1!N1134</f>
        <v>10727.01</v>
      </c>
      <c r="I1134">
        <f t="shared" si="20"/>
        <v>1</v>
      </c>
    </row>
    <row r="1135" spans="1:9" x14ac:dyDescent="0.3">
      <c r="A1135">
        <f>Sheet1!A1135</f>
        <v>2134</v>
      </c>
      <c r="B1135" t="str">
        <f>Sheet1!B1135</f>
        <v>2025-11-18</v>
      </c>
      <c r="C1135" t="str">
        <f>TEXT(Sheet1!B1135,"YYYY-MM")</f>
        <v>2025-11</v>
      </c>
      <c r="D1135" t="str">
        <f>Sheet1!D1135</f>
        <v>Hyderabad</v>
      </c>
      <c r="E1135" t="str">
        <f>Sheet1!F1135</f>
        <v>Clothing</v>
      </c>
      <c r="F1135" t="str">
        <f>Sheet1!H1135</f>
        <v>Rahul</v>
      </c>
      <c r="G1135">
        <f>Sheet1!K1135</f>
        <v>232300</v>
      </c>
      <c r="H1135">
        <f>Sheet1!N1135</f>
        <v>55357.94</v>
      </c>
      <c r="I1135">
        <f t="shared" si="20"/>
        <v>1</v>
      </c>
    </row>
    <row r="1136" spans="1:9" x14ac:dyDescent="0.3">
      <c r="A1136">
        <f>Sheet1!A1136</f>
        <v>2135</v>
      </c>
      <c r="B1136" t="str">
        <f>Sheet1!B1136</f>
        <v>2025-11-18</v>
      </c>
      <c r="C1136" t="str">
        <f>TEXT(Sheet1!B1136,"YYYY-MM")</f>
        <v>2025-11</v>
      </c>
      <c r="D1136" t="str">
        <f>Sheet1!D1136</f>
        <v>Bangalore</v>
      </c>
      <c r="E1136" t="str">
        <f>Sheet1!F1136</f>
        <v>Clothing</v>
      </c>
      <c r="F1136" t="str">
        <f>Sheet1!H1136</f>
        <v>Sneha</v>
      </c>
      <c r="G1136">
        <f>Sheet1!K1136</f>
        <v>120324.15</v>
      </c>
      <c r="H1136">
        <f>Sheet1!N1136</f>
        <v>32625.13</v>
      </c>
      <c r="I1136">
        <f t="shared" si="20"/>
        <v>1</v>
      </c>
    </row>
    <row r="1137" spans="1:9" x14ac:dyDescent="0.3">
      <c r="A1137">
        <f>Sheet1!A1137</f>
        <v>2136</v>
      </c>
      <c r="B1137" t="str">
        <f>Sheet1!B1137</f>
        <v>2025-11-18</v>
      </c>
      <c r="C1137" t="str">
        <f>TEXT(Sheet1!B1137,"YYYY-MM")</f>
        <v>2025-11</v>
      </c>
      <c r="D1137" t="str">
        <f>Sheet1!D1137</f>
        <v>Hyderabad</v>
      </c>
      <c r="E1137" t="str">
        <f>Sheet1!F1137</f>
        <v>Clothing</v>
      </c>
      <c r="F1137" t="str">
        <f>Sheet1!H1137</f>
        <v>Sneha</v>
      </c>
      <c r="G1137">
        <f>Sheet1!K1137</f>
        <v>147834</v>
      </c>
      <c r="H1137">
        <f>Sheet1!N1137</f>
        <v>15852.47</v>
      </c>
      <c r="I1137">
        <f t="shared" si="20"/>
        <v>1</v>
      </c>
    </row>
    <row r="1138" spans="1:9" x14ac:dyDescent="0.3">
      <c r="A1138">
        <f>Sheet1!A1138</f>
        <v>2137</v>
      </c>
      <c r="B1138" t="str">
        <f>Sheet1!B1138</f>
        <v>2025-11-19</v>
      </c>
      <c r="C1138" t="str">
        <f>TEXT(Sheet1!B1138,"YYYY-MM")</f>
        <v>2025-11</v>
      </c>
      <c r="D1138" t="str">
        <f>Sheet1!D1138</f>
        <v>Pune</v>
      </c>
      <c r="E1138" t="str">
        <f>Sheet1!F1138</f>
        <v>Electronics</v>
      </c>
      <c r="F1138" t="str">
        <f>Sheet1!H1138</f>
        <v>Rahul</v>
      </c>
      <c r="G1138">
        <f>Sheet1!K1138</f>
        <v>129785.2</v>
      </c>
      <c r="H1138">
        <f>Sheet1!N1138</f>
        <v>33426.42</v>
      </c>
      <c r="I1138">
        <f t="shared" si="20"/>
        <v>1</v>
      </c>
    </row>
    <row r="1139" spans="1:9" x14ac:dyDescent="0.3">
      <c r="A1139">
        <f>Sheet1!A1139</f>
        <v>2138</v>
      </c>
      <c r="B1139" t="str">
        <f>Sheet1!B1139</f>
        <v>2025-11-19</v>
      </c>
      <c r="C1139" t="str">
        <f>TEXT(Sheet1!B1139,"YYYY-MM")</f>
        <v>2025-11</v>
      </c>
      <c r="D1139" t="str">
        <f>Sheet1!D1139</f>
        <v>Mumbai</v>
      </c>
      <c r="E1139" t="str">
        <f>Sheet1!F1139</f>
        <v>Furniture</v>
      </c>
      <c r="F1139" t="str">
        <f>Sheet1!H1139</f>
        <v>Pooja</v>
      </c>
      <c r="G1139">
        <f>Sheet1!K1139</f>
        <v>151843.5</v>
      </c>
      <c r="H1139">
        <f>Sheet1!N1139</f>
        <v>35714.75</v>
      </c>
      <c r="I1139">
        <f t="shared" si="20"/>
        <v>1</v>
      </c>
    </row>
    <row r="1140" spans="1:9" x14ac:dyDescent="0.3">
      <c r="A1140">
        <f>Sheet1!A1140</f>
        <v>2139</v>
      </c>
      <c r="B1140" t="str">
        <f>Sheet1!B1140</f>
        <v>2025-11-19</v>
      </c>
      <c r="C1140" t="str">
        <f>TEXT(Sheet1!B1140,"YYYY-MM")</f>
        <v>2025-11</v>
      </c>
      <c r="D1140" t="str">
        <f>Sheet1!D1140</f>
        <v>Mumbai</v>
      </c>
      <c r="E1140" t="str">
        <f>Sheet1!F1140</f>
        <v>Furniture</v>
      </c>
      <c r="F1140" t="str">
        <f>Sheet1!H1140</f>
        <v>Rahul</v>
      </c>
      <c r="G1140">
        <f>Sheet1!K1140</f>
        <v>87331.6</v>
      </c>
      <c r="H1140">
        <f>Sheet1!N1140</f>
        <v>22424.35</v>
      </c>
      <c r="I1140">
        <f t="shared" si="20"/>
        <v>1</v>
      </c>
    </row>
    <row r="1141" spans="1:9" x14ac:dyDescent="0.3">
      <c r="A1141">
        <f>Sheet1!A1141</f>
        <v>2140</v>
      </c>
      <c r="B1141" t="str">
        <f>Sheet1!B1141</f>
        <v>2025-11-19</v>
      </c>
      <c r="C1141" t="str">
        <f>TEXT(Sheet1!B1141,"YYYY-MM")</f>
        <v>2025-11</v>
      </c>
      <c r="D1141" t="str">
        <f>Sheet1!D1141</f>
        <v>Pune</v>
      </c>
      <c r="E1141" t="str">
        <f>Sheet1!F1141</f>
        <v>Clothing</v>
      </c>
      <c r="F1141" t="str">
        <f>Sheet1!H1141</f>
        <v>Pooja</v>
      </c>
      <c r="G1141">
        <f>Sheet1!K1141</f>
        <v>8238.6</v>
      </c>
      <c r="H1141">
        <f>Sheet1!N1141</f>
        <v>1129.03</v>
      </c>
      <c r="I1141">
        <f t="shared" si="20"/>
        <v>1</v>
      </c>
    </row>
    <row r="1142" spans="1:9" x14ac:dyDescent="0.3">
      <c r="A1142">
        <f>Sheet1!A1142</f>
        <v>2141</v>
      </c>
      <c r="B1142" t="str">
        <f>Sheet1!B1142</f>
        <v>2025-11-20</v>
      </c>
      <c r="C1142" t="str">
        <f>TEXT(Sheet1!B1142,"YYYY-MM")</f>
        <v>2025-11</v>
      </c>
      <c r="D1142" t="str">
        <f>Sheet1!D1142</f>
        <v>Pune</v>
      </c>
      <c r="E1142" t="str">
        <f>Sheet1!F1142</f>
        <v>Furniture</v>
      </c>
      <c r="F1142" t="str">
        <f>Sheet1!H1142</f>
        <v>Sneha</v>
      </c>
      <c r="G1142">
        <f>Sheet1!K1142</f>
        <v>18732.3</v>
      </c>
      <c r="H1142">
        <f>Sheet1!N1142</f>
        <v>4243.96</v>
      </c>
      <c r="I1142">
        <f t="shared" si="20"/>
        <v>1</v>
      </c>
    </row>
    <row r="1143" spans="1:9" x14ac:dyDescent="0.3">
      <c r="A1143">
        <f>Sheet1!A1143</f>
        <v>2142</v>
      </c>
      <c r="B1143" t="str">
        <f>Sheet1!B1143</f>
        <v>2025-11-20</v>
      </c>
      <c r="C1143" t="str">
        <f>TEXT(Sheet1!B1143,"YYYY-MM")</f>
        <v>2025-11</v>
      </c>
      <c r="D1143" t="str">
        <f>Sheet1!D1143</f>
        <v>Bangalore</v>
      </c>
      <c r="E1143" t="str">
        <f>Sheet1!F1143</f>
        <v>Furniture</v>
      </c>
      <c r="F1143" t="str">
        <f>Sheet1!H1143</f>
        <v>Pooja</v>
      </c>
      <c r="G1143">
        <f>Sheet1!K1143</f>
        <v>44425.8</v>
      </c>
      <c r="H1143">
        <f>Sheet1!N1143</f>
        <v>7277.31</v>
      </c>
      <c r="I1143">
        <f t="shared" si="20"/>
        <v>1</v>
      </c>
    </row>
    <row r="1144" spans="1:9" x14ac:dyDescent="0.3">
      <c r="A1144">
        <f>Sheet1!A1144</f>
        <v>2143</v>
      </c>
      <c r="B1144" t="str">
        <f>Sheet1!B1144</f>
        <v>2025-11-20</v>
      </c>
      <c r="C1144" t="str">
        <f>TEXT(Sheet1!B1144,"YYYY-MM")</f>
        <v>2025-11</v>
      </c>
      <c r="D1144" t="str">
        <f>Sheet1!D1144</f>
        <v>Hyderabad</v>
      </c>
      <c r="E1144" t="str">
        <f>Sheet1!F1144</f>
        <v>Clothing</v>
      </c>
      <c r="F1144" t="str">
        <f>Sheet1!H1144</f>
        <v>Rahul</v>
      </c>
      <c r="G1144">
        <f>Sheet1!K1144</f>
        <v>177509.4</v>
      </c>
      <c r="H1144">
        <f>Sheet1!N1144</f>
        <v>50172.32</v>
      </c>
      <c r="I1144">
        <f t="shared" si="20"/>
        <v>1</v>
      </c>
    </row>
    <row r="1145" spans="1:9" x14ac:dyDescent="0.3">
      <c r="A1145">
        <f>Sheet1!A1145</f>
        <v>2144</v>
      </c>
      <c r="B1145" t="str">
        <f>Sheet1!B1145</f>
        <v>2025-11-20</v>
      </c>
      <c r="C1145" t="str">
        <f>TEXT(Sheet1!B1145,"YYYY-MM")</f>
        <v>2025-11</v>
      </c>
      <c r="D1145" t="str">
        <f>Sheet1!D1145</f>
        <v>Delhi</v>
      </c>
      <c r="E1145" t="str">
        <f>Sheet1!F1145</f>
        <v>Clothing</v>
      </c>
      <c r="F1145" t="str">
        <f>Sheet1!H1145</f>
        <v>Rahul</v>
      </c>
      <c r="G1145">
        <f>Sheet1!K1145</f>
        <v>23675.9</v>
      </c>
      <c r="H1145">
        <f>Sheet1!N1145</f>
        <v>4484.25</v>
      </c>
      <c r="I1145">
        <f t="shared" si="20"/>
        <v>1</v>
      </c>
    </row>
    <row r="1146" spans="1:9" x14ac:dyDescent="0.3">
      <c r="A1146">
        <f>Sheet1!A1146</f>
        <v>2145</v>
      </c>
      <c r="B1146" t="str">
        <f>Sheet1!B1146</f>
        <v>2025-11-21</v>
      </c>
      <c r="C1146" t="str">
        <f>TEXT(Sheet1!B1146,"YYYY-MM")</f>
        <v>2025-11</v>
      </c>
      <c r="D1146" t="str">
        <f>Sheet1!D1146</f>
        <v>Delhi</v>
      </c>
      <c r="E1146" t="str">
        <f>Sheet1!F1146</f>
        <v>Electronics</v>
      </c>
      <c r="F1146" t="str">
        <f>Sheet1!H1146</f>
        <v>Pooja</v>
      </c>
      <c r="G1146">
        <f>Sheet1!K1146</f>
        <v>20823.3</v>
      </c>
      <c r="H1146">
        <f>Sheet1!N1146</f>
        <v>4733.38</v>
      </c>
      <c r="I1146">
        <f t="shared" si="20"/>
        <v>1</v>
      </c>
    </row>
    <row r="1147" spans="1:9" x14ac:dyDescent="0.3">
      <c r="A1147">
        <f>Sheet1!A1147</f>
        <v>2146</v>
      </c>
      <c r="B1147" t="str">
        <f>Sheet1!B1147</f>
        <v>2025-11-21</v>
      </c>
      <c r="C1147" t="str">
        <f>TEXT(Sheet1!B1147,"YYYY-MM")</f>
        <v>2025-11</v>
      </c>
      <c r="D1147" t="str">
        <f>Sheet1!D1147</f>
        <v>Hyderabad</v>
      </c>
      <c r="E1147" t="str">
        <f>Sheet1!F1147</f>
        <v>Clothing</v>
      </c>
      <c r="F1147" t="str">
        <f>Sheet1!H1147</f>
        <v>Pooja</v>
      </c>
      <c r="G1147">
        <f>Sheet1!K1147</f>
        <v>81402.3</v>
      </c>
      <c r="H1147">
        <f>Sheet1!N1147</f>
        <v>10306.200000000001</v>
      </c>
      <c r="I1147">
        <f t="shared" si="20"/>
        <v>1</v>
      </c>
    </row>
    <row r="1148" spans="1:9" x14ac:dyDescent="0.3">
      <c r="A1148">
        <f>Sheet1!A1148</f>
        <v>2147</v>
      </c>
      <c r="B1148" t="str">
        <f>Sheet1!B1148</f>
        <v>2025-11-21</v>
      </c>
      <c r="C1148" t="str">
        <f>TEXT(Sheet1!B1148,"YYYY-MM")</f>
        <v>2025-11</v>
      </c>
      <c r="D1148" t="str">
        <f>Sheet1!D1148</f>
        <v>Mumbai</v>
      </c>
      <c r="E1148" t="str">
        <f>Sheet1!F1148</f>
        <v>Electronics</v>
      </c>
      <c r="F1148" t="str">
        <f>Sheet1!H1148</f>
        <v>Sneha</v>
      </c>
      <c r="G1148">
        <f>Sheet1!K1148</f>
        <v>39122.1</v>
      </c>
      <c r="H1148">
        <f>Sheet1!N1148</f>
        <v>6921.99</v>
      </c>
      <c r="I1148">
        <f t="shared" si="20"/>
        <v>1</v>
      </c>
    </row>
    <row r="1149" spans="1:9" x14ac:dyDescent="0.3">
      <c r="A1149">
        <f>Sheet1!A1149</f>
        <v>2148</v>
      </c>
      <c r="B1149" t="str">
        <f>Sheet1!B1149</f>
        <v>2025-11-21</v>
      </c>
      <c r="C1149" t="str">
        <f>TEXT(Sheet1!B1149,"YYYY-MM")</f>
        <v>2025-11</v>
      </c>
      <c r="D1149" t="str">
        <f>Sheet1!D1149</f>
        <v>Hyderabad</v>
      </c>
      <c r="E1149" t="str">
        <f>Sheet1!F1149</f>
        <v>Electronics</v>
      </c>
      <c r="F1149" t="str">
        <f>Sheet1!H1149</f>
        <v>Sneha</v>
      </c>
      <c r="G1149">
        <f>Sheet1!K1149</f>
        <v>201977</v>
      </c>
      <c r="H1149">
        <f>Sheet1!N1149</f>
        <v>48128.08</v>
      </c>
      <c r="I1149">
        <f t="shared" si="20"/>
        <v>1</v>
      </c>
    </row>
    <row r="1150" spans="1:9" x14ac:dyDescent="0.3">
      <c r="A1150">
        <f>Sheet1!A1150</f>
        <v>2149</v>
      </c>
      <c r="B1150" t="str">
        <f>Sheet1!B1150</f>
        <v>2025-11-21</v>
      </c>
      <c r="C1150" t="str">
        <f>TEXT(Sheet1!B1150,"YYYY-MM")</f>
        <v>2025-11</v>
      </c>
      <c r="D1150" t="str">
        <f>Sheet1!D1150</f>
        <v>Delhi</v>
      </c>
      <c r="E1150" t="str">
        <f>Sheet1!F1150</f>
        <v>Furniture</v>
      </c>
      <c r="F1150" t="str">
        <f>Sheet1!H1150</f>
        <v>Pooja</v>
      </c>
      <c r="G1150">
        <f>Sheet1!K1150</f>
        <v>17115</v>
      </c>
      <c r="H1150">
        <f>Sheet1!N1150</f>
        <v>2082.36</v>
      </c>
      <c r="I1150">
        <f t="shared" si="20"/>
        <v>1</v>
      </c>
    </row>
    <row r="1151" spans="1:9" x14ac:dyDescent="0.3">
      <c r="A1151">
        <f>Sheet1!A1151</f>
        <v>2150</v>
      </c>
      <c r="B1151" t="str">
        <f>Sheet1!B1151</f>
        <v>2025-11-22</v>
      </c>
      <c r="C1151" t="str">
        <f>TEXT(Sheet1!B1151,"YYYY-MM")</f>
        <v>2025-11</v>
      </c>
      <c r="D1151" t="str">
        <f>Sheet1!D1151</f>
        <v>Bangalore</v>
      </c>
      <c r="E1151" t="str">
        <f>Sheet1!F1151</f>
        <v>Furniture</v>
      </c>
      <c r="F1151" t="str">
        <f>Sheet1!H1151</f>
        <v>Ajay</v>
      </c>
      <c r="G1151">
        <f>Sheet1!K1151</f>
        <v>129325</v>
      </c>
      <c r="H1151">
        <f>Sheet1!N1151</f>
        <v>18856.45</v>
      </c>
      <c r="I1151">
        <f t="shared" si="20"/>
        <v>1</v>
      </c>
    </row>
    <row r="1152" spans="1:9" x14ac:dyDescent="0.3">
      <c r="A1152">
        <f>Sheet1!A1152</f>
        <v>2151</v>
      </c>
      <c r="B1152" t="str">
        <f>Sheet1!B1152</f>
        <v>2025-11-22</v>
      </c>
      <c r="C1152" t="str">
        <f>TEXT(Sheet1!B1152,"YYYY-MM")</f>
        <v>2025-11</v>
      </c>
      <c r="D1152" t="str">
        <f>Sheet1!D1152</f>
        <v>Pune</v>
      </c>
      <c r="E1152" t="str">
        <f>Sheet1!F1152</f>
        <v>Electronics</v>
      </c>
      <c r="F1152" t="str">
        <f>Sheet1!H1152</f>
        <v>Sneha</v>
      </c>
      <c r="G1152">
        <f>Sheet1!K1152</f>
        <v>36894.6</v>
      </c>
      <c r="H1152">
        <f>Sheet1!N1152</f>
        <v>5440.75</v>
      </c>
      <c r="I1152">
        <f t="shared" si="20"/>
        <v>1</v>
      </c>
    </row>
    <row r="1153" spans="1:9" x14ac:dyDescent="0.3">
      <c r="A1153">
        <f>Sheet1!A1153</f>
        <v>2152</v>
      </c>
      <c r="B1153" t="str">
        <f>Sheet1!B1153</f>
        <v>2025-11-23</v>
      </c>
      <c r="C1153" t="str">
        <f>TEXT(Sheet1!B1153,"YYYY-MM")</f>
        <v>2025-11</v>
      </c>
      <c r="D1153" t="str">
        <f>Sheet1!D1153</f>
        <v>Pune</v>
      </c>
      <c r="E1153" t="str">
        <f>Sheet1!F1153</f>
        <v>Clothing</v>
      </c>
      <c r="F1153" t="str">
        <f>Sheet1!H1153</f>
        <v>Pooja</v>
      </c>
      <c r="G1153">
        <f>Sheet1!K1153</f>
        <v>44463</v>
      </c>
      <c r="H1153">
        <f>Sheet1!N1153</f>
        <v>6699.31</v>
      </c>
      <c r="I1153">
        <f t="shared" si="20"/>
        <v>1</v>
      </c>
    </row>
    <row r="1154" spans="1:9" x14ac:dyDescent="0.3">
      <c r="A1154">
        <f>Sheet1!A1154</f>
        <v>2153</v>
      </c>
      <c r="B1154" t="str">
        <f>Sheet1!B1154</f>
        <v>2025-11-23</v>
      </c>
      <c r="C1154" t="str">
        <f>TEXT(Sheet1!B1154,"YYYY-MM")</f>
        <v>2025-11</v>
      </c>
      <c r="D1154" t="str">
        <f>Sheet1!D1154</f>
        <v>Mumbai</v>
      </c>
      <c r="E1154" t="str">
        <f>Sheet1!F1154</f>
        <v>Clothing</v>
      </c>
      <c r="F1154" t="str">
        <f>Sheet1!H1154</f>
        <v>Pooja</v>
      </c>
      <c r="G1154">
        <f>Sheet1!K1154</f>
        <v>23159.1</v>
      </c>
      <c r="H1154">
        <f>Sheet1!N1154</f>
        <v>6447.07</v>
      </c>
      <c r="I1154">
        <f t="shared" ref="I1154:I1217" si="21">IF(AND(OR(FilterCity="All",D1154=FilterCity),OR(FilterCategory="All",E1154=FilterCategory),OR(FilterRep="All",F1154=FilterRep),C1154&gt;=FilterMonthFrom,C1154&lt;=FilterMonthTo),1,0)</f>
        <v>1</v>
      </c>
    </row>
    <row r="1155" spans="1:9" x14ac:dyDescent="0.3">
      <c r="A1155">
        <f>Sheet1!A1155</f>
        <v>2154</v>
      </c>
      <c r="B1155" t="str">
        <f>Sheet1!B1155</f>
        <v>2025-11-23</v>
      </c>
      <c r="C1155" t="str">
        <f>TEXT(Sheet1!B1155,"YYYY-MM")</f>
        <v>2025-11</v>
      </c>
      <c r="D1155" t="str">
        <f>Sheet1!D1155</f>
        <v>Bangalore</v>
      </c>
      <c r="E1155" t="str">
        <f>Sheet1!F1155</f>
        <v>Electronics</v>
      </c>
      <c r="F1155" t="str">
        <f>Sheet1!H1155</f>
        <v>Sneha</v>
      </c>
      <c r="G1155">
        <f>Sheet1!K1155</f>
        <v>34819.4</v>
      </c>
      <c r="H1155">
        <f>Sheet1!N1155</f>
        <v>5293.01</v>
      </c>
      <c r="I1155">
        <f t="shared" si="21"/>
        <v>1</v>
      </c>
    </row>
    <row r="1156" spans="1:9" x14ac:dyDescent="0.3">
      <c r="A1156">
        <f>Sheet1!A1156</f>
        <v>2155</v>
      </c>
      <c r="B1156" t="str">
        <f>Sheet1!B1156</f>
        <v>2025-11-23</v>
      </c>
      <c r="C1156" t="str">
        <f>TEXT(Sheet1!B1156,"YYYY-MM")</f>
        <v>2025-11</v>
      </c>
      <c r="D1156" t="str">
        <f>Sheet1!D1156</f>
        <v>Bangalore</v>
      </c>
      <c r="E1156" t="str">
        <f>Sheet1!F1156</f>
        <v>Clothing</v>
      </c>
      <c r="F1156" t="str">
        <f>Sheet1!H1156</f>
        <v>Rahul</v>
      </c>
      <c r="G1156">
        <f>Sheet1!K1156</f>
        <v>102680</v>
      </c>
      <c r="H1156">
        <f>Sheet1!N1156</f>
        <v>11315.42</v>
      </c>
      <c r="I1156">
        <f t="shared" si="21"/>
        <v>1</v>
      </c>
    </row>
    <row r="1157" spans="1:9" x14ac:dyDescent="0.3">
      <c r="A1157">
        <f>Sheet1!A1157</f>
        <v>2156</v>
      </c>
      <c r="B1157" t="str">
        <f>Sheet1!B1157</f>
        <v>2025-11-24</v>
      </c>
      <c r="C1157" t="str">
        <f>TEXT(Sheet1!B1157,"YYYY-MM")</f>
        <v>2025-11</v>
      </c>
      <c r="D1157" t="str">
        <f>Sheet1!D1157</f>
        <v>Pune</v>
      </c>
      <c r="E1157" t="str">
        <f>Sheet1!F1157</f>
        <v>Electronics</v>
      </c>
      <c r="F1157" t="str">
        <f>Sheet1!H1157</f>
        <v>Pooja</v>
      </c>
      <c r="G1157">
        <f>Sheet1!K1157</f>
        <v>48585</v>
      </c>
      <c r="H1157">
        <f>Sheet1!N1157</f>
        <v>12862.03</v>
      </c>
      <c r="I1157">
        <f t="shared" si="21"/>
        <v>1</v>
      </c>
    </row>
    <row r="1158" spans="1:9" x14ac:dyDescent="0.3">
      <c r="A1158">
        <f>Sheet1!A1158</f>
        <v>2157</v>
      </c>
      <c r="B1158" t="str">
        <f>Sheet1!B1158</f>
        <v>2025-11-24</v>
      </c>
      <c r="C1158" t="str">
        <f>TEXT(Sheet1!B1158,"YYYY-MM")</f>
        <v>2025-11</v>
      </c>
      <c r="D1158" t="str">
        <f>Sheet1!D1158</f>
        <v>Delhi</v>
      </c>
      <c r="E1158" t="str">
        <f>Sheet1!F1158</f>
        <v>Electronics</v>
      </c>
      <c r="F1158" t="str">
        <f>Sheet1!H1158</f>
        <v>Rahul</v>
      </c>
      <c r="G1158">
        <f>Sheet1!K1158</f>
        <v>28046.6</v>
      </c>
      <c r="H1158">
        <f>Sheet1!N1158</f>
        <v>8303.25</v>
      </c>
      <c r="I1158">
        <f t="shared" si="21"/>
        <v>1</v>
      </c>
    </row>
    <row r="1159" spans="1:9" x14ac:dyDescent="0.3">
      <c r="A1159">
        <f>Sheet1!A1159</f>
        <v>2158</v>
      </c>
      <c r="B1159" t="str">
        <f>Sheet1!B1159</f>
        <v>2025-11-24</v>
      </c>
      <c r="C1159" t="str">
        <f>TEXT(Sheet1!B1159,"YYYY-MM")</f>
        <v>2025-11</v>
      </c>
      <c r="D1159" t="str">
        <f>Sheet1!D1159</f>
        <v>Bangalore</v>
      </c>
      <c r="E1159" t="str">
        <f>Sheet1!F1159</f>
        <v>Clothing</v>
      </c>
      <c r="F1159" t="str">
        <f>Sheet1!H1159</f>
        <v>Pooja</v>
      </c>
      <c r="G1159">
        <f>Sheet1!K1159</f>
        <v>38056.5</v>
      </c>
      <c r="H1159">
        <f>Sheet1!N1159</f>
        <v>4912.0600000000004</v>
      </c>
      <c r="I1159">
        <f t="shared" si="21"/>
        <v>1</v>
      </c>
    </row>
    <row r="1160" spans="1:9" x14ac:dyDescent="0.3">
      <c r="A1160">
        <f>Sheet1!A1160</f>
        <v>2159</v>
      </c>
      <c r="B1160" t="str">
        <f>Sheet1!B1160</f>
        <v>2025-11-25</v>
      </c>
      <c r="C1160" t="str">
        <f>TEXT(Sheet1!B1160,"YYYY-MM")</f>
        <v>2025-11</v>
      </c>
      <c r="D1160" t="str">
        <f>Sheet1!D1160</f>
        <v>Bangalore</v>
      </c>
      <c r="E1160" t="str">
        <f>Sheet1!F1160</f>
        <v>Furniture</v>
      </c>
      <c r="F1160" t="str">
        <f>Sheet1!H1160</f>
        <v>Sneha</v>
      </c>
      <c r="G1160">
        <f>Sheet1!K1160</f>
        <v>117488.7</v>
      </c>
      <c r="H1160">
        <f>Sheet1!N1160</f>
        <v>21094.67</v>
      </c>
      <c r="I1160">
        <f t="shared" si="21"/>
        <v>1</v>
      </c>
    </row>
    <row r="1161" spans="1:9" x14ac:dyDescent="0.3">
      <c r="A1161">
        <f>Sheet1!A1161</f>
        <v>2160</v>
      </c>
      <c r="B1161" t="str">
        <f>Sheet1!B1161</f>
        <v>2025-11-25</v>
      </c>
      <c r="C1161" t="str">
        <f>TEXT(Sheet1!B1161,"YYYY-MM")</f>
        <v>2025-11</v>
      </c>
      <c r="D1161" t="str">
        <f>Sheet1!D1161</f>
        <v>Mumbai</v>
      </c>
      <c r="E1161" t="str">
        <f>Sheet1!F1161</f>
        <v>Clothing</v>
      </c>
      <c r="F1161" t="str">
        <f>Sheet1!H1161</f>
        <v>Sneha</v>
      </c>
      <c r="G1161">
        <f>Sheet1!K1161</f>
        <v>3728.75</v>
      </c>
      <c r="H1161">
        <f>Sheet1!N1161</f>
        <v>556.24</v>
      </c>
      <c r="I1161">
        <f t="shared" si="21"/>
        <v>1</v>
      </c>
    </row>
    <row r="1162" spans="1:9" x14ac:dyDescent="0.3">
      <c r="A1162">
        <f>Sheet1!A1162</f>
        <v>2161</v>
      </c>
      <c r="B1162" t="str">
        <f>Sheet1!B1162</f>
        <v>2025-11-26</v>
      </c>
      <c r="C1162" t="str">
        <f>TEXT(Sheet1!B1162,"YYYY-MM")</f>
        <v>2025-11</v>
      </c>
      <c r="D1162" t="str">
        <f>Sheet1!D1162</f>
        <v>Hyderabad</v>
      </c>
      <c r="E1162" t="str">
        <f>Sheet1!F1162</f>
        <v>Furniture</v>
      </c>
      <c r="F1162" t="str">
        <f>Sheet1!H1162</f>
        <v>Ajay</v>
      </c>
      <c r="G1162">
        <f>Sheet1!K1162</f>
        <v>76769.100000000006</v>
      </c>
      <c r="H1162">
        <f>Sheet1!N1162</f>
        <v>7939.88</v>
      </c>
      <c r="I1162">
        <f t="shared" si="21"/>
        <v>1</v>
      </c>
    </row>
    <row r="1163" spans="1:9" x14ac:dyDescent="0.3">
      <c r="A1163">
        <f>Sheet1!A1163</f>
        <v>2162</v>
      </c>
      <c r="B1163" t="str">
        <f>Sheet1!B1163</f>
        <v>2025-11-26</v>
      </c>
      <c r="C1163" t="str">
        <f>TEXT(Sheet1!B1163,"YYYY-MM")</f>
        <v>2025-11</v>
      </c>
      <c r="D1163" t="str">
        <f>Sheet1!D1163</f>
        <v>Mumbai</v>
      </c>
      <c r="E1163" t="str">
        <f>Sheet1!F1163</f>
        <v>Furniture</v>
      </c>
      <c r="F1163" t="str">
        <f>Sheet1!H1163</f>
        <v>Pooja</v>
      </c>
      <c r="G1163">
        <f>Sheet1!K1163</f>
        <v>13769</v>
      </c>
      <c r="H1163">
        <f>Sheet1!N1163</f>
        <v>2550.54</v>
      </c>
      <c r="I1163">
        <f t="shared" si="21"/>
        <v>1</v>
      </c>
    </row>
    <row r="1164" spans="1:9" x14ac:dyDescent="0.3">
      <c r="A1164">
        <f>Sheet1!A1164</f>
        <v>2163</v>
      </c>
      <c r="B1164" t="str">
        <f>Sheet1!B1164</f>
        <v>2025-11-26</v>
      </c>
      <c r="C1164" t="str">
        <f>TEXT(Sheet1!B1164,"YYYY-MM")</f>
        <v>2025-11</v>
      </c>
      <c r="D1164" t="str">
        <f>Sheet1!D1164</f>
        <v>Delhi</v>
      </c>
      <c r="E1164" t="str">
        <f>Sheet1!F1164</f>
        <v>Clothing</v>
      </c>
      <c r="F1164" t="str">
        <f>Sheet1!H1164</f>
        <v>Ajay</v>
      </c>
      <c r="G1164">
        <f>Sheet1!K1164</f>
        <v>19542</v>
      </c>
      <c r="H1164">
        <f>Sheet1!N1164</f>
        <v>2270.52</v>
      </c>
      <c r="I1164">
        <f t="shared" si="21"/>
        <v>1</v>
      </c>
    </row>
    <row r="1165" spans="1:9" x14ac:dyDescent="0.3">
      <c r="A1165">
        <f>Sheet1!A1165</f>
        <v>2164</v>
      </c>
      <c r="B1165" t="str">
        <f>Sheet1!B1165</f>
        <v>2025-11-26</v>
      </c>
      <c r="C1165" t="str">
        <f>TEXT(Sheet1!B1165,"YYYY-MM")</f>
        <v>2025-11</v>
      </c>
      <c r="D1165" t="str">
        <f>Sheet1!D1165</f>
        <v>Hyderabad</v>
      </c>
      <c r="E1165" t="str">
        <f>Sheet1!F1165</f>
        <v>Electronics</v>
      </c>
      <c r="F1165" t="str">
        <f>Sheet1!H1165</f>
        <v>Rahul</v>
      </c>
      <c r="G1165">
        <f>Sheet1!K1165</f>
        <v>69375</v>
      </c>
      <c r="H1165">
        <f>Sheet1!N1165</f>
        <v>20212.689999999999</v>
      </c>
      <c r="I1165">
        <f t="shared" si="21"/>
        <v>1</v>
      </c>
    </row>
    <row r="1166" spans="1:9" x14ac:dyDescent="0.3">
      <c r="A1166">
        <f>Sheet1!A1166</f>
        <v>2165</v>
      </c>
      <c r="B1166" t="str">
        <f>Sheet1!B1166</f>
        <v>2025-11-27</v>
      </c>
      <c r="C1166" t="str">
        <f>TEXT(Sheet1!B1166,"YYYY-MM")</f>
        <v>2025-11</v>
      </c>
      <c r="D1166" t="str">
        <f>Sheet1!D1166</f>
        <v>Mumbai</v>
      </c>
      <c r="E1166" t="str">
        <f>Sheet1!F1166</f>
        <v>Electronics</v>
      </c>
      <c r="F1166" t="str">
        <f>Sheet1!H1166</f>
        <v>Sneha</v>
      </c>
      <c r="G1166">
        <f>Sheet1!K1166</f>
        <v>199580</v>
      </c>
      <c r="H1166">
        <f>Sheet1!N1166</f>
        <v>38490.120000000003</v>
      </c>
      <c r="I1166">
        <f t="shared" si="21"/>
        <v>1</v>
      </c>
    </row>
    <row r="1167" spans="1:9" x14ac:dyDescent="0.3">
      <c r="A1167">
        <f>Sheet1!A1167</f>
        <v>2166</v>
      </c>
      <c r="B1167" t="str">
        <f>Sheet1!B1167</f>
        <v>2025-11-27</v>
      </c>
      <c r="C1167" t="str">
        <f>TEXT(Sheet1!B1167,"YYYY-MM")</f>
        <v>2025-11</v>
      </c>
      <c r="D1167" t="str">
        <f>Sheet1!D1167</f>
        <v>Bangalore</v>
      </c>
      <c r="E1167" t="str">
        <f>Sheet1!F1167</f>
        <v>Furniture</v>
      </c>
      <c r="F1167" t="str">
        <f>Sheet1!H1167</f>
        <v>Rahul</v>
      </c>
      <c r="G1167">
        <f>Sheet1!K1167</f>
        <v>45388.800000000003</v>
      </c>
      <c r="H1167">
        <f>Sheet1!N1167</f>
        <v>5510.83</v>
      </c>
      <c r="I1167">
        <f t="shared" si="21"/>
        <v>1</v>
      </c>
    </row>
    <row r="1168" spans="1:9" x14ac:dyDescent="0.3">
      <c r="A1168">
        <f>Sheet1!A1168</f>
        <v>2167</v>
      </c>
      <c r="B1168" t="str">
        <f>Sheet1!B1168</f>
        <v>2025-11-27</v>
      </c>
      <c r="C1168" t="str">
        <f>TEXT(Sheet1!B1168,"YYYY-MM")</f>
        <v>2025-11</v>
      </c>
      <c r="D1168" t="str">
        <f>Sheet1!D1168</f>
        <v>Bangalore</v>
      </c>
      <c r="E1168" t="str">
        <f>Sheet1!F1168</f>
        <v>Furniture</v>
      </c>
      <c r="F1168" t="str">
        <f>Sheet1!H1168</f>
        <v>Ajay</v>
      </c>
      <c r="G1168">
        <f>Sheet1!K1168</f>
        <v>1577</v>
      </c>
      <c r="H1168">
        <f>Sheet1!N1168</f>
        <v>463.09</v>
      </c>
      <c r="I1168">
        <f t="shared" si="21"/>
        <v>1</v>
      </c>
    </row>
    <row r="1169" spans="1:9" x14ac:dyDescent="0.3">
      <c r="A1169">
        <f>Sheet1!A1169</f>
        <v>2168</v>
      </c>
      <c r="B1169" t="str">
        <f>Sheet1!B1169</f>
        <v>2025-11-27</v>
      </c>
      <c r="C1169" t="str">
        <f>TEXT(Sheet1!B1169,"YYYY-MM")</f>
        <v>2025-11</v>
      </c>
      <c r="D1169" t="str">
        <f>Sheet1!D1169</f>
        <v>Pune</v>
      </c>
      <c r="E1169" t="str">
        <f>Sheet1!F1169</f>
        <v>Electronics</v>
      </c>
      <c r="F1169" t="str">
        <f>Sheet1!H1169</f>
        <v>Ajay</v>
      </c>
      <c r="G1169">
        <f>Sheet1!K1169</f>
        <v>104289</v>
      </c>
      <c r="H1169">
        <f>Sheet1!N1169</f>
        <v>13639.37</v>
      </c>
      <c r="I1169">
        <f t="shared" si="21"/>
        <v>1</v>
      </c>
    </row>
    <row r="1170" spans="1:9" x14ac:dyDescent="0.3">
      <c r="A1170">
        <f>Sheet1!A1170</f>
        <v>2169</v>
      </c>
      <c r="B1170" t="str">
        <f>Sheet1!B1170</f>
        <v>2025-11-27</v>
      </c>
      <c r="C1170" t="str">
        <f>TEXT(Sheet1!B1170,"YYYY-MM")</f>
        <v>2025-11</v>
      </c>
      <c r="D1170" t="str">
        <f>Sheet1!D1170</f>
        <v>Bangalore</v>
      </c>
      <c r="E1170" t="str">
        <f>Sheet1!F1170</f>
        <v>Furniture</v>
      </c>
      <c r="F1170" t="str">
        <f>Sheet1!H1170</f>
        <v>Rahul</v>
      </c>
      <c r="G1170">
        <f>Sheet1!K1170</f>
        <v>126634.5</v>
      </c>
      <c r="H1170">
        <f>Sheet1!N1170</f>
        <v>14386.92</v>
      </c>
      <c r="I1170">
        <f t="shared" si="21"/>
        <v>1</v>
      </c>
    </row>
    <row r="1171" spans="1:9" x14ac:dyDescent="0.3">
      <c r="A1171">
        <f>Sheet1!A1171</f>
        <v>2170</v>
      </c>
      <c r="B1171" t="str">
        <f>Sheet1!B1171</f>
        <v>2025-11-28</v>
      </c>
      <c r="C1171" t="str">
        <f>TEXT(Sheet1!B1171,"YYYY-MM")</f>
        <v>2025-11</v>
      </c>
      <c r="D1171" t="str">
        <f>Sheet1!D1171</f>
        <v>Pune</v>
      </c>
      <c r="E1171" t="str">
        <f>Sheet1!F1171</f>
        <v>Clothing</v>
      </c>
      <c r="F1171" t="str">
        <f>Sheet1!H1171</f>
        <v>Rahul</v>
      </c>
      <c r="G1171">
        <f>Sheet1!K1171</f>
        <v>22546.25</v>
      </c>
      <c r="H1171">
        <f>Sheet1!N1171</f>
        <v>3008.33</v>
      </c>
      <c r="I1171">
        <f t="shared" si="21"/>
        <v>1</v>
      </c>
    </row>
    <row r="1172" spans="1:9" x14ac:dyDescent="0.3">
      <c r="A1172">
        <f>Sheet1!A1172</f>
        <v>2171</v>
      </c>
      <c r="B1172" t="str">
        <f>Sheet1!B1172</f>
        <v>2025-11-28</v>
      </c>
      <c r="C1172" t="str">
        <f>TEXT(Sheet1!B1172,"YYYY-MM")</f>
        <v>2025-11</v>
      </c>
      <c r="D1172" t="str">
        <f>Sheet1!D1172</f>
        <v>Bangalore</v>
      </c>
      <c r="E1172" t="str">
        <f>Sheet1!F1172</f>
        <v>Electronics</v>
      </c>
      <c r="F1172" t="str">
        <f>Sheet1!H1172</f>
        <v>Pooja</v>
      </c>
      <c r="G1172">
        <f>Sheet1!K1172</f>
        <v>47638.25</v>
      </c>
      <c r="H1172">
        <f>Sheet1!N1172</f>
        <v>11110.33</v>
      </c>
      <c r="I1172">
        <f t="shared" si="21"/>
        <v>1</v>
      </c>
    </row>
    <row r="1173" spans="1:9" x14ac:dyDescent="0.3">
      <c r="A1173">
        <f>Sheet1!A1173</f>
        <v>2172</v>
      </c>
      <c r="B1173" t="str">
        <f>Sheet1!B1173</f>
        <v>2025-11-28</v>
      </c>
      <c r="C1173" t="str">
        <f>TEXT(Sheet1!B1173,"YYYY-MM")</f>
        <v>2025-11</v>
      </c>
      <c r="D1173" t="str">
        <f>Sheet1!D1173</f>
        <v>Bangalore</v>
      </c>
      <c r="E1173" t="str">
        <f>Sheet1!F1173</f>
        <v>Electronics</v>
      </c>
      <c r="F1173" t="str">
        <f>Sheet1!H1173</f>
        <v>Ajay</v>
      </c>
      <c r="G1173">
        <f>Sheet1!K1173</f>
        <v>21112.3</v>
      </c>
      <c r="H1173">
        <f>Sheet1!N1173</f>
        <v>2640.59</v>
      </c>
      <c r="I1173">
        <f t="shared" si="21"/>
        <v>1</v>
      </c>
    </row>
    <row r="1174" spans="1:9" x14ac:dyDescent="0.3">
      <c r="A1174">
        <f>Sheet1!A1174</f>
        <v>2173</v>
      </c>
      <c r="B1174" t="str">
        <f>Sheet1!B1174</f>
        <v>2025-11-28</v>
      </c>
      <c r="C1174" t="str">
        <f>TEXT(Sheet1!B1174,"YYYY-MM")</f>
        <v>2025-11</v>
      </c>
      <c r="D1174" t="str">
        <f>Sheet1!D1174</f>
        <v>Delhi</v>
      </c>
      <c r="E1174" t="str">
        <f>Sheet1!F1174</f>
        <v>Clothing</v>
      </c>
      <c r="F1174" t="str">
        <f>Sheet1!H1174</f>
        <v>Ajay</v>
      </c>
      <c r="G1174">
        <f>Sheet1!K1174</f>
        <v>15536.7</v>
      </c>
      <c r="H1174">
        <f>Sheet1!N1174</f>
        <v>3150.55</v>
      </c>
      <c r="I1174">
        <f t="shared" si="21"/>
        <v>1</v>
      </c>
    </row>
    <row r="1175" spans="1:9" x14ac:dyDescent="0.3">
      <c r="A1175">
        <f>Sheet1!A1175</f>
        <v>2174</v>
      </c>
      <c r="B1175" t="str">
        <f>Sheet1!B1175</f>
        <v>2025-11-28</v>
      </c>
      <c r="C1175" t="str">
        <f>TEXT(Sheet1!B1175,"YYYY-MM")</f>
        <v>2025-11</v>
      </c>
      <c r="D1175" t="str">
        <f>Sheet1!D1175</f>
        <v>Hyderabad</v>
      </c>
      <c r="E1175" t="str">
        <f>Sheet1!F1175</f>
        <v>Clothing</v>
      </c>
      <c r="F1175" t="str">
        <f>Sheet1!H1175</f>
        <v>Sneha</v>
      </c>
      <c r="G1175">
        <f>Sheet1!K1175</f>
        <v>43398.9</v>
      </c>
      <c r="H1175">
        <f>Sheet1!N1175</f>
        <v>6052.02</v>
      </c>
      <c r="I1175">
        <f t="shared" si="21"/>
        <v>1</v>
      </c>
    </row>
    <row r="1176" spans="1:9" x14ac:dyDescent="0.3">
      <c r="A1176">
        <f>Sheet1!A1176</f>
        <v>2175</v>
      </c>
      <c r="B1176" t="str">
        <f>Sheet1!B1176</f>
        <v>2025-11-29</v>
      </c>
      <c r="C1176" t="str">
        <f>TEXT(Sheet1!B1176,"YYYY-MM")</f>
        <v>2025-11</v>
      </c>
      <c r="D1176" t="str">
        <f>Sheet1!D1176</f>
        <v>Hyderabad</v>
      </c>
      <c r="E1176" t="str">
        <f>Sheet1!F1176</f>
        <v>Electronics</v>
      </c>
      <c r="F1176" t="str">
        <f>Sheet1!H1176</f>
        <v>Ajay</v>
      </c>
      <c r="G1176">
        <f>Sheet1!K1176</f>
        <v>143136.5</v>
      </c>
      <c r="H1176">
        <f>Sheet1!N1176</f>
        <v>25754.34</v>
      </c>
      <c r="I1176">
        <f t="shared" si="21"/>
        <v>1</v>
      </c>
    </row>
    <row r="1177" spans="1:9" x14ac:dyDescent="0.3">
      <c r="A1177">
        <f>Sheet1!A1177</f>
        <v>2176</v>
      </c>
      <c r="B1177" t="str">
        <f>Sheet1!B1177</f>
        <v>2025-11-29</v>
      </c>
      <c r="C1177" t="str">
        <f>TEXT(Sheet1!B1177,"YYYY-MM")</f>
        <v>2025-11</v>
      </c>
      <c r="D1177" t="str">
        <f>Sheet1!D1177</f>
        <v>Delhi</v>
      </c>
      <c r="E1177" t="str">
        <f>Sheet1!F1177</f>
        <v>Electronics</v>
      </c>
      <c r="F1177" t="str">
        <f>Sheet1!H1177</f>
        <v>Rahul</v>
      </c>
      <c r="G1177">
        <f>Sheet1!K1177</f>
        <v>90560</v>
      </c>
      <c r="H1177">
        <f>Sheet1!N1177</f>
        <v>9261.11</v>
      </c>
      <c r="I1177">
        <f t="shared" si="21"/>
        <v>1</v>
      </c>
    </row>
    <row r="1178" spans="1:9" x14ac:dyDescent="0.3">
      <c r="A1178">
        <f>Sheet1!A1178</f>
        <v>2177</v>
      </c>
      <c r="B1178" t="str">
        <f>Sheet1!B1178</f>
        <v>2025-11-29</v>
      </c>
      <c r="C1178" t="str">
        <f>TEXT(Sheet1!B1178,"YYYY-MM")</f>
        <v>2025-11</v>
      </c>
      <c r="D1178" t="str">
        <f>Sheet1!D1178</f>
        <v>Delhi</v>
      </c>
      <c r="E1178" t="str">
        <f>Sheet1!F1178</f>
        <v>Furniture</v>
      </c>
      <c r="F1178" t="str">
        <f>Sheet1!H1178</f>
        <v>Ajay</v>
      </c>
      <c r="G1178">
        <f>Sheet1!K1178</f>
        <v>55098</v>
      </c>
      <c r="H1178">
        <f>Sheet1!N1178</f>
        <v>16073.24</v>
      </c>
      <c r="I1178">
        <f t="shared" si="21"/>
        <v>1</v>
      </c>
    </row>
    <row r="1179" spans="1:9" x14ac:dyDescent="0.3">
      <c r="A1179">
        <f>Sheet1!A1179</f>
        <v>2178</v>
      </c>
      <c r="B1179" t="str">
        <f>Sheet1!B1179</f>
        <v>2025-11-29</v>
      </c>
      <c r="C1179" t="str">
        <f>TEXT(Sheet1!B1179,"YYYY-MM")</f>
        <v>2025-11</v>
      </c>
      <c r="D1179" t="str">
        <f>Sheet1!D1179</f>
        <v>Mumbai</v>
      </c>
      <c r="E1179" t="str">
        <f>Sheet1!F1179</f>
        <v>Furniture</v>
      </c>
      <c r="F1179" t="str">
        <f>Sheet1!H1179</f>
        <v>Sneha</v>
      </c>
      <c r="G1179">
        <f>Sheet1!K1179</f>
        <v>48152</v>
      </c>
      <c r="H1179">
        <f>Sheet1!N1179</f>
        <v>10078.59</v>
      </c>
      <c r="I1179">
        <f t="shared" si="21"/>
        <v>1</v>
      </c>
    </row>
    <row r="1180" spans="1:9" x14ac:dyDescent="0.3">
      <c r="A1180">
        <f>Sheet1!A1180</f>
        <v>2179</v>
      </c>
      <c r="B1180" t="str">
        <f>Sheet1!B1180</f>
        <v>2025-11-30</v>
      </c>
      <c r="C1180" t="str">
        <f>TEXT(Sheet1!B1180,"YYYY-MM")</f>
        <v>2025-11</v>
      </c>
      <c r="D1180" t="str">
        <f>Sheet1!D1180</f>
        <v>Mumbai</v>
      </c>
      <c r="E1180" t="str">
        <f>Sheet1!F1180</f>
        <v>Clothing</v>
      </c>
      <c r="F1180" t="str">
        <f>Sheet1!H1180</f>
        <v>Ajay</v>
      </c>
      <c r="G1180">
        <f>Sheet1!K1180</f>
        <v>25245.3</v>
      </c>
      <c r="H1180">
        <f>Sheet1!N1180</f>
        <v>4836.2700000000004</v>
      </c>
      <c r="I1180">
        <f t="shared" si="21"/>
        <v>1</v>
      </c>
    </row>
    <row r="1181" spans="1:9" x14ac:dyDescent="0.3">
      <c r="A1181">
        <f>Sheet1!A1181</f>
        <v>2180</v>
      </c>
      <c r="B1181" t="str">
        <f>Sheet1!B1181</f>
        <v>2025-11-30</v>
      </c>
      <c r="C1181" t="str">
        <f>TEXT(Sheet1!B1181,"YYYY-MM")</f>
        <v>2025-11</v>
      </c>
      <c r="D1181" t="str">
        <f>Sheet1!D1181</f>
        <v>Bangalore</v>
      </c>
      <c r="E1181" t="str">
        <f>Sheet1!F1181</f>
        <v>Furniture</v>
      </c>
      <c r="F1181" t="str">
        <f>Sheet1!H1181</f>
        <v>Ajay</v>
      </c>
      <c r="G1181">
        <f>Sheet1!K1181</f>
        <v>134304</v>
      </c>
      <c r="H1181">
        <f>Sheet1!N1181</f>
        <v>34854.22</v>
      </c>
      <c r="I1181">
        <f t="shared" si="21"/>
        <v>1</v>
      </c>
    </row>
    <row r="1182" spans="1:9" x14ac:dyDescent="0.3">
      <c r="A1182">
        <f>Sheet1!A1182</f>
        <v>2181</v>
      </c>
      <c r="B1182" t="str">
        <f>Sheet1!B1182</f>
        <v>2025-11-30</v>
      </c>
      <c r="C1182" t="str">
        <f>TEXT(Sheet1!B1182,"YYYY-MM")</f>
        <v>2025-11</v>
      </c>
      <c r="D1182" t="str">
        <f>Sheet1!D1182</f>
        <v>Hyderabad</v>
      </c>
      <c r="E1182" t="str">
        <f>Sheet1!F1182</f>
        <v>Electronics</v>
      </c>
      <c r="F1182" t="str">
        <f>Sheet1!H1182</f>
        <v>Sneha</v>
      </c>
      <c r="G1182">
        <f>Sheet1!K1182</f>
        <v>9650.1</v>
      </c>
      <c r="H1182">
        <f>Sheet1!N1182</f>
        <v>2312.9899999999998</v>
      </c>
      <c r="I1182">
        <f t="shared" si="21"/>
        <v>1</v>
      </c>
    </row>
    <row r="1183" spans="1:9" x14ac:dyDescent="0.3">
      <c r="A1183">
        <f>Sheet1!A1183</f>
        <v>2182</v>
      </c>
      <c r="B1183" t="str">
        <f>Sheet1!B1183</f>
        <v>2025-11-30</v>
      </c>
      <c r="C1183" t="str">
        <f>TEXT(Sheet1!B1183,"YYYY-MM")</f>
        <v>2025-11</v>
      </c>
      <c r="D1183" t="str">
        <f>Sheet1!D1183</f>
        <v>Mumbai</v>
      </c>
      <c r="E1183" t="str">
        <f>Sheet1!F1183</f>
        <v>Clothing</v>
      </c>
      <c r="F1183" t="str">
        <f>Sheet1!H1183</f>
        <v>Pooja</v>
      </c>
      <c r="G1183">
        <f>Sheet1!K1183</f>
        <v>12125</v>
      </c>
      <c r="H1183">
        <f>Sheet1!N1183</f>
        <v>2988.87</v>
      </c>
      <c r="I1183">
        <f t="shared" si="21"/>
        <v>1</v>
      </c>
    </row>
    <row r="1184" spans="1:9" x14ac:dyDescent="0.3">
      <c r="A1184">
        <f>Sheet1!A1184</f>
        <v>2183</v>
      </c>
      <c r="B1184" t="str">
        <f>Sheet1!B1184</f>
        <v>2025-12-01</v>
      </c>
      <c r="C1184" t="str">
        <f>TEXT(Sheet1!B1184,"YYYY-MM")</f>
        <v>2025-12</v>
      </c>
      <c r="D1184" t="str">
        <f>Sheet1!D1184</f>
        <v>Hyderabad</v>
      </c>
      <c r="E1184" t="str">
        <f>Sheet1!F1184</f>
        <v>Clothing</v>
      </c>
      <c r="F1184" t="str">
        <f>Sheet1!H1184</f>
        <v>Rahul</v>
      </c>
      <c r="G1184">
        <f>Sheet1!K1184</f>
        <v>47433</v>
      </c>
      <c r="H1184">
        <f>Sheet1!N1184</f>
        <v>9705.91</v>
      </c>
      <c r="I1184">
        <f t="shared" si="21"/>
        <v>1</v>
      </c>
    </row>
    <row r="1185" spans="1:9" x14ac:dyDescent="0.3">
      <c r="A1185">
        <f>Sheet1!A1185</f>
        <v>2184</v>
      </c>
      <c r="B1185" t="str">
        <f>Sheet1!B1185</f>
        <v>2025-12-01</v>
      </c>
      <c r="C1185" t="str">
        <f>TEXT(Sheet1!B1185,"YYYY-MM")</f>
        <v>2025-12</v>
      </c>
      <c r="D1185" t="str">
        <f>Sheet1!D1185</f>
        <v>Hyderabad</v>
      </c>
      <c r="E1185" t="str">
        <f>Sheet1!F1185</f>
        <v>Furniture</v>
      </c>
      <c r="F1185" t="str">
        <f>Sheet1!H1185</f>
        <v>Ajay</v>
      </c>
      <c r="G1185">
        <f>Sheet1!K1185</f>
        <v>25472</v>
      </c>
      <c r="H1185">
        <f>Sheet1!N1185</f>
        <v>3684.86</v>
      </c>
      <c r="I1185">
        <f t="shared" si="21"/>
        <v>1</v>
      </c>
    </row>
    <row r="1186" spans="1:9" x14ac:dyDescent="0.3">
      <c r="A1186">
        <f>Sheet1!A1186</f>
        <v>2185</v>
      </c>
      <c r="B1186" t="str">
        <f>Sheet1!B1186</f>
        <v>2025-12-01</v>
      </c>
      <c r="C1186" t="str">
        <f>TEXT(Sheet1!B1186,"YYYY-MM")</f>
        <v>2025-12</v>
      </c>
      <c r="D1186" t="str">
        <f>Sheet1!D1186</f>
        <v>Pune</v>
      </c>
      <c r="E1186" t="str">
        <f>Sheet1!F1186</f>
        <v>Electronics</v>
      </c>
      <c r="F1186" t="str">
        <f>Sheet1!H1186</f>
        <v>Pooja</v>
      </c>
      <c r="G1186">
        <f>Sheet1!K1186</f>
        <v>31289.200000000001</v>
      </c>
      <c r="H1186">
        <f>Sheet1!N1186</f>
        <v>5024.1400000000003</v>
      </c>
      <c r="I1186">
        <f t="shared" si="21"/>
        <v>1</v>
      </c>
    </row>
    <row r="1187" spans="1:9" x14ac:dyDescent="0.3">
      <c r="A1187">
        <f>Sheet1!A1187</f>
        <v>2186</v>
      </c>
      <c r="B1187" t="str">
        <f>Sheet1!B1187</f>
        <v>2025-12-01</v>
      </c>
      <c r="C1187" t="str">
        <f>TEXT(Sheet1!B1187,"YYYY-MM")</f>
        <v>2025-12</v>
      </c>
      <c r="D1187" t="str">
        <f>Sheet1!D1187</f>
        <v>Delhi</v>
      </c>
      <c r="E1187" t="str">
        <f>Sheet1!F1187</f>
        <v>Clothing</v>
      </c>
      <c r="F1187" t="str">
        <f>Sheet1!H1187</f>
        <v>Rahul</v>
      </c>
      <c r="G1187">
        <f>Sheet1!K1187</f>
        <v>15732.9</v>
      </c>
      <c r="H1187">
        <f>Sheet1!N1187</f>
        <v>1754.6</v>
      </c>
      <c r="I1187">
        <f t="shared" si="21"/>
        <v>1</v>
      </c>
    </row>
    <row r="1188" spans="1:9" x14ac:dyDescent="0.3">
      <c r="A1188">
        <f>Sheet1!A1188</f>
        <v>2187</v>
      </c>
      <c r="B1188" t="str">
        <f>Sheet1!B1188</f>
        <v>2025-12-02</v>
      </c>
      <c r="C1188" t="str">
        <f>TEXT(Sheet1!B1188,"YYYY-MM")</f>
        <v>2025-12</v>
      </c>
      <c r="D1188" t="str">
        <f>Sheet1!D1188</f>
        <v>Pune</v>
      </c>
      <c r="E1188" t="str">
        <f>Sheet1!F1188</f>
        <v>Clothing</v>
      </c>
      <c r="F1188" t="str">
        <f>Sheet1!H1188</f>
        <v>Ajay</v>
      </c>
      <c r="G1188">
        <f>Sheet1!K1188</f>
        <v>39963.599999999999</v>
      </c>
      <c r="H1188">
        <f>Sheet1!N1188</f>
        <v>9168.9500000000007</v>
      </c>
      <c r="I1188">
        <f t="shared" si="21"/>
        <v>1</v>
      </c>
    </row>
    <row r="1189" spans="1:9" x14ac:dyDescent="0.3">
      <c r="A1189">
        <f>Sheet1!A1189</f>
        <v>2188</v>
      </c>
      <c r="B1189" t="str">
        <f>Sheet1!B1189</f>
        <v>2025-12-02</v>
      </c>
      <c r="C1189" t="str">
        <f>TEXT(Sheet1!B1189,"YYYY-MM")</f>
        <v>2025-12</v>
      </c>
      <c r="D1189" t="str">
        <f>Sheet1!D1189</f>
        <v>Delhi</v>
      </c>
      <c r="E1189" t="str">
        <f>Sheet1!F1189</f>
        <v>Clothing</v>
      </c>
      <c r="F1189" t="str">
        <f>Sheet1!H1189</f>
        <v>Sneha</v>
      </c>
      <c r="G1189">
        <f>Sheet1!K1189</f>
        <v>122596.2</v>
      </c>
      <c r="H1189">
        <f>Sheet1!N1189</f>
        <v>18610.669999999998</v>
      </c>
      <c r="I1189">
        <f t="shared" si="21"/>
        <v>1</v>
      </c>
    </row>
    <row r="1190" spans="1:9" x14ac:dyDescent="0.3">
      <c r="A1190">
        <f>Sheet1!A1190</f>
        <v>2189</v>
      </c>
      <c r="B1190" t="str">
        <f>Sheet1!B1190</f>
        <v>2025-12-02</v>
      </c>
      <c r="C1190" t="str">
        <f>TEXT(Sheet1!B1190,"YYYY-MM")</f>
        <v>2025-12</v>
      </c>
      <c r="D1190" t="str">
        <f>Sheet1!D1190</f>
        <v>Mumbai</v>
      </c>
      <c r="E1190" t="str">
        <f>Sheet1!F1190</f>
        <v>Clothing</v>
      </c>
      <c r="F1190" t="str">
        <f>Sheet1!H1190</f>
        <v>Ajay</v>
      </c>
      <c r="G1190">
        <f>Sheet1!K1190</f>
        <v>143516.5</v>
      </c>
      <c r="H1190">
        <f>Sheet1!N1190</f>
        <v>32625.14</v>
      </c>
      <c r="I1190">
        <f t="shared" si="21"/>
        <v>1</v>
      </c>
    </row>
    <row r="1191" spans="1:9" x14ac:dyDescent="0.3">
      <c r="A1191">
        <f>Sheet1!A1191</f>
        <v>2190</v>
      </c>
      <c r="B1191" t="str">
        <f>Sheet1!B1191</f>
        <v>2025-12-02</v>
      </c>
      <c r="C1191" t="str">
        <f>TEXT(Sheet1!B1191,"YYYY-MM")</f>
        <v>2025-12</v>
      </c>
      <c r="D1191" t="str">
        <f>Sheet1!D1191</f>
        <v>Mumbai</v>
      </c>
      <c r="E1191" t="str">
        <f>Sheet1!F1191</f>
        <v>Furniture</v>
      </c>
      <c r="F1191" t="str">
        <f>Sheet1!H1191</f>
        <v>Sneha</v>
      </c>
      <c r="G1191">
        <f>Sheet1!K1191</f>
        <v>25811.1</v>
      </c>
      <c r="H1191">
        <f>Sheet1!N1191</f>
        <v>6517.06</v>
      </c>
      <c r="I1191">
        <f t="shared" si="21"/>
        <v>1</v>
      </c>
    </row>
    <row r="1192" spans="1:9" x14ac:dyDescent="0.3">
      <c r="A1192">
        <f>Sheet1!A1192</f>
        <v>2191</v>
      </c>
      <c r="B1192" t="str">
        <f>Sheet1!B1192</f>
        <v>2025-12-02</v>
      </c>
      <c r="C1192" t="str">
        <f>TEXT(Sheet1!B1192,"YYYY-MM")</f>
        <v>2025-12</v>
      </c>
      <c r="D1192" t="str">
        <f>Sheet1!D1192</f>
        <v>Bangalore</v>
      </c>
      <c r="E1192" t="str">
        <f>Sheet1!F1192</f>
        <v>Furniture</v>
      </c>
      <c r="F1192" t="str">
        <f>Sheet1!H1192</f>
        <v>Sneha</v>
      </c>
      <c r="G1192">
        <f>Sheet1!K1192</f>
        <v>128634</v>
      </c>
      <c r="H1192">
        <f>Sheet1!N1192</f>
        <v>37359.129999999997</v>
      </c>
      <c r="I1192">
        <f t="shared" si="21"/>
        <v>1</v>
      </c>
    </row>
    <row r="1193" spans="1:9" x14ac:dyDescent="0.3">
      <c r="A1193">
        <f>Sheet1!A1193</f>
        <v>2192</v>
      </c>
      <c r="B1193" t="str">
        <f>Sheet1!B1193</f>
        <v>2025-12-03</v>
      </c>
      <c r="C1193" t="str">
        <f>TEXT(Sheet1!B1193,"YYYY-MM")</f>
        <v>2025-12</v>
      </c>
      <c r="D1193" t="str">
        <f>Sheet1!D1193</f>
        <v>Bangalore</v>
      </c>
      <c r="E1193" t="str">
        <f>Sheet1!F1193</f>
        <v>Furniture</v>
      </c>
      <c r="F1193" t="str">
        <f>Sheet1!H1193</f>
        <v>Ajay</v>
      </c>
      <c r="G1193">
        <f>Sheet1!K1193</f>
        <v>177789.6</v>
      </c>
      <c r="H1193">
        <f>Sheet1!N1193</f>
        <v>19938.32</v>
      </c>
      <c r="I1193">
        <f t="shared" si="21"/>
        <v>1</v>
      </c>
    </row>
    <row r="1194" spans="1:9" x14ac:dyDescent="0.3">
      <c r="A1194">
        <f>Sheet1!A1194</f>
        <v>2193</v>
      </c>
      <c r="B1194" t="str">
        <f>Sheet1!B1194</f>
        <v>2025-12-03</v>
      </c>
      <c r="C1194" t="str">
        <f>TEXT(Sheet1!B1194,"YYYY-MM")</f>
        <v>2025-12</v>
      </c>
      <c r="D1194" t="str">
        <f>Sheet1!D1194</f>
        <v>Mumbai</v>
      </c>
      <c r="E1194" t="str">
        <f>Sheet1!F1194</f>
        <v>Electronics</v>
      </c>
      <c r="F1194" t="str">
        <f>Sheet1!H1194</f>
        <v>Pooja</v>
      </c>
      <c r="G1194">
        <f>Sheet1!K1194</f>
        <v>71517.3</v>
      </c>
      <c r="H1194">
        <f>Sheet1!N1194</f>
        <v>17165.39</v>
      </c>
      <c r="I1194">
        <f t="shared" si="21"/>
        <v>1</v>
      </c>
    </row>
    <row r="1195" spans="1:9" x14ac:dyDescent="0.3">
      <c r="A1195">
        <f>Sheet1!A1195</f>
        <v>2194</v>
      </c>
      <c r="B1195" t="str">
        <f>Sheet1!B1195</f>
        <v>2025-12-03</v>
      </c>
      <c r="C1195" t="str">
        <f>TEXT(Sheet1!B1195,"YYYY-MM")</f>
        <v>2025-12</v>
      </c>
      <c r="D1195" t="str">
        <f>Sheet1!D1195</f>
        <v>Mumbai</v>
      </c>
      <c r="E1195" t="str">
        <f>Sheet1!F1195</f>
        <v>Furniture</v>
      </c>
      <c r="F1195" t="str">
        <f>Sheet1!H1195</f>
        <v>Pooja</v>
      </c>
      <c r="G1195">
        <f>Sheet1!K1195</f>
        <v>112842.6</v>
      </c>
      <c r="H1195">
        <f>Sheet1!N1195</f>
        <v>21778.400000000001</v>
      </c>
      <c r="I1195">
        <f t="shared" si="21"/>
        <v>1</v>
      </c>
    </row>
    <row r="1196" spans="1:9" x14ac:dyDescent="0.3">
      <c r="A1196">
        <f>Sheet1!A1196</f>
        <v>2195</v>
      </c>
      <c r="B1196" t="str">
        <f>Sheet1!B1196</f>
        <v>2025-12-03</v>
      </c>
      <c r="C1196" t="str">
        <f>TEXT(Sheet1!B1196,"YYYY-MM")</f>
        <v>2025-12</v>
      </c>
      <c r="D1196" t="str">
        <f>Sheet1!D1196</f>
        <v>Mumbai</v>
      </c>
      <c r="E1196" t="str">
        <f>Sheet1!F1196</f>
        <v>Furniture</v>
      </c>
      <c r="F1196" t="str">
        <f>Sheet1!H1196</f>
        <v>Sneha</v>
      </c>
      <c r="G1196">
        <f>Sheet1!K1196</f>
        <v>23202.799999999999</v>
      </c>
      <c r="H1196">
        <f>Sheet1!N1196</f>
        <v>6370.68</v>
      </c>
      <c r="I1196">
        <f t="shared" si="21"/>
        <v>1</v>
      </c>
    </row>
    <row r="1197" spans="1:9" x14ac:dyDescent="0.3">
      <c r="A1197">
        <f>Sheet1!A1197</f>
        <v>2196</v>
      </c>
      <c r="B1197" t="str">
        <f>Sheet1!B1197</f>
        <v>2025-12-04</v>
      </c>
      <c r="C1197" t="str">
        <f>TEXT(Sheet1!B1197,"YYYY-MM")</f>
        <v>2025-12</v>
      </c>
      <c r="D1197" t="str">
        <f>Sheet1!D1197</f>
        <v>Mumbai</v>
      </c>
      <c r="E1197" t="str">
        <f>Sheet1!F1197</f>
        <v>Electronics</v>
      </c>
      <c r="F1197" t="str">
        <f>Sheet1!H1197</f>
        <v>Rahul</v>
      </c>
      <c r="G1197">
        <f>Sheet1!K1197</f>
        <v>26400</v>
      </c>
      <c r="H1197">
        <f>Sheet1!N1197</f>
        <v>5764.08</v>
      </c>
      <c r="I1197">
        <f t="shared" si="21"/>
        <v>1</v>
      </c>
    </row>
    <row r="1198" spans="1:9" x14ac:dyDescent="0.3">
      <c r="A1198">
        <f>Sheet1!A1198</f>
        <v>2197</v>
      </c>
      <c r="B1198" t="str">
        <f>Sheet1!B1198</f>
        <v>2025-12-04</v>
      </c>
      <c r="C1198" t="str">
        <f>TEXT(Sheet1!B1198,"YYYY-MM")</f>
        <v>2025-12</v>
      </c>
      <c r="D1198" t="str">
        <f>Sheet1!D1198</f>
        <v>Pune</v>
      </c>
      <c r="E1198" t="str">
        <f>Sheet1!F1198</f>
        <v>Clothing</v>
      </c>
      <c r="F1198" t="str">
        <f>Sheet1!H1198</f>
        <v>Pooja</v>
      </c>
      <c r="G1198">
        <f>Sheet1!K1198</f>
        <v>4415.75</v>
      </c>
      <c r="H1198">
        <f>Sheet1!N1198</f>
        <v>677.8</v>
      </c>
      <c r="I1198">
        <f t="shared" si="21"/>
        <v>1</v>
      </c>
    </row>
    <row r="1199" spans="1:9" x14ac:dyDescent="0.3">
      <c r="A1199">
        <f>Sheet1!A1199</f>
        <v>2198</v>
      </c>
      <c r="B1199" t="str">
        <f>Sheet1!B1199</f>
        <v>2025-12-05</v>
      </c>
      <c r="C1199" t="str">
        <f>TEXT(Sheet1!B1199,"YYYY-MM")</f>
        <v>2025-12</v>
      </c>
      <c r="D1199" t="str">
        <f>Sheet1!D1199</f>
        <v>Delhi</v>
      </c>
      <c r="E1199" t="str">
        <f>Sheet1!F1199</f>
        <v>Electronics</v>
      </c>
      <c r="F1199" t="str">
        <f>Sheet1!H1199</f>
        <v>Sneha</v>
      </c>
      <c r="G1199">
        <f>Sheet1!K1199</f>
        <v>36007.85</v>
      </c>
      <c r="H1199">
        <f>Sheet1!N1199</f>
        <v>10732.45</v>
      </c>
      <c r="I1199">
        <f t="shared" si="21"/>
        <v>1</v>
      </c>
    </row>
    <row r="1200" spans="1:9" x14ac:dyDescent="0.3">
      <c r="A1200">
        <f>Sheet1!A1200</f>
        <v>2199</v>
      </c>
      <c r="B1200" t="str">
        <f>Sheet1!B1200</f>
        <v>2025-12-05</v>
      </c>
      <c r="C1200" t="str">
        <f>TEXT(Sheet1!B1200,"YYYY-MM")</f>
        <v>2025-12</v>
      </c>
      <c r="D1200" t="str">
        <f>Sheet1!D1200</f>
        <v>Mumbai</v>
      </c>
      <c r="E1200" t="str">
        <f>Sheet1!F1200</f>
        <v>Furniture</v>
      </c>
      <c r="F1200" t="str">
        <f>Sheet1!H1200</f>
        <v>Sneha</v>
      </c>
      <c r="G1200">
        <f>Sheet1!K1200</f>
        <v>51773.4</v>
      </c>
      <c r="H1200">
        <f>Sheet1!N1200</f>
        <v>5982.48</v>
      </c>
      <c r="I1200">
        <f t="shared" si="21"/>
        <v>1</v>
      </c>
    </row>
    <row r="1201" spans="1:9" x14ac:dyDescent="0.3">
      <c r="A1201">
        <f>Sheet1!A1201</f>
        <v>2200</v>
      </c>
      <c r="B1201" t="str">
        <f>Sheet1!B1201</f>
        <v>2025-12-05</v>
      </c>
      <c r="C1201" t="str">
        <f>TEXT(Sheet1!B1201,"YYYY-MM")</f>
        <v>2025-12</v>
      </c>
      <c r="D1201" t="str">
        <f>Sheet1!D1201</f>
        <v>Bangalore</v>
      </c>
      <c r="E1201" t="str">
        <f>Sheet1!F1201</f>
        <v>Electronics</v>
      </c>
      <c r="F1201" t="str">
        <f>Sheet1!H1201</f>
        <v>Ajay</v>
      </c>
      <c r="G1201">
        <f>Sheet1!K1201</f>
        <v>138586.95000000001</v>
      </c>
      <c r="H1201">
        <f>Sheet1!N1201</f>
        <v>35740.9</v>
      </c>
      <c r="I1201">
        <f t="shared" si="21"/>
        <v>1</v>
      </c>
    </row>
    <row r="1202" spans="1:9" x14ac:dyDescent="0.3">
      <c r="A1202">
        <f>Sheet1!A1202</f>
        <v>2201</v>
      </c>
      <c r="B1202" t="str">
        <f>Sheet1!B1202</f>
        <v>2025-12-05</v>
      </c>
      <c r="C1202" t="str">
        <f>TEXT(Sheet1!B1202,"YYYY-MM")</f>
        <v>2025-12</v>
      </c>
      <c r="D1202" t="str">
        <f>Sheet1!D1202</f>
        <v>Delhi</v>
      </c>
      <c r="E1202" t="str">
        <f>Sheet1!F1202</f>
        <v>Electronics</v>
      </c>
      <c r="F1202" t="str">
        <f>Sheet1!H1202</f>
        <v>Sneha</v>
      </c>
      <c r="G1202">
        <f>Sheet1!K1202</f>
        <v>60158.75</v>
      </c>
      <c r="H1202">
        <f>Sheet1!N1202</f>
        <v>7910.81</v>
      </c>
      <c r="I1202">
        <f t="shared" si="21"/>
        <v>1</v>
      </c>
    </row>
    <row r="1203" spans="1:9" x14ac:dyDescent="0.3">
      <c r="A1203">
        <f>Sheet1!A1203</f>
        <v>2202</v>
      </c>
      <c r="B1203" t="str">
        <f>Sheet1!B1203</f>
        <v>2025-12-06</v>
      </c>
      <c r="C1203" t="str">
        <f>TEXT(Sheet1!B1203,"YYYY-MM")</f>
        <v>2025-12</v>
      </c>
      <c r="D1203" t="str">
        <f>Sheet1!D1203</f>
        <v>Mumbai</v>
      </c>
      <c r="E1203" t="str">
        <f>Sheet1!F1203</f>
        <v>Clothing</v>
      </c>
      <c r="F1203" t="str">
        <f>Sheet1!H1203</f>
        <v>Ajay</v>
      </c>
      <c r="G1203">
        <f>Sheet1!K1203</f>
        <v>74139.3</v>
      </c>
      <c r="H1203">
        <f>Sheet1!N1203</f>
        <v>12250.36</v>
      </c>
      <c r="I1203">
        <f t="shared" si="21"/>
        <v>1</v>
      </c>
    </row>
    <row r="1204" spans="1:9" x14ac:dyDescent="0.3">
      <c r="A1204">
        <f>Sheet1!A1204</f>
        <v>2203</v>
      </c>
      <c r="B1204" t="str">
        <f>Sheet1!B1204</f>
        <v>2025-12-06</v>
      </c>
      <c r="C1204" t="str">
        <f>TEXT(Sheet1!B1204,"YYYY-MM")</f>
        <v>2025-12</v>
      </c>
      <c r="D1204" t="str">
        <f>Sheet1!D1204</f>
        <v>Delhi</v>
      </c>
      <c r="E1204" t="str">
        <f>Sheet1!F1204</f>
        <v>Clothing</v>
      </c>
      <c r="F1204" t="str">
        <f>Sheet1!H1204</f>
        <v>Sneha</v>
      </c>
      <c r="G1204">
        <f>Sheet1!K1204</f>
        <v>97450</v>
      </c>
      <c r="H1204">
        <f>Sheet1!N1204</f>
        <v>29004.76</v>
      </c>
      <c r="I1204">
        <f t="shared" si="21"/>
        <v>1</v>
      </c>
    </row>
    <row r="1205" spans="1:9" x14ac:dyDescent="0.3">
      <c r="A1205">
        <f>Sheet1!A1205</f>
        <v>2204</v>
      </c>
      <c r="B1205" t="str">
        <f>Sheet1!B1205</f>
        <v>2025-12-06</v>
      </c>
      <c r="C1205" t="str">
        <f>TEXT(Sheet1!B1205,"YYYY-MM")</f>
        <v>2025-12</v>
      </c>
      <c r="D1205" t="str">
        <f>Sheet1!D1205</f>
        <v>Mumbai</v>
      </c>
      <c r="E1205" t="str">
        <f>Sheet1!F1205</f>
        <v>Clothing</v>
      </c>
      <c r="F1205" t="str">
        <f>Sheet1!H1205</f>
        <v>Ajay</v>
      </c>
      <c r="G1205">
        <f>Sheet1!K1205</f>
        <v>155581.20000000001</v>
      </c>
      <c r="H1205">
        <f>Sheet1!N1205</f>
        <v>37572.620000000003</v>
      </c>
      <c r="I1205">
        <f t="shared" si="21"/>
        <v>1</v>
      </c>
    </row>
    <row r="1206" spans="1:9" x14ac:dyDescent="0.3">
      <c r="A1206">
        <f>Sheet1!A1206</f>
        <v>2205</v>
      </c>
      <c r="B1206" t="str">
        <f>Sheet1!B1206</f>
        <v>2025-12-07</v>
      </c>
      <c r="C1206" t="str">
        <f>TEXT(Sheet1!B1206,"YYYY-MM")</f>
        <v>2025-12</v>
      </c>
      <c r="D1206" t="str">
        <f>Sheet1!D1206</f>
        <v>Pune</v>
      </c>
      <c r="E1206" t="str">
        <f>Sheet1!F1206</f>
        <v>Furniture</v>
      </c>
      <c r="F1206" t="str">
        <f>Sheet1!H1206</f>
        <v>Rahul</v>
      </c>
      <c r="G1206">
        <f>Sheet1!K1206</f>
        <v>168912</v>
      </c>
      <c r="H1206">
        <f>Sheet1!N1206</f>
        <v>28021.119999999999</v>
      </c>
      <c r="I1206">
        <f t="shared" si="21"/>
        <v>1</v>
      </c>
    </row>
    <row r="1207" spans="1:9" x14ac:dyDescent="0.3">
      <c r="A1207">
        <f>Sheet1!A1207</f>
        <v>2206</v>
      </c>
      <c r="B1207" t="str">
        <f>Sheet1!B1207</f>
        <v>2025-12-07</v>
      </c>
      <c r="C1207" t="str">
        <f>TEXT(Sheet1!B1207,"YYYY-MM")</f>
        <v>2025-12</v>
      </c>
      <c r="D1207" t="str">
        <f>Sheet1!D1207</f>
        <v>Hyderabad</v>
      </c>
      <c r="E1207" t="str">
        <f>Sheet1!F1207</f>
        <v>Clothing</v>
      </c>
      <c r="F1207" t="str">
        <f>Sheet1!H1207</f>
        <v>Pooja</v>
      </c>
      <c r="G1207">
        <f>Sheet1!K1207</f>
        <v>70923.149999999994</v>
      </c>
      <c r="H1207">
        <f>Sheet1!N1207</f>
        <v>11653.5</v>
      </c>
      <c r="I1207">
        <f t="shared" si="21"/>
        <v>1</v>
      </c>
    </row>
    <row r="1208" spans="1:9" x14ac:dyDescent="0.3">
      <c r="A1208">
        <f>Sheet1!A1208</f>
        <v>2207</v>
      </c>
      <c r="B1208" t="str">
        <f>Sheet1!B1208</f>
        <v>2025-12-08</v>
      </c>
      <c r="C1208" t="str">
        <f>TEXT(Sheet1!B1208,"YYYY-MM")</f>
        <v>2025-12</v>
      </c>
      <c r="D1208" t="str">
        <f>Sheet1!D1208</f>
        <v>Bangalore</v>
      </c>
      <c r="E1208" t="str">
        <f>Sheet1!F1208</f>
        <v>Electronics</v>
      </c>
      <c r="F1208" t="str">
        <f>Sheet1!H1208</f>
        <v>Pooja</v>
      </c>
      <c r="G1208">
        <f>Sheet1!K1208</f>
        <v>73806</v>
      </c>
      <c r="H1208">
        <f>Sheet1!N1208</f>
        <v>21787.51</v>
      </c>
      <c r="I1208">
        <f t="shared" si="21"/>
        <v>1</v>
      </c>
    </row>
    <row r="1209" spans="1:9" x14ac:dyDescent="0.3">
      <c r="A1209">
        <f>Sheet1!A1209</f>
        <v>2208</v>
      </c>
      <c r="B1209" t="str">
        <f>Sheet1!B1209</f>
        <v>2025-12-08</v>
      </c>
      <c r="C1209" t="str">
        <f>TEXT(Sheet1!B1209,"YYYY-MM")</f>
        <v>2025-12</v>
      </c>
      <c r="D1209" t="str">
        <f>Sheet1!D1209</f>
        <v>Bangalore</v>
      </c>
      <c r="E1209" t="str">
        <f>Sheet1!F1209</f>
        <v>Clothing</v>
      </c>
      <c r="F1209" t="str">
        <f>Sheet1!H1209</f>
        <v>Pooja</v>
      </c>
      <c r="G1209">
        <f>Sheet1!K1209</f>
        <v>46425.55</v>
      </c>
      <c r="H1209">
        <f>Sheet1!N1209</f>
        <v>7022.19</v>
      </c>
      <c r="I1209">
        <f t="shared" si="21"/>
        <v>1</v>
      </c>
    </row>
    <row r="1210" spans="1:9" x14ac:dyDescent="0.3">
      <c r="A1210">
        <f>Sheet1!A1210</f>
        <v>2209</v>
      </c>
      <c r="B1210" t="str">
        <f>Sheet1!B1210</f>
        <v>2025-12-08</v>
      </c>
      <c r="C1210" t="str">
        <f>TEXT(Sheet1!B1210,"YYYY-MM")</f>
        <v>2025-12</v>
      </c>
      <c r="D1210" t="str">
        <f>Sheet1!D1210</f>
        <v>Mumbai</v>
      </c>
      <c r="E1210" t="str">
        <f>Sheet1!F1210</f>
        <v>Electronics</v>
      </c>
      <c r="F1210" t="str">
        <f>Sheet1!H1210</f>
        <v>Rahul</v>
      </c>
      <c r="G1210">
        <f>Sheet1!K1210</f>
        <v>3281.3</v>
      </c>
      <c r="H1210">
        <f>Sheet1!N1210</f>
        <v>757.07</v>
      </c>
      <c r="I1210">
        <f t="shared" si="21"/>
        <v>1</v>
      </c>
    </row>
    <row r="1211" spans="1:9" x14ac:dyDescent="0.3">
      <c r="A1211">
        <f>Sheet1!A1211</f>
        <v>2210</v>
      </c>
      <c r="B1211" t="str">
        <f>Sheet1!B1211</f>
        <v>2025-12-08</v>
      </c>
      <c r="C1211" t="str">
        <f>TEXT(Sheet1!B1211,"YYYY-MM")</f>
        <v>2025-12</v>
      </c>
      <c r="D1211" t="str">
        <f>Sheet1!D1211</f>
        <v>Hyderabad</v>
      </c>
      <c r="E1211" t="str">
        <f>Sheet1!F1211</f>
        <v>Electronics</v>
      </c>
      <c r="F1211" t="str">
        <f>Sheet1!H1211</f>
        <v>Sneha</v>
      </c>
      <c r="G1211">
        <f>Sheet1!K1211</f>
        <v>19672.2</v>
      </c>
      <c r="H1211">
        <f>Sheet1!N1211</f>
        <v>5352.11</v>
      </c>
      <c r="I1211">
        <f t="shared" si="21"/>
        <v>1</v>
      </c>
    </row>
    <row r="1212" spans="1:9" x14ac:dyDescent="0.3">
      <c r="A1212">
        <f>Sheet1!A1212</f>
        <v>2211</v>
      </c>
      <c r="B1212" t="str">
        <f>Sheet1!B1212</f>
        <v>2025-12-09</v>
      </c>
      <c r="C1212" t="str">
        <f>TEXT(Sheet1!B1212,"YYYY-MM")</f>
        <v>2025-12</v>
      </c>
      <c r="D1212" t="str">
        <f>Sheet1!D1212</f>
        <v>Pune</v>
      </c>
      <c r="E1212" t="str">
        <f>Sheet1!F1212</f>
        <v>Furniture</v>
      </c>
      <c r="F1212" t="str">
        <f>Sheet1!H1212</f>
        <v>Rahul</v>
      </c>
      <c r="G1212">
        <f>Sheet1!K1212</f>
        <v>36483.800000000003</v>
      </c>
      <c r="H1212">
        <f>Sheet1!N1212</f>
        <v>8051.99</v>
      </c>
      <c r="I1212">
        <f t="shared" si="21"/>
        <v>1</v>
      </c>
    </row>
    <row r="1213" spans="1:9" x14ac:dyDescent="0.3">
      <c r="A1213">
        <f>Sheet1!A1213</f>
        <v>2212</v>
      </c>
      <c r="B1213" t="str">
        <f>Sheet1!B1213</f>
        <v>2025-12-09</v>
      </c>
      <c r="C1213" t="str">
        <f>TEXT(Sheet1!B1213,"YYYY-MM")</f>
        <v>2025-12</v>
      </c>
      <c r="D1213" t="str">
        <f>Sheet1!D1213</f>
        <v>Bangalore</v>
      </c>
      <c r="E1213" t="str">
        <f>Sheet1!F1213</f>
        <v>Electronics</v>
      </c>
      <c r="F1213" t="str">
        <f>Sheet1!H1213</f>
        <v>Pooja</v>
      </c>
      <c r="G1213">
        <f>Sheet1!K1213</f>
        <v>120410.6</v>
      </c>
      <c r="H1213">
        <f>Sheet1!N1213</f>
        <v>29946.3</v>
      </c>
      <c r="I1213">
        <f t="shared" si="21"/>
        <v>1</v>
      </c>
    </row>
    <row r="1214" spans="1:9" x14ac:dyDescent="0.3">
      <c r="A1214">
        <f>Sheet1!A1214</f>
        <v>2213</v>
      </c>
      <c r="B1214" t="str">
        <f>Sheet1!B1214</f>
        <v>2025-12-09</v>
      </c>
      <c r="C1214" t="str">
        <f>TEXT(Sheet1!B1214,"YYYY-MM")</f>
        <v>2025-12</v>
      </c>
      <c r="D1214" t="str">
        <f>Sheet1!D1214</f>
        <v>Mumbai</v>
      </c>
      <c r="E1214" t="str">
        <f>Sheet1!F1214</f>
        <v>Electronics</v>
      </c>
      <c r="F1214" t="str">
        <f>Sheet1!H1214</f>
        <v>Ajay</v>
      </c>
      <c r="G1214">
        <f>Sheet1!K1214</f>
        <v>8636.85</v>
      </c>
      <c r="H1214">
        <f>Sheet1!N1214</f>
        <v>1565.62</v>
      </c>
      <c r="I1214">
        <f t="shared" si="21"/>
        <v>1</v>
      </c>
    </row>
    <row r="1215" spans="1:9" x14ac:dyDescent="0.3">
      <c r="A1215">
        <f>Sheet1!A1215</f>
        <v>2214</v>
      </c>
      <c r="B1215" t="str">
        <f>Sheet1!B1215</f>
        <v>2025-12-10</v>
      </c>
      <c r="C1215" t="str">
        <f>TEXT(Sheet1!B1215,"YYYY-MM")</f>
        <v>2025-12</v>
      </c>
      <c r="D1215" t="str">
        <f>Sheet1!D1215</f>
        <v>Pune</v>
      </c>
      <c r="E1215" t="str">
        <f>Sheet1!F1215</f>
        <v>Furniture</v>
      </c>
      <c r="F1215" t="str">
        <f>Sheet1!H1215</f>
        <v>Rahul</v>
      </c>
      <c r="G1215">
        <f>Sheet1!K1215</f>
        <v>45167.75</v>
      </c>
      <c r="H1215">
        <f>Sheet1!N1215</f>
        <v>7407.01</v>
      </c>
      <c r="I1215">
        <f t="shared" si="21"/>
        <v>1</v>
      </c>
    </row>
    <row r="1216" spans="1:9" x14ac:dyDescent="0.3">
      <c r="A1216">
        <f>Sheet1!A1216</f>
        <v>2215</v>
      </c>
      <c r="B1216" t="str">
        <f>Sheet1!B1216</f>
        <v>2025-12-10</v>
      </c>
      <c r="C1216" t="str">
        <f>TEXT(Sheet1!B1216,"YYYY-MM")</f>
        <v>2025-12</v>
      </c>
      <c r="D1216" t="str">
        <f>Sheet1!D1216</f>
        <v>Pune</v>
      </c>
      <c r="E1216" t="str">
        <f>Sheet1!F1216</f>
        <v>Clothing</v>
      </c>
      <c r="F1216" t="str">
        <f>Sheet1!H1216</f>
        <v>Rahul</v>
      </c>
      <c r="G1216">
        <f>Sheet1!K1216</f>
        <v>151510</v>
      </c>
      <c r="H1216">
        <f>Sheet1!N1216</f>
        <v>34931.360000000001</v>
      </c>
      <c r="I1216">
        <f t="shared" si="21"/>
        <v>1</v>
      </c>
    </row>
    <row r="1217" spans="1:9" x14ac:dyDescent="0.3">
      <c r="A1217">
        <f>Sheet1!A1217</f>
        <v>2216</v>
      </c>
      <c r="B1217" t="str">
        <f>Sheet1!B1217</f>
        <v>2025-12-10</v>
      </c>
      <c r="C1217" t="str">
        <f>TEXT(Sheet1!B1217,"YYYY-MM")</f>
        <v>2025-12</v>
      </c>
      <c r="D1217" t="str">
        <f>Sheet1!D1217</f>
        <v>Bangalore</v>
      </c>
      <c r="E1217" t="str">
        <f>Sheet1!F1217</f>
        <v>Furniture</v>
      </c>
      <c r="F1217" t="str">
        <f>Sheet1!H1217</f>
        <v>Ajay</v>
      </c>
      <c r="G1217">
        <f>Sheet1!K1217</f>
        <v>20928</v>
      </c>
      <c r="H1217">
        <f>Sheet1!N1217</f>
        <v>3636.53</v>
      </c>
      <c r="I1217">
        <f t="shared" si="21"/>
        <v>1</v>
      </c>
    </row>
    <row r="1218" spans="1:9" x14ac:dyDescent="0.3">
      <c r="A1218">
        <f>Sheet1!A1218</f>
        <v>2217</v>
      </c>
      <c r="B1218" t="str">
        <f>Sheet1!B1218</f>
        <v>2025-12-11</v>
      </c>
      <c r="C1218" t="str">
        <f>TEXT(Sheet1!B1218,"YYYY-MM")</f>
        <v>2025-12</v>
      </c>
      <c r="D1218" t="str">
        <f>Sheet1!D1218</f>
        <v>Hyderabad</v>
      </c>
      <c r="E1218" t="str">
        <f>Sheet1!F1218</f>
        <v>Clothing</v>
      </c>
      <c r="F1218" t="str">
        <f>Sheet1!H1218</f>
        <v>Pooja</v>
      </c>
      <c r="G1218">
        <f>Sheet1!K1218</f>
        <v>36636</v>
      </c>
      <c r="H1218">
        <f>Sheet1!N1218</f>
        <v>4754.82</v>
      </c>
      <c r="I1218">
        <f t="shared" ref="I1218:I1281" si="22">IF(AND(OR(FilterCity="All",D1218=FilterCity),OR(FilterCategory="All",E1218=FilterCategory),OR(FilterRep="All",F1218=FilterRep),C1218&gt;=FilterMonthFrom,C1218&lt;=FilterMonthTo),1,0)</f>
        <v>1</v>
      </c>
    </row>
    <row r="1219" spans="1:9" x14ac:dyDescent="0.3">
      <c r="A1219">
        <f>Sheet1!A1219</f>
        <v>2218</v>
      </c>
      <c r="B1219" t="str">
        <f>Sheet1!B1219</f>
        <v>2025-12-11</v>
      </c>
      <c r="C1219" t="str">
        <f>TEXT(Sheet1!B1219,"YYYY-MM")</f>
        <v>2025-12</v>
      </c>
      <c r="D1219" t="str">
        <f>Sheet1!D1219</f>
        <v>Mumbai</v>
      </c>
      <c r="E1219" t="str">
        <f>Sheet1!F1219</f>
        <v>Clothing</v>
      </c>
      <c r="F1219" t="str">
        <f>Sheet1!H1219</f>
        <v>Sneha</v>
      </c>
      <c r="G1219">
        <f>Sheet1!K1219</f>
        <v>14620</v>
      </c>
      <c r="H1219">
        <f>Sheet1!N1219</f>
        <v>2978.05</v>
      </c>
      <c r="I1219">
        <f t="shared" si="22"/>
        <v>1</v>
      </c>
    </row>
    <row r="1220" spans="1:9" x14ac:dyDescent="0.3">
      <c r="A1220">
        <f>Sheet1!A1220</f>
        <v>2219</v>
      </c>
      <c r="B1220" t="str">
        <f>Sheet1!B1220</f>
        <v>2025-12-12</v>
      </c>
      <c r="C1220" t="str">
        <f>TEXT(Sheet1!B1220,"YYYY-MM")</f>
        <v>2025-12</v>
      </c>
      <c r="D1220" t="str">
        <f>Sheet1!D1220</f>
        <v>Hyderabad</v>
      </c>
      <c r="E1220" t="str">
        <f>Sheet1!F1220</f>
        <v>Electronics</v>
      </c>
      <c r="F1220" t="str">
        <f>Sheet1!H1220</f>
        <v>Ajay</v>
      </c>
      <c r="G1220">
        <f>Sheet1!K1220</f>
        <v>39426.9</v>
      </c>
      <c r="H1220">
        <f>Sheet1!N1220</f>
        <v>8265.42</v>
      </c>
      <c r="I1220">
        <f t="shared" si="22"/>
        <v>1</v>
      </c>
    </row>
    <row r="1221" spans="1:9" x14ac:dyDescent="0.3">
      <c r="A1221">
        <f>Sheet1!A1221</f>
        <v>2220</v>
      </c>
      <c r="B1221" t="str">
        <f>Sheet1!B1221</f>
        <v>2025-12-12</v>
      </c>
      <c r="C1221" t="str">
        <f>TEXT(Sheet1!B1221,"YYYY-MM")</f>
        <v>2025-12</v>
      </c>
      <c r="D1221" t="str">
        <f>Sheet1!D1221</f>
        <v>Bangalore</v>
      </c>
      <c r="E1221" t="str">
        <f>Sheet1!F1221</f>
        <v>Clothing</v>
      </c>
      <c r="F1221" t="str">
        <f>Sheet1!H1221</f>
        <v>Rahul</v>
      </c>
      <c r="G1221">
        <f>Sheet1!K1221</f>
        <v>12924</v>
      </c>
      <c r="H1221">
        <f>Sheet1!N1221</f>
        <v>2775.23</v>
      </c>
      <c r="I1221">
        <f t="shared" si="22"/>
        <v>1</v>
      </c>
    </row>
    <row r="1222" spans="1:9" x14ac:dyDescent="0.3">
      <c r="A1222">
        <f>Sheet1!A1222</f>
        <v>2221</v>
      </c>
      <c r="B1222" t="str">
        <f>Sheet1!B1222</f>
        <v>2025-12-13</v>
      </c>
      <c r="C1222" t="str">
        <f>TEXT(Sheet1!B1222,"YYYY-MM")</f>
        <v>2025-12</v>
      </c>
      <c r="D1222" t="str">
        <f>Sheet1!D1222</f>
        <v>Bangalore</v>
      </c>
      <c r="E1222" t="str">
        <f>Sheet1!F1222</f>
        <v>Furniture</v>
      </c>
      <c r="F1222" t="str">
        <f>Sheet1!H1222</f>
        <v>Pooja</v>
      </c>
      <c r="G1222">
        <f>Sheet1!K1222</f>
        <v>5574.3</v>
      </c>
      <c r="H1222">
        <f>Sheet1!N1222</f>
        <v>1483.57</v>
      </c>
      <c r="I1222">
        <f t="shared" si="22"/>
        <v>1</v>
      </c>
    </row>
    <row r="1223" spans="1:9" x14ac:dyDescent="0.3">
      <c r="A1223">
        <f>Sheet1!A1223</f>
        <v>2222</v>
      </c>
      <c r="B1223" t="str">
        <f>Sheet1!B1223</f>
        <v>2025-12-13</v>
      </c>
      <c r="C1223" t="str">
        <f>TEXT(Sheet1!B1223,"YYYY-MM")</f>
        <v>2025-12</v>
      </c>
      <c r="D1223" t="str">
        <f>Sheet1!D1223</f>
        <v>Pune</v>
      </c>
      <c r="E1223" t="str">
        <f>Sheet1!F1223</f>
        <v>Electronics</v>
      </c>
      <c r="F1223" t="str">
        <f>Sheet1!H1223</f>
        <v>Ajay</v>
      </c>
      <c r="G1223">
        <f>Sheet1!K1223</f>
        <v>73616.800000000003</v>
      </c>
      <c r="H1223">
        <f>Sheet1!N1223</f>
        <v>9549.65</v>
      </c>
      <c r="I1223">
        <f t="shared" si="22"/>
        <v>1</v>
      </c>
    </row>
    <row r="1224" spans="1:9" x14ac:dyDescent="0.3">
      <c r="A1224">
        <f>Sheet1!A1224</f>
        <v>2223</v>
      </c>
      <c r="B1224" t="str">
        <f>Sheet1!B1224</f>
        <v>2025-12-13</v>
      </c>
      <c r="C1224" t="str">
        <f>TEXT(Sheet1!B1224,"YYYY-MM")</f>
        <v>2025-12</v>
      </c>
      <c r="D1224" t="str">
        <f>Sheet1!D1224</f>
        <v>Mumbai</v>
      </c>
      <c r="E1224" t="str">
        <f>Sheet1!F1224</f>
        <v>Clothing</v>
      </c>
      <c r="F1224" t="str">
        <f>Sheet1!H1224</f>
        <v>Ajay</v>
      </c>
      <c r="G1224">
        <f>Sheet1!K1224</f>
        <v>141333.4</v>
      </c>
      <c r="H1224">
        <f>Sheet1!N1224</f>
        <v>17503.759999999998</v>
      </c>
      <c r="I1224">
        <f t="shared" si="22"/>
        <v>1</v>
      </c>
    </row>
    <row r="1225" spans="1:9" x14ac:dyDescent="0.3">
      <c r="A1225">
        <f>Sheet1!A1225</f>
        <v>2224</v>
      </c>
      <c r="B1225" t="str">
        <f>Sheet1!B1225</f>
        <v>2025-12-14</v>
      </c>
      <c r="C1225" t="str">
        <f>TEXT(Sheet1!B1225,"YYYY-MM")</f>
        <v>2025-12</v>
      </c>
      <c r="D1225" t="str">
        <f>Sheet1!D1225</f>
        <v>Pune</v>
      </c>
      <c r="E1225" t="str">
        <f>Sheet1!F1225</f>
        <v>Clothing</v>
      </c>
      <c r="F1225" t="str">
        <f>Sheet1!H1225</f>
        <v>Ajay</v>
      </c>
      <c r="G1225">
        <f>Sheet1!K1225</f>
        <v>189932.5</v>
      </c>
      <c r="H1225">
        <f>Sheet1!N1225</f>
        <v>23751.08</v>
      </c>
      <c r="I1225">
        <f t="shared" si="22"/>
        <v>1</v>
      </c>
    </row>
    <row r="1226" spans="1:9" x14ac:dyDescent="0.3">
      <c r="A1226">
        <f>Sheet1!A1226</f>
        <v>2225</v>
      </c>
      <c r="B1226" t="str">
        <f>Sheet1!B1226</f>
        <v>2025-12-14</v>
      </c>
      <c r="C1226" t="str">
        <f>TEXT(Sheet1!B1226,"YYYY-MM")</f>
        <v>2025-12</v>
      </c>
      <c r="D1226" t="str">
        <f>Sheet1!D1226</f>
        <v>Bangalore</v>
      </c>
      <c r="E1226" t="str">
        <f>Sheet1!F1226</f>
        <v>Electronics</v>
      </c>
      <c r="F1226" t="str">
        <f>Sheet1!H1226</f>
        <v>Pooja</v>
      </c>
      <c r="G1226">
        <f>Sheet1!K1226</f>
        <v>26656.05</v>
      </c>
      <c r="H1226">
        <f>Sheet1!N1226</f>
        <v>5728.38</v>
      </c>
      <c r="I1226">
        <f t="shared" si="22"/>
        <v>1</v>
      </c>
    </row>
    <row r="1227" spans="1:9" x14ac:dyDescent="0.3">
      <c r="A1227">
        <f>Sheet1!A1227</f>
        <v>2226</v>
      </c>
      <c r="B1227" t="str">
        <f>Sheet1!B1227</f>
        <v>2025-12-14</v>
      </c>
      <c r="C1227" t="str">
        <f>TEXT(Sheet1!B1227,"YYYY-MM")</f>
        <v>2025-12</v>
      </c>
      <c r="D1227" t="str">
        <f>Sheet1!D1227</f>
        <v>Bangalore</v>
      </c>
      <c r="E1227" t="str">
        <f>Sheet1!F1227</f>
        <v>Clothing</v>
      </c>
      <c r="F1227" t="str">
        <f>Sheet1!H1227</f>
        <v>Sneha</v>
      </c>
      <c r="G1227">
        <f>Sheet1!K1227</f>
        <v>130145.25</v>
      </c>
      <c r="H1227">
        <f>Sheet1!N1227</f>
        <v>23886.240000000002</v>
      </c>
      <c r="I1227">
        <f t="shared" si="22"/>
        <v>1</v>
      </c>
    </row>
    <row r="1228" spans="1:9" x14ac:dyDescent="0.3">
      <c r="A1228">
        <f>Sheet1!A1228</f>
        <v>2227</v>
      </c>
      <c r="B1228" t="str">
        <f>Sheet1!B1228</f>
        <v>2025-12-14</v>
      </c>
      <c r="C1228" t="str">
        <f>TEXT(Sheet1!B1228,"YYYY-MM")</f>
        <v>2025-12</v>
      </c>
      <c r="D1228" t="str">
        <f>Sheet1!D1228</f>
        <v>Mumbai</v>
      </c>
      <c r="E1228" t="str">
        <f>Sheet1!F1228</f>
        <v>Clothing</v>
      </c>
      <c r="F1228" t="str">
        <f>Sheet1!H1228</f>
        <v>Sneha</v>
      </c>
      <c r="G1228">
        <f>Sheet1!K1228</f>
        <v>3714.5</v>
      </c>
      <c r="H1228">
        <f>Sheet1!N1228</f>
        <v>406.9</v>
      </c>
      <c r="I1228">
        <f t="shared" si="22"/>
        <v>1</v>
      </c>
    </row>
    <row r="1229" spans="1:9" x14ac:dyDescent="0.3">
      <c r="A1229">
        <f>Sheet1!A1229</f>
        <v>2228</v>
      </c>
      <c r="B1229" t="str">
        <f>Sheet1!B1229</f>
        <v>2025-12-14</v>
      </c>
      <c r="C1229" t="str">
        <f>TEXT(Sheet1!B1229,"YYYY-MM")</f>
        <v>2025-12</v>
      </c>
      <c r="D1229" t="str">
        <f>Sheet1!D1229</f>
        <v>Hyderabad</v>
      </c>
      <c r="E1229" t="str">
        <f>Sheet1!F1229</f>
        <v>Clothing</v>
      </c>
      <c r="F1229" t="str">
        <f>Sheet1!H1229</f>
        <v>Rahul</v>
      </c>
      <c r="G1229">
        <f>Sheet1!K1229</f>
        <v>66460.5</v>
      </c>
      <c r="H1229">
        <f>Sheet1!N1229</f>
        <v>11408.17</v>
      </c>
      <c r="I1229">
        <f t="shared" si="22"/>
        <v>1</v>
      </c>
    </row>
    <row r="1230" spans="1:9" x14ac:dyDescent="0.3">
      <c r="A1230">
        <f>Sheet1!A1230</f>
        <v>2229</v>
      </c>
      <c r="B1230" t="str">
        <f>Sheet1!B1230</f>
        <v>2025-12-15</v>
      </c>
      <c r="C1230" t="str">
        <f>TEXT(Sheet1!B1230,"YYYY-MM")</f>
        <v>2025-12</v>
      </c>
      <c r="D1230" t="str">
        <f>Sheet1!D1230</f>
        <v>Mumbai</v>
      </c>
      <c r="E1230" t="str">
        <f>Sheet1!F1230</f>
        <v>Clothing</v>
      </c>
      <c r="F1230" t="str">
        <f>Sheet1!H1230</f>
        <v>Ajay</v>
      </c>
      <c r="G1230">
        <f>Sheet1!K1230</f>
        <v>118080</v>
      </c>
      <c r="H1230">
        <f>Sheet1!N1230</f>
        <v>33618.83</v>
      </c>
      <c r="I1230">
        <f t="shared" si="22"/>
        <v>1</v>
      </c>
    </row>
    <row r="1231" spans="1:9" x14ac:dyDescent="0.3">
      <c r="A1231">
        <f>Sheet1!A1231</f>
        <v>2230</v>
      </c>
      <c r="B1231" t="str">
        <f>Sheet1!B1231</f>
        <v>2025-12-15</v>
      </c>
      <c r="C1231" t="str">
        <f>TEXT(Sheet1!B1231,"YYYY-MM")</f>
        <v>2025-12</v>
      </c>
      <c r="D1231" t="str">
        <f>Sheet1!D1231</f>
        <v>Mumbai</v>
      </c>
      <c r="E1231" t="str">
        <f>Sheet1!F1231</f>
        <v>Electronics</v>
      </c>
      <c r="F1231" t="str">
        <f>Sheet1!H1231</f>
        <v>Ajay</v>
      </c>
      <c r="G1231">
        <f>Sheet1!K1231</f>
        <v>4147.1499999999996</v>
      </c>
      <c r="H1231">
        <f>Sheet1!N1231</f>
        <v>786.53</v>
      </c>
      <c r="I1231">
        <f t="shared" si="22"/>
        <v>1</v>
      </c>
    </row>
    <row r="1232" spans="1:9" x14ac:dyDescent="0.3">
      <c r="A1232">
        <f>Sheet1!A1232</f>
        <v>2231</v>
      </c>
      <c r="B1232" t="str">
        <f>Sheet1!B1232</f>
        <v>2025-12-15</v>
      </c>
      <c r="C1232" t="str">
        <f>TEXT(Sheet1!B1232,"YYYY-MM")</f>
        <v>2025-12</v>
      </c>
      <c r="D1232" t="str">
        <f>Sheet1!D1232</f>
        <v>Delhi</v>
      </c>
      <c r="E1232" t="str">
        <f>Sheet1!F1232</f>
        <v>Furniture</v>
      </c>
      <c r="F1232" t="str">
        <f>Sheet1!H1232</f>
        <v>Ajay</v>
      </c>
      <c r="G1232">
        <f>Sheet1!K1232</f>
        <v>81165</v>
      </c>
      <c r="H1232">
        <f>Sheet1!N1232</f>
        <v>16254.72</v>
      </c>
      <c r="I1232">
        <f t="shared" si="22"/>
        <v>1</v>
      </c>
    </row>
    <row r="1233" spans="1:9" x14ac:dyDescent="0.3">
      <c r="A1233">
        <f>Sheet1!A1233</f>
        <v>2232</v>
      </c>
      <c r="B1233" t="str">
        <f>Sheet1!B1233</f>
        <v>2025-12-16</v>
      </c>
      <c r="C1233" t="str">
        <f>TEXT(Sheet1!B1233,"YYYY-MM")</f>
        <v>2025-12</v>
      </c>
      <c r="D1233" t="str">
        <f>Sheet1!D1233</f>
        <v>Pune</v>
      </c>
      <c r="E1233" t="str">
        <f>Sheet1!F1233</f>
        <v>Clothing</v>
      </c>
      <c r="F1233" t="str">
        <f>Sheet1!H1233</f>
        <v>Ajay</v>
      </c>
      <c r="G1233">
        <f>Sheet1!K1233</f>
        <v>132124</v>
      </c>
      <c r="H1233">
        <f>Sheet1!N1233</f>
        <v>29505.439999999999</v>
      </c>
      <c r="I1233">
        <f t="shared" si="22"/>
        <v>1</v>
      </c>
    </row>
    <row r="1234" spans="1:9" x14ac:dyDescent="0.3">
      <c r="A1234">
        <f>Sheet1!A1234</f>
        <v>2233</v>
      </c>
      <c r="B1234" t="str">
        <f>Sheet1!B1234</f>
        <v>2025-12-16</v>
      </c>
      <c r="C1234" t="str">
        <f>TEXT(Sheet1!B1234,"YYYY-MM")</f>
        <v>2025-12</v>
      </c>
      <c r="D1234" t="str">
        <f>Sheet1!D1234</f>
        <v>Hyderabad</v>
      </c>
      <c r="E1234" t="str">
        <f>Sheet1!F1234</f>
        <v>Furniture</v>
      </c>
      <c r="F1234" t="str">
        <f>Sheet1!H1234</f>
        <v>Rahul</v>
      </c>
      <c r="G1234">
        <f>Sheet1!K1234</f>
        <v>40576.400000000001</v>
      </c>
      <c r="H1234">
        <f>Sheet1!N1234</f>
        <v>5489.09</v>
      </c>
      <c r="I1234">
        <f t="shared" si="22"/>
        <v>1</v>
      </c>
    </row>
    <row r="1235" spans="1:9" x14ac:dyDescent="0.3">
      <c r="A1235">
        <f>Sheet1!A1235</f>
        <v>2234</v>
      </c>
      <c r="B1235" t="str">
        <f>Sheet1!B1235</f>
        <v>2025-12-16</v>
      </c>
      <c r="C1235" t="str">
        <f>TEXT(Sheet1!B1235,"YYYY-MM")</f>
        <v>2025-12</v>
      </c>
      <c r="D1235" t="str">
        <f>Sheet1!D1235</f>
        <v>Hyderabad</v>
      </c>
      <c r="E1235" t="str">
        <f>Sheet1!F1235</f>
        <v>Electronics</v>
      </c>
      <c r="F1235" t="str">
        <f>Sheet1!H1235</f>
        <v>Sneha</v>
      </c>
      <c r="G1235">
        <f>Sheet1!K1235</f>
        <v>7087.5</v>
      </c>
      <c r="H1235">
        <f>Sheet1!N1235</f>
        <v>1348.2</v>
      </c>
      <c r="I1235">
        <f t="shared" si="22"/>
        <v>1</v>
      </c>
    </row>
    <row r="1236" spans="1:9" x14ac:dyDescent="0.3">
      <c r="A1236">
        <f>Sheet1!A1236</f>
        <v>2235</v>
      </c>
      <c r="B1236" t="str">
        <f>Sheet1!B1236</f>
        <v>2025-12-16</v>
      </c>
      <c r="C1236" t="str">
        <f>TEXT(Sheet1!B1236,"YYYY-MM")</f>
        <v>2025-12</v>
      </c>
      <c r="D1236" t="str">
        <f>Sheet1!D1236</f>
        <v>Delhi</v>
      </c>
      <c r="E1236" t="str">
        <f>Sheet1!F1236</f>
        <v>Clothing</v>
      </c>
      <c r="F1236" t="str">
        <f>Sheet1!H1236</f>
        <v>Rahul</v>
      </c>
      <c r="G1236">
        <f>Sheet1!K1236</f>
        <v>5101.5</v>
      </c>
      <c r="H1236">
        <f>Sheet1!N1236</f>
        <v>1113.46</v>
      </c>
      <c r="I1236">
        <f t="shared" si="22"/>
        <v>1</v>
      </c>
    </row>
    <row r="1237" spans="1:9" x14ac:dyDescent="0.3">
      <c r="A1237">
        <f>Sheet1!A1237</f>
        <v>2236</v>
      </c>
      <c r="B1237" t="str">
        <f>Sheet1!B1237</f>
        <v>2025-12-17</v>
      </c>
      <c r="C1237" t="str">
        <f>TEXT(Sheet1!B1237,"YYYY-MM")</f>
        <v>2025-12</v>
      </c>
      <c r="D1237" t="str">
        <f>Sheet1!D1237</f>
        <v>Hyderabad</v>
      </c>
      <c r="E1237" t="str">
        <f>Sheet1!F1237</f>
        <v>Electronics</v>
      </c>
      <c r="F1237" t="str">
        <f>Sheet1!H1237</f>
        <v>Pooja</v>
      </c>
      <c r="G1237">
        <f>Sheet1!K1237</f>
        <v>67622.399999999994</v>
      </c>
      <c r="H1237">
        <f>Sheet1!N1237</f>
        <v>13485.69</v>
      </c>
      <c r="I1237">
        <f t="shared" si="22"/>
        <v>1</v>
      </c>
    </row>
    <row r="1238" spans="1:9" x14ac:dyDescent="0.3">
      <c r="A1238">
        <f>Sheet1!A1238</f>
        <v>2237</v>
      </c>
      <c r="B1238" t="str">
        <f>Sheet1!B1238</f>
        <v>2025-12-17</v>
      </c>
      <c r="C1238" t="str">
        <f>TEXT(Sheet1!B1238,"YYYY-MM")</f>
        <v>2025-12</v>
      </c>
      <c r="D1238" t="str">
        <f>Sheet1!D1238</f>
        <v>Mumbai</v>
      </c>
      <c r="E1238" t="str">
        <f>Sheet1!F1238</f>
        <v>Electronics</v>
      </c>
      <c r="F1238" t="str">
        <f>Sheet1!H1238</f>
        <v>Pooja</v>
      </c>
      <c r="G1238">
        <f>Sheet1!K1238</f>
        <v>120239.1</v>
      </c>
      <c r="H1238">
        <f>Sheet1!N1238</f>
        <v>26373.43</v>
      </c>
      <c r="I1238">
        <f t="shared" si="22"/>
        <v>1</v>
      </c>
    </row>
    <row r="1239" spans="1:9" x14ac:dyDescent="0.3">
      <c r="A1239">
        <f>Sheet1!A1239</f>
        <v>2238</v>
      </c>
      <c r="B1239" t="str">
        <f>Sheet1!B1239</f>
        <v>2025-12-18</v>
      </c>
      <c r="C1239" t="str">
        <f>TEXT(Sheet1!B1239,"YYYY-MM")</f>
        <v>2025-12</v>
      </c>
      <c r="D1239" t="str">
        <f>Sheet1!D1239</f>
        <v>Delhi</v>
      </c>
      <c r="E1239" t="str">
        <f>Sheet1!F1239</f>
        <v>Clothing</v>
      </c>
      <c r="F1239" t="str">
        <f>Sheet1!H1239</f>
        <v>Sneha</v>
      </c>
      <c r="G1239">
        <f>Sheet1!K1239</f>
        <v>20208.75</v>
      </c>
      <c r="H1239">
        <f>Sheet1!N1239</f>
        <v>3171.95</v>
      </c>
      <c r="I1239">
        <f t="shared" si="22"/>
        <v>1</v>
      </c>
    </row>
    <row r="1240" spans="1:9" x14ac:dyDescent="0.3">
      <c r="A1240">
        <f>Sheet1!A1240</f>
        <v>2239</v>
      </c>
      <c r="B1240" t="str">
        <f>Sheet1!B1240</f>
        <v>2025-12-18</v>
      </c>
      <c r="C1240" t="str">
        <f>TEXT(Sheet1!B1240,"YYYY-MM")</f>
        <v>2025-12</v>
      </c>
      <c r="D1240" t="str">
        <f>Sheet1!D1240</f>
        <v>Pune</v>
      </c>
      <c r="E1240" t="str">
        <f>Sheet1!F1240</f>
        <v>Clothing</v>
      </c>
      <c r="F1240" t="str">
        <f>Sheet1!H1240</f>
        <v>Ajay</v>
      </c>
      <c r="G1240">
        <f>Sheet1!K1240</f>
        <v>20713.650000000001</v>
      </c>
      <c r="H1240">
        <f>Sheet1!N1240</f>
        <v>4461.91</v>
      </c>
      <c r="I1240">
        <f t="shared" si="22"/>
        <v>1</v>
      </c>
    </row>
    <row r="1241" spans="1:9" x14ac:dyDescent="0.3">
      <c r="A1241">
        <f>Sheet1!A1241</f>
        <v>2240</v>
      </c>
      <c r="B1241" t="str">
        <f>Sheet1!B1241</f>
        <v>2025-12-18</v>
      </c>
      <c r="C1241" t="str">
        <f>TEXT(Sheet1!B1241,"YYYY-MM")</f>
        <v>2025-12</v>
      </c>
      <c r="D1241" t="str">
        <f>Sheet1!D1241</f>
        <v>Bangalore</v>
      </c>
      <c r="E1241" t="str">
        <f>Sheet1!F1241</f>
        <v>Clothing</v>
      </c>
      <c r="F1241" t="str">
        <f>Sheet1!H1241</f>
        <v>Sneha</v>
      </c>
      <c r="G1241">
        <f>Sheet1!K1241</f>
        <v>110583.9</v>
      </c>
      <c r="H1241">
        <f>Sheet1!N1241</f>
        <v>13832.84</v>
      </c>
      <c r="I1241">
        <f t="shared" si="22"/>
        <v>1</v>
      </c>
    </row>
    <row r="1242" spans="1:9" x14ac:dyDescent="0.3">
      <c r="A1242">
        <f>Sheet1!A1242</f>
        <v>2241</v>
      </c>
      <c r="B1242" t="str">
        <f>Sheet1!B1242</f>
        <v>2025-12-18</v>
      </c>
      <c r="C1242" t="str">
        <f>TEXT(Sheet1!B1242,"YYYY-MM")</f>
        <v>2025-12</v>
      </c>
      <c r="D1242" t="str">
        <f>Sheet1!D1242</f>
        <v>Mumbai</v>
      </c>
      <c r="E1242" t="str">
        <f>Sheet1!F1242</f>
        <v>Furniture</v>
      </c>
      <c r="F1242" t="str">
        <f>Sheet1!H1242</f>
        <v>Ajay</v>
      </c>
      <c r="G1242">
        <f>Sheet1!K1242</f>
        <v>168805.5</v>
      </c>
      <c r="H1242">
        <f>Sheet1!N1242</f>
        <v>40305.160000000003</v>
      </c>
      <c r="I1242">
        <f t="shared" si="22"/>
        <v>1</v>
      </c>
    </row>
    <row r="1243" spans="1:9" x14ac:dyDescent="0.3">
      <c r="A1243">
        <f>Sheet1!A1243</f>
        <v>2242</v>
      </c>
      <c r="B1243" t="str">
        <f>Sheet1!B1243</f>
        <v>2025-12-19</v>
      </c>
      <c r="C1243" t="str">
        <f>TEXT(Sheet1!B1243,"YYYY-MM")</f>
        <v>2025-12</v>
      </c>
      <c r="D1243" t="str">
        <f>Sheet1!D1243</f>
        <v>Hyderabad</v>
      </c>
      <c r="E1243" t="str">
        <f>Sheet1!F1243</f>
        <v>Electronics</v>
      </c>
      <c r="F1243" t="str">
        <f>Sheet1!H1243</f>
        <v>Sneha</v>
      </c>
      <c r="G1243">
        <f>Sheet1!K1243</f>
        <v>12715</v>
      </c>
      <c r="H1243">
        <f>Sheet1!N1243</f>
        <v>3336.37</v>
      </c>
      <c r="I1243">
        <f t="shared" si="22"/>
        <v>1</v>
      </c>
    </row>
    <row r="1244" spans="1:9" x14ac:dyDescent="0.3">
      <c r="A1244">
        <f>Sheet1!A1244</f>
        <v>2243</v>
      </c>
      <c r="B1244" t="str">
        <f>Sheet1!B1244</f>
        <v>2025-12-19</v>
      </c>
      <c r="C1244" t="str">
        <f>TEXT(Sheet1!B1244,"YYYY-MM")</f>
        <v>2025-12</v>
      </c>
      <c r="D1244" t="str">
        <f>Sheet1!D1244</f>
        <v>Hyderabad</v>
      </c>
      <c r="E1244" t="str">
        <f>Sheet1!F1244</f>
        <v>Furniture</v>
      </c>
      <c r="F1244" t="str">
        <f>Sheet1!H1244</f>
        <v>Sneha</v>
      </c>
      <c r="G1244">
        <f>Sheet1!K1244</f>
        <v>172466.8</v>
      </c>
      <c r="H1244">
        <f>Sheet1!N1244</f>
        <v>26093.03</v>
      </c>
      <c r="I1244">
        <f t="shared" si="22"/>
        <v>1</v>
      </c>
    </row>
    <row r="1245" spans="1:9" x14ac:dyDescent="0.3">
      <c r="A1245">
        <f>Sheet1!A1245</f>
        <v>2244</v>
      </c>
      <c r="B1245" t="str">
        <f>Sheet1!B1245</f>
        <v>2025-12-20</v>
      </c>
      <c r="C1245" t="str">
        <f>TEXT(Sheet1!B1245,"YYYY-MM")</f>
        <v>2025-12</v>
      </c>
      <c r="D1245" t="str">
        <f>Sheet1!D1245</f>
        <v>Mumbai</v>
      </c>
      <c r="E1245" t="str">
        <f>Sheet1!F1245</f>
        <v>Furniture</v>
      </c>
      <c r="F1245" t="str">
        <f>Sheet1!H1245</f>
        <v>Rahul</v>
      </c>
      <c r="G1245">
        <f>Sheet1!K1245</f>
        <v>16016.4</v>
      </c>
      <c r="H1245">
        <f>Sheet1!N1245</f>
        <v>4103.9399999999996</v>
      </c>
      <c r="I1245">
        <f t="shared" si="22"/>
        <v>1</v>
      </c>
    </row>
    <row r="1246" spans="1:9" x14ac:dyDescent="0.3">
      <c r="A1246">
        <f>Sheet1!A1246</f>
        <v>2245</v>
      </c>
      <c r="B1246" t="str">
        <f>Sheet1!B1246</f>
        <v>2025-12-20</v>
      </c>
      <c r="C1246" t="str">
        <f>TEXT(Sheet1!B1246,"YYYY-MM")</f>
        <v>2025-12</v>
      </c>
      <c r="D1246" t="str">
        <f>Sheet1!D1246</f>
        <v>Delhi</v>
      </c>
      <c r="E1246" t="str">
        <f>Sheet1!F1246</f>
        <v>Furniture</v>
      </c>
      <c r="F1246" t="str">
        <f>Sheet1!H1246</f>
        <v>Rahul</v>
      </c>
      <c r="G1246">
        <f>Sheet1!K1246</f>
        <v>42045</v>
      </c>
      <c r="H1246">
        <f>Sheet1!N1246</f>
        <v>10138.58</v>
      </c>
      <c r="I1246">
        <f t="shared" si="22"/>
        <v>1</v>
      </c>
    </row>
    <row r="1247" spans="1:9" x14ac:dyDescent="0.3">
      <c r="A1247">
        <f>Sheet1!A1247</f>
        <v>2246</v>
      </c>
      <c r="B1247" t="str">
        <f>Sheet1!B1247</f>
        <v>2025-12-20</v>
      </c>
      <c r="C1247" t="str">
        <f>TEXT(Sheet1!B1247,"YYYY-MM")</f>
        <v>2025-12</v>
      </c>
      <c r="D1247" t="str">
        <f>Sheet1!D1247</f>
        <v>Bangalore</v>
      </c>
      <c r="E1247" t="str">
        <f>Sheet1!F1247</f>
        <v>Electronics</v>
      </c>
      <c r="F1247" t="str">
        <f>Sheet1!H1247</f>
        <v>Pooja</v>
      </c>
      <c r="G1247">
        <f>Sheet1!K1247</f>
        <v>114835</v>
      </c>
      <c r="H1247">
        <f>Sheet1!N1247</f>
        <v>22631.599999999999</v>
      </c>
      <c r="I1247">
        <f t="shared" si="22"/>
        <v>1</v>
      </c>
    </row>
    <row r="1248" spans="1:9" x14ac:dyDescent="0.3">
      <c r="A1248">
        <f>Sheet1!A1248</f>
        <v>2247</v>
      </c>
      <c r="B1248" t="str">
        <f>Sheet1!B1248</f>
        <v>2025-12-20</v>
      </c>
      <c r="C1248" t="str">
        <f>TEXT(Sheet1!B1248,"YYYY-MM")</f>
        <v>2025-12</v>
      </c>
      <c r="D1248" t="str">
        <f>Sheet1!D1248</f>
        <v>Bangalore</v>
      </c>
      <c r="E1248" t="str">
        <f>Sheet1!F1248</f>
        <v>Clothing</v>
      </c>
      <c r="F1248" t="str">
        <f>Sheet1!H1248</f>
        <v>Pooja</v>
      </c>
      <c r="G1248">
        <f>Sheet1!K1248</f>
        <v>63167.4</v>
      </c>
      <c r="H1248">
        <f>Sheet1!N1248</f>
        <v>17111.18</v>
      </c>
      <c r="I1248">
        <f t="shared" si="22"/>
        <v>1</v>
      </c>
    </row>
    <row r="1249" spans="1:9" x14ac:dyDescent="0.3">
      <c r="A1249">
        <f>Sheet1!A1249</f>
        <v>2248</v>
      </c>
      <c r="B1249" t="str">
        <f>Sheet1!B1249</f>
        <v>2025-12-21</v>
      </c>
      <c r="C1249" t="str">
        <f>TEXT(Sheet1!B1249,"YYYY-MM")</f>
        <v>2025-12</v>
      </c>
      <c r="D1249" t="str">
        <f>Sheet1!D1249</f>
        <v>Mumbai</v>
      </c>
      <c r="E1249" t="str">
        <f>Sheet1!F1249</f>
        <v>Electronics</v>
      </c>
      <c r="F1249" t="str">
        <f>Sheet1!H1249</f>
        <v>Rahul</v>
      </c>
      <c r="G1249">
        <f>Sheet1!K1249</f>
        <v>133998</v>
      </c>
      <c r="H1249">
        <f>Sheet1!N1249</f>
        <v>18587.78</v>
      </c>
      <c r="I1249">
        <f t="shared" si="22"/>
        <v>1</v>
      </c>
    </row>
    <row r="1250" spans="1:9" x14ac:dyDescent="0.3">
      <c r="A1250">
        <f>Sheet1!A1250</f>
        <v>2249</v>
      </c>
      <c r="B1250" t="str">
        <f>Sheet1!B1250</f>
        <v>2025-12-21</v>
      </c>
      <c r="C1250" t="str">
        <f>TEXT(Sheet1!B1250,"YYYY-MM")</f>
        <v>2025-12</v>
      </c>
      <c r="D1250" t="str">
        <f>Sheet1!D1250</f>
        <v>Delhi</v>
      </c>
      <c r="E1250" t="str">
        <f>Sheet1!F1250</f>
        <v>Furniture</v>
      </c>
      <c r="F1250" t="str">
        <f>Sheet1!H1250</f>
        <v>Sneha</v>
      </c>
      <c r="G1250">
        <f>Sheet1!K1250</f>
        <v>148178.79999999999</v>
      </c>
      <c r="H1250">
        <f>Sheet1!N1250</f>
        <v>29254.080000000002</v>
      </c>
      <c r="I1250">
        <f t="shared" si="22"/>
        <v>1</v>
      </c>
    </row>
    <row r="1251" spans="1:9" x14ac:dyDescent="0.3">
      <c r="A1251">
        <f>Sheet1!A1251</f>
        <v>2250</v>
      </c>
      <c r="B1251" t="str">
        <f>Sheet1!B1251</f>
        <v>2025-12-21</v>
      </c>
      <c r="C1251" t="str">
        <f>TEXT(Sheet1!B1251,"YYYY-MM")</f>
        <v>2025-12</v>
      </c>
      <c r="D1251" t="str">
        <f>Sheet1!D1251</f>
        <v>Hyderabad</v>
      </c>
      <c r="E1251" t="str">
        <f>Sheet1!F1251</f>
        <v>Electronics</v>
      </c>
      <c r="F1251" t="str">
        <f>Sheet1!H1251</f>
        <v>Rahul</v>
      </c>
      <c r="G1251">
        <f>Sheet1!K1251</f>
        <v>7639.2</v>
      </c>
      <c r="H1251">
        <f>Sheet1!N1251</f>
        <v>1138.93</v>
      </c>
      <c r="I1251">
        <f t="shared" si="22"/>
        <v>1</v>
      </c>
    </row>
    <row r="1252" spans="1:9" x14ac:dyDescent="0.3">
      <c r="A1252">
        <f>Sheet1!A1252</f>
        <v>2251</v>
      </c>
      <c r="B1252" t="str">
        <f>Sheet1!B1252</f>
        <v>2025-12-21</v>
      </c>
      <c r="C1252" t="str">
        <f>TEXT(Sheet1!B1252,"YYYY-MM")</f>
        <v>2025-12</v>
      </c>
      <c r="D1252" t="str">
        <f>Sheet1!D1252</f>
        <v>Mumbai</v>
      </c>
      <c r="E1252" t="str">
        <f>Sheet1!F1252</f>
        <v>Furniture</v>
      </c>
      <c r="F1252" t="str">
        <f>Sheet1!H1252</f>
        <v>Pooja</v>
      </c>
      <c r="G1252">
        <f>Sheet1!K1252</f>
        <v>12730</v>
      </c>
      <c r="H1252">
        <f>Sheet1!N1252</f>
        <v>3744.63</v>
      </c>
      <c r="I1252">
        <f t="shared" si="22"/>
        <v>1</v>
      </c>
    </row>
    <row r="1253" spans="1:9" x14ac:dyDescent="0.3">
      <c r="A1253">
        <f>Sheet1!A1253</f>
        <v>2252</v>
      </c>
      <c r="B1253" t="str">
        <f>Sheet1!B1253</f>
        <v>2025-12-21</v>
      </c>
      <c r="C1253" t="str">
        <f>TEXT(Sheet1!B1253,"YYYY-MM")</f>
        <v>2025-12</v>
      </c>
      <c r="D1253" t="str">
        <f>Sheet1!D1253</f>
        <v>Pune</v>
      </c>
      <c r="E1253" t="str">
        <f>Sheet1!F1253</f>
        <v>Furniture</v>
      </c>
      <c r="F1253" t="str">
        <f>Sheet1!H1253</f>
        <v>Ajay</v>
      </c>
      <c r="G1253">
        <f>Sheet1!K1253</f>
        <v>151540.20000000001</v>
      </c>
      <c r="H1253">
        <f>Sheet1!N1253</f>
        <v>42246.28</v>
      </c>
      <c r="I1253">
        <f t="shared" si="22"/>
        <v>1</v>
      </c>
    </row>
    <row r="1254" spans="1:9" x14ac:dyDescent="0.3">
      <c r="A1254">
        <f>Sheet1!A1254</f>
        <v>2253</v>
      </c>
      <c r="B1254" t="str">
        <f>Sheet1!B1254</f>
        <v>2025-12-22</v>
      </c>
      <c r="C1254" t="str">
        <f>TEXT(Sheet1!B1254,"YYYY-MM")</f>
        <v>2025-12</v>
      </c>
      <c r="D1254" t="str">
        <f>Sheet1!D1254</f>
        <v>Bangalore</v>
      </c>
      <c r="E1254" t="str">
        <f>Sheet1!F1254</f>
        <v>Clothing</v>
      </c>
      <c r="F1254" t="str">
        <f>Sheet1!H1254</f>
        <v>Sneha</v>
      </c>
      <c r="G1254">
        <f>Sheet1!K1254</f>
        <v>187077.8</v>
      </c>
      <c r="H1254">
        <f>Sheet1!N1254</f>
        <v>28695.4</v>
      </c>
      <c r="I1254">
        <f t="shared" si="22"/>
        <v>1</v>
      </c>
    </row>
    <row r="1255" spans="1:9" x14ac:dyDescent="0.3">
      <c r="A1255">
        <f>Sheet1!A1255</f>
        <v>2254</v>
      </c>
      <c r="B1255" t="str">
        <f>Sheet1!B1255</f>
        <v>2025-12-22</v>
      </c>
      <c r="C1255" t="str">
        <f>TEXT(Sheet1!B1255,"YYYY-MM")</f>
        <v>2025-12</v>
      </c>
      <c r="D1255" t="str">
        <f>Sheet1!D1255</f>
        <v>Bangalore</v>
      </c>
      <c r="E1255" t="str">
        <f>Sheet1!F1255</f>
        <v>Furniture</v>
      </c>
      <c r="F1255" t="str">
        <f>Sheet1!H1255</f>
        <v>Sneha</v>
      </c>
      <c r="G1255">
        <f>Sheet1!K1255</f>
        <v>34162.949999999997</v>
      </c>
      <c r="H1255">
        <f>Sheet1!N1255</f>
        <v>9964.9</v>
      </c>
      <c r="I1255">
        <f t="shared" si="22"/>
        <v>1</v>
      </c>
    </row>
    <row r="1256" spans="1:9" x14ac:dyDescent="0.3">
      <c r="A1256">
        <f>Sheet1!A1256</f>
        <v>2255</v>
      </c>
      <c r="B1256" t="str">
        <f>Sheet1!B1256</f>
        <v>2025-12-22</v>
      </c>
      <c r="C1256" t="str">
        <f>TEXT(Sheet1!B1256,"YYYY-MM")</f>
        <v>2025-12</v>
      </c>
      <c r="D1256" t="str">
        <f>Sheet1!D1256</f>
        <v>Mumbai</v>
      </c>
      <c r="E1256" t="str">
        <f>Sheet1!F1256</f>
        <v>Furniture</v>
      </c>
      <c r="F1256" t="str">
        <f>Sheet1!H1256</f>
        <v>Ajay</v>
      </c>
      <c r="G1256">
        <f>Sheet1!K1256</f>
        <v>37530</v>
      </c>
      <c r="H1256">
        <f>Sheet1!N1256</f>
        <v>6625.84</v>
      </c>
      <c r="I1256">
        <f t="shared" si="22"/>
        <v>1</v>
      </c>
    </row>
    <row r="1257" spans="1:9" x14ac:dyDescent="0.3">
      <c r="A1257">
        <f>Sheet1!A1257</f>
        <v>2256</v>
      </c>
      <c r="B1257" t="str">
        <f>Sheet1!B1257</f>
        <v>2025-12-22</v>
      </c>
      <c r="C1257" t="str">
        <f>TEXT(Sheet1!B1257,"YYYY-MM")</f>
        <v>2025-12</v>
      </c>
      <c r="D1257" t="str">
        <f>Sheet1!D1257</f>
        <v>Hyderabad</v>
      </c>
      <c r="E1257" t="str">
        <f>Sheet1!F1257</f>
        <v>Electronics</v>
      </c>
      <c r="F1257" t="str">
        <f>Sheet1!H1257</f>
        <v>Ajay</v>
      </c>
      <c r="G1257">
        <f>Sheet1!K1257</f>
        <v>62404</v>
      </c>
      <c r="H1257">
        <f>Sheet1!N1257</f>
        <v>6718.72</v>
      </c>
      <c r="I1257">
        <f t="shared" si="22"/>
        <v>1</v>
      </c>
    </row>
    <row r="1258" spans="1:9" x14ac:dyDescent="0.3">
      <c r="A1258">
        <f>Sheet1!A1258</f>
        <v>2257</v>
      </c>
      <c r="B1258" t="str">
        <f>Sheet1!B1258</f>
        <v>2025-12-22</v>
      </c>
      <c r="C1258" t="str">
        <f>TEXT(Sheet1!B1258,"YYYY-MM")</f>
        <v>2025-12</v>
      </c>
      <c r="D1258" t="str">
        <f>Sheet1!D1258</f>
        <v>Mumbai</v>
      </c>
      <c r="E1258" t="str">
        <f>Sheet1!F1258</f>
        <v>Furniture</v>
      </c>
      <c r="F1258" t="str">
        <f>Sheet1!H1258</f>
        <v>Rahul</v>
      </c>
      <c r="G1258">
        <f>Sheet1!K1258</f>
        <v>10343.65</v>
      </c>
      <c r="H1258">
        <f>Sheet1!N1258</f>
        <v>1767.74</v>
      </c>
      <c r="I1258">
        <f t="shared" si="22"/>
        <v>1</v>
      </c>
    </row>
    <row r="1259" spans="1:9" x14ac:dyDescent="0.3">
      <c r="A1259">
        <f>Sheet1!A1259</f>
        <v>2258</v>
      </c>
      <c r="B1259" t="str">
        <f>Sheet1!B1259</f>
        <v>2025-12-23</v>
      </c>
      <c r="C1259" t="str">
        <f>TEXT(Sheet1!B1259,"YYYY-MM")</f>
        <v>2025-12</v>
      </c>
      <c r="D1259" t="str">
        <f>Sheet1!D1259</f>
        <v>Mumbai</v>
      </c>
      <c r="E1259" t="str">
        <f>Sheet1!F1259</f>
        <v>Clothing</v>
      </c>
      <c r="F1259" t="str">
        <f>Sheet1!H1259</f>
        <v>Rahul</v>
      </c>
      <c r="G1259">
        <f>Sheet1!K1259</f>
        <v>74275</v>
      </c>
      <c r="H1259">
        <f>Sheet1!N1259</f>
        <v>20626.259999999998</v>
      </c>
      <c r="I1259">
        <f t="shared" si="22"/>
        <v>1</v>
      </c>
    </row>
    <row r="1260" spans="1:9" x14ac:dyDescent="0.3">
      <c r="A1260">
        <f>Sheet1!A1260</f>
        <v>2259</v>
      </c>
      <c r="B1260" t="str">
        <f>Sheet1!B1260</f>
        <v>2025-12-23</v>
      </c>
      <c r="C1260" t="str">
        <f>TEXT(Sheet1!B1260,"YYYY-MM")</f>
        <v>2025-12</v>
      </c>
      <c r="D1260" t="str">
        <f>Sheet1!D1260</f>
        <v>Delhi</v>
      </c>
      <c r="E1260" t="str">
        <f>Sheet1!F1260</f>
        <v>Electronics</v>
      </c>
      <c r="F1260" t="str">
        <f>Sheet1!H1260</f>
        <v>Pooja</v>
      </c>
      <c r="G1260">
        <f>Sheet1!K1260</f>
        <v>91404</v>
      </c>
      <c r="H1260">
        <f>Sheet1!N1260</f>
        <v>26621.32</v>
      </c>
      <c r="I1260">
        <f t="shared" si="22"/>
        <v>1</v>
      </c>
    </row>
    <row r="1261" spans="1:9" x14ac:dyDescent="0.3">
      <c r="A1261">
        <f>Sheet1!A1261</f>
        <v>2260</v>
      </c>
      <c r="B1261" t="str">
        <f>Sheet1!B1261</f>
        <v>2025-12-23</v>
      </c>
      <c r="C1261" t="str">
        <f>TEXT(Sheet1!B1261,"YYYY-MM")</f>
        <v>2025-12</v>
      </c>
      <c r="D1261" t="str">
        <f>Sheet1!D1261</f>
        <v>Mumbai</v>
      </c>
      <c r="E1261" t="str">
        <f>Sheet1!F1261</f>
        <v>Electronics</v>
      </c>
      <c r="F1261" t="str">
        <f>Sheet1!H1261</f>
        <v>Rahul</v>
      </c>
      <c r="G1261">
        <f>Sheet1!K1261</f>
        <v>93716</v>
      </c>
      <c r="H1261">
        <f>Sheet1!N1261</f>
        <v>14168.64</v>
      </c>
      <c r="I1261">
        <f t="shared" si="22"/>
        <v>1</v>
      </c>
    </row>
    <row r="1262" spans="1:9" x14ac:dyDescent="0.3">
      <c r="A1262">
        <f>Sheet1!A1262</f>
        <v>2261</v>
      </c>
      <c r="B1262" t="str">
        <f>Sheet1!B1262</f>
        <v>2025-12-23</v>
      </c>
      <c r="C1262" t="str">
        <f>TEXT(Sheet1!B1262,"YYYY-MM")</f>
        <v>2025-12</v>
      </c>
      <c r="D1262" t="str">
        <f>Sheet1!D1262</f>
        <v>Delhi</v>
      </c>
      <c r="E1262" t="str">
        <f>Sheet1!F1262</f>
        <v>Furniture</v>
      </c>
      <c r="F1262" t="str">
        <f>Sheet1!H1262</f>
        <v>Pooja</v>
      </c>
      <c r="G1262">
        <f>Sheet1!K1262</f>
        <v>3895.2</v>
      </c>
      <c r="H1262">
        <f>Sheet1!N1262</f>
        <v>782.26</v>
      </c>
      <c r="I1262">
        <f t="shared" si="22"/>
        <v>1</v>
      </c>
    </row>
    <row r="1263" spans="1:9" x14ac:dyDescent="0.3">
      <c r="A1263">
        <f>Sheet1!A1263</f>
        <v>2262</v>
      </c>
      <c r="B1263" t="str">
        <f>Sheet1!B1263</f>
        <v>2025-12-24</v>
      </c>
      <c r="C1263" t="str">
        <f>TEXT(Sheet1!B1263,"YYYY-MM")</f>
        <v>2025-12</v>
      </c>
      <c r="D1263" t="str">
        <f>Sheet1!D1263</f>
        <v>Mumbai</v>
      </c>
      <c r="E1263" t="str">
        <f>Sheet1!F1263</f>
        <v>Furniture</v>
      </c>
      <c r="F1263" t="str">
        <f>Sheet1!H1263</f>
        <v>Rahul</v>
      </c>
      <c r="G1263">
        <f>Sheet1!K1263</f>
        <v>9128.7000000000007</v>
      </c>
      <c r="H1263">
        <f>Sheet1!N1263</f>
        <v>2561.75</v>
      </c>
      <c r="I1263">
        <f t="shared" si="22"/>
        <v>1</v>
      </c>
    </row>
    <row r="1264" spans="1:9" x14ac:dyDescent="0.3">
      <c r="A1264">
        <f>Sheet1!A1264</f>
        <v>2263</v>
      </c>
      <c r="B1264" t="str">
        <f>Sheet1!B1264</f>
        <v>2025-12-24</v>
      </c>
      <c r="C1264" t="str">
        <f>TEXT(Sheet1!B1264,"YYYY-MM")</f>
        <v>2025-12</v>
      </c>
      <c r="D1264" t="str">
        <f>Sheet1!D1264</f>
        <v>Pune</v>
      </c>
      <c r="E1264" t="str">
        <f>Sheet1!F1264</f>
        <v>Clothing</v>
      </c>
      <c r="F1264" t="str">
        <f>Sheet1!H1264</f>
        <v>Rahul</v>
      </c>
      <c r="G1264">
        <f>Sheet1!K1264</f>
        <v>45568.800000000003</v>
      </c>
      <c r="H1264">
        <f>Sheet1!N1264</f>
        <v>10985.91</v>
      </c>
      <c r="I1264">
        <f t="shared" si="22"/>
        <v>1</v>
      </c>
    </row>
    <row r="1265" spans="1:9" x14ac:dyDescent="0.3">
      <c r="A1265">
        <f>Sheet1!A1265</f>
        <v>2264</v>
      </c>
      <c r="B1265" t="str">
        <f>Sheet1!B1265</f>
        <v>2025-12-24</v>
      </c>
      <c r="C1265" t="str">
        <f>TEXT(Sheet1!B1265,"YYYY-MM")</f>
        <v>2025-12</v>
      </c>
      <c r="D1265" t="str">
        <f>Sheet1!D1265</f>
        <v>Pune</v>
      </c>
      <c r="E1265" t="str">
        <f>Sheet1!F1265</f>
        <v>Furniture</v>
      </c>
      <c r="F1265" t="str">
        <f>Sheet1!H1265</f>
        <v>Pooja</v>
      </c>
      <c r="G1265">
        <f>Sheet1!K1265</f>
        <v>7187.4</v>
      </c>
      <c r="H1265">
        <f>Sheet1!N1265</f>
        <v>2131.87</v>
      </c>
      <c r="I1265">
        <f t="shared" si="22"/>
        <v>1</v>
      </c>
    </row>
    <row r="1266" spans="1:9" x14ac:dyDescent="0.3">
      <c r="A1266">
        <f>Sheet1!A1266</f>
        <v>2265</v>
      </c>
      <c r="B1266" t="str">
        <f>Sheet1!B1266</f>
        <v>2025-12-24</v>
      </c>
      <c r="C1266" t="str">
        <f>TEXT(Sheet1!B1266,"YYYY-MM")</f>
        <v>2025-12</v>
      </c>
      <c r="D1266" t="str">
        <f>Sheet1!D1266</f>
        <v>Delhi</v>
      </c>
      <c r="E1266" t="str">
        <f>Sheet1!F1266</f>
        <v>Clothing</v>
      </c>
      <c r="F1266" t="str">
        <f>Sheet1!H1266</f>
        <v>Pooja</v>
      </c>
      <c r="G1266">
        <f>Sheet1!K1266</f>
        <v>29087.1</v>
      </c>
      <c r="H1266">
        <f>Sheet1!N1266</f>
        <v>7161.94</v>
      </c>
      <c r="I1266">
        <f t="shared" si="22"/>
        <v>1</v>
      </c>
    </row>
    <row r="1267" spans="1:9" x14ac:dyDescent="0.3">
      <c r="A1267">
        <f>Sheet1!A1267</f>
        <v>2266</v>
      </c>
      <c r="B1267" t="str">
        <f>Sheet1!B1267</f>
        <v>2025-12-24</v>
      </c>
      <c r="C1267" t="str">
        <f>TEXT(Sheet1!B1267,"YYYY-MM")</f>
        <v>2025-12</v>
      </c>
      <c r="D1267" t="str">
        <f>Sheet1!D1267</f>
        <v>Pune</v>
      </c>
      <c r="E1267" t="str">
        <f>Sheet1!F1267</f>
        <v>Electronics</v>
      </c>
      <c r="F1267" t="str">
        <f>Sheet1!H1267</f>
        <v>Pooja</v>
      </c>
      <c r="G1267">
        <f>Sheet1!K1267</f>
        <v>182058</v>
      </c>
      <c r="H1267">
        <f>Sheet1!N1267</f>
        <v>28787.25</v>
      </c>
      <c r="I1267">
        <f t="shared" si="22"/>
        <v>1</v>
      </c>
    </row>
    <row r="1268" spans="1:9" x14ac:dyDescent="0.3">
      <c r="A1268">
        <f>Sheet1!A1268</f>
        <v>2267</v>
      </c>
      <c r="B1268" t="str">
        <f>Sheet1!B1268</f>
        <v>2025-12-25</v>
      </c>
      <c r="C1268" t="str">
        <f>TEXT(Sheet1!B1268,"YYYY-MM")</f>
        <v>2025-12</v>
      </c>
      <c r="D1268" t="str">
        <f>Sheet1!D1268</f>
        <v>Mumbai</v>
      </c>
      <c r="E1268" t="str">
        <f>Sheet1!F1268</f>
        <v>Electronics</v>
      </c>
      <c r="F1268" t="str">
        <f>Sheet1!H1268</f>
        <v>Rahul</v>
      </c>
      <c r="G1268">
        <f>Sheet1!K1268</f>
        <v>38046.550000000003</v>
      </c>
      <c r="H1268">
        <f>Sheet1!N1268</f>
        <v>11316.38</v>
      </c>
      <c r="I1268">
        <f t="shared" si="22"/>
        <v>1</v>
      </c>
    </row>
    <row r="1269" spans="1:9" x14ac:dyDescent="0.3">
      <c r="A1269">
        <f>Sheet1!A1269</f>
        <v>2268</v>
      </c>
      <c r="B1269" t="str">
        <f>Sheet1!B1269</f>
        <v>2025-12-25</v>
      </c>
      <c r="C1269" t="str">
        <f>TEXT(Sheet1!B1269,"YYYY-MM")</f>
        <v>2025-12</v>
      </c>
      <c r="D1269" t="str">
        <f>Sheet1!D1269</f>
        <v>Bangalore</v>
      </c>
      <c r="E1269" t="str">
        <f>Sheet1!F1269</f>
        <v>Clothing</v>
      </c>
      <c r="F1269" t="str">
        <f>Sheet1!H1269</f>
        <v>Ajay</v>
      </c>
      <c r="G1269">
        <f>Sheet1!K1269</f>
        <v>6358.35</v>
      </c>
      <c r="H1269">
        <f>Sheet1!N1269</f>
        <v>718.41</v>
      </c>
      <c r="I1269">
        <f t="shared" si="22"/>
        <v>1</v>
      </c>
    </row>
    <row r="1270" spans="1:9" x14ac:dyDescent="0.3">
      <c r="A1270">
        <f>Sheet1!A1270</f>
        <v>2269</v>
      </c>
      <c r="B1270" t="str">
        <f>Sheet1!B1270</f>
        <v>2025-12-25</v>
      </c>
      <c r="C1270" t="str">
        <f>TEXT(Sheet1!B1270,"YYYY-MM")</f>
        <v>2025-12</v>
      </c>
      <c r="D1270" t="str">
        <f>Sheet1!D1270</f>
        <v>Mumbai</v>
      </c>
      <c r="E1270" t="str">
        <f>Sheet1!F1270</f>
        <v>Furniture</v>
      </c>
      <c r="F1270" t="str">
        <f>Sheet1!H1270</f>
        <v>Ajay</v>
      </c>
      <c r="G1270">
        <f>Sheet1!K1270</f>
        <v>4035.8</v>
      </c>
      <c r="H1270">
        <f>Sheet1!N1270</f>
        <v>1105.5</v>
      </c>
      <c r="I1270">
        <f t="shared" si="22"/>
        <v>1</v>
      </c>
    </row>
    <row r="1271" spans="1:9" x14ac:dyDescent="0.3">
      <c r="A1271">
        <f>Sheet1!A1271</f>
        <v>2270</v>
      </c>
      <c r="B1271" t="str">
        <f>Sheet1!B1271</f>
        <v>2025-12-25</v>
      </c>
      <c r="C1271" t="str">
        <f>TEXT(Sheet1!B1271,"YYYY-MM")</f>
        <v>2025-12</v>
      </c>
      <c r="D1271" t="str">
        <f>Sheet1!D1271</f>
        <v>Mumbai</v>
      </c>
      <c r="E1271" t="str">
        <f>Sheet1!F1271</f>
        <v>Electronics</v>
      </c>
      <c r="F1271" t="str">
        <f>Sheet1!H1271</f>
        <v>Rahul</v>
      </c>
      <c r="G1271">
        <f>Sheet1!K1271</f>
        <v>114684</v>
      </c>
      <c r="H1271">
        <f>Sheet1!N1271</f>
        <v>22244.62</v>
      </c>
      <c r="I1271">
        <f t="shared" si="22"/>
        <v>1</v>
      </c>
    </row>
    <row r="1272" spans="1:9" x14ac:dyDescent="0.3">
      <c r="A1272">
        <f>Sheet1!A1272</f>
        <v>2271</v>
      </c>
      <c r="B1272" t="str">
        <f>Sheet1!B1272</f>
        <v>2025-12-26</v>
      </c>
      <c r="C1272" t="str">
        <f>TEXT(Sheet1!B1272,"YYYY-MM")</f>
        <v>2025-12</v>
      </c>
      <c r="D1272" t="str">
        <f>Sheet1!D1272</f>
        <v>Bangalore</v>
      </c>
      <c r="E1272" t="str">
        <f>Sheet1!F1272</f>
        <v>Clothing</v>
      </c>
      <c r="F1272" t="str">
        <f>Sheet1!H1272</f>
        <v>Pooja</v>
      </c>
      <c r="G1272">
        <f>Sheet1!K1272</f>
        <v>18343.55</v>
      </c>
      <c r="H1272">
        <f>Sheet1!N1272</f>
        <v>2656.82</v>
      </c>
      <c r="I1272">
        <f t="shared" si="22"/>
        <v>1</v>
      </c>
    </row>
    <row r="1273" spans="1:9" x14ac:dyDescent="0.3">
      <c r="A1273">
        <f>Sheet1!A1273</f>
        <v>2272</v>
      </c>
      <c r="B1273" t="str">
        <f>Sheet1!B1273</f>
        <v>2025-12-26</v>
      </c>
      <c r="C1273" t="str">
        <f>TEXT(Sheet1!B1273,"YYYY-MM")</f>
        <v>2025-12</v>
      </c>
      <c r="D1273" t="str">
        <f>Sheet1!D1273</f>
        <v>Hyderabad</v>
      </c>
      <c r="E1273" t="str">
        <f>Sheet1!F1273</f>
        <v>Furniture</v>
      </c>
      <c r="F1273" t="str">
        <f>Sheet1!H1273</f>
        <v>Rahul</v>
      </c>
      <c r="G1273">
        <f>Sheet1!K1273</f>
        <v>36199.75</v>
      </c>
      <c r="H1273">
        <f>Sheet1!N1273</f>
        <v>10749.61</v>
      </c>
      <c r="I1273">
        <f t="shared" si="22"/>
        <v>1</v>
      </c>
    </row>
    <row r="1274" spans="1:9" x14ac:dyDescent="0.3">
      <c r="A1274">
        <f>Sheet1!A1274</f>
        <v>2273</v>
      </c>
      <c r="B1274" t="str">
        <f>Sheet1!B1274</f>
        <v>2025-12-27</v>
      </c>
      <c r="C1274" t="str">
        <f>TEXT(Sheet1!B1274,"YYYY-MM")</f>
        <v>2025-12</v>
      </c>
      <c r="D1274" t="str">
        <f>Sheet1!D1274</f>
        <v>Hyderabad</v>
      </c>
      <c r="E1274" t="str">
        <f>Sheet1!F1274</f>
        <v>Furniture</v>
      </c>
      <c r="F1274" t="str">
        <f>Sheet1!H1274</f>
        <v>Rahul</v>
      </c>
      <c r="G1274">
        <f>Sheet1!K1274</f>
        <v>9985</v>
      </c>
      <c r="H1274">
        <f>Sheet1!N1274</f>
        <v>2734.7</v>
      </c>
      <c r="I1274">
        <f t="shared" si="22"/>
        <v>1</v>
      </c>
    </row>
    <row r="1275" spans="1:9" x14ac:dyDescent="0.3">
      <c r="A1275">
        <f>Sheet1!A1275</f>
        <v>2274</v>
      </c>
      <c r="B1275" t="str">
        <f>Sheet1!B1275</f>
        <v>2025-12-27</v>
      </c>
      <c r="C1275" t="str">
        <f>TEXT(Sheet1!B1275,"YYYY-MM")</f>
        <v>2025-12</v>
      </c>
      <c r="D1275" t="str">
        <f>Sheet1!D1275</f>
        <v>Mumbai</v>
      </c>
      <c r="E1275" t="str">
        <f>Sheet1!F1275</f>
        <v>Clothing</v>
      </c>
      <c r="F1275" t="str">
        <f>Sheet1!H1275</f>
        <v>Ajay</v>
      </c>
      <c r="G1275">
        <f>Sheet1!K1275</f>
        <v>98778</v>
      </c>
      <c r="H1275">
        <f>Sheet1!N1275</f>
        <v>22219.31</v>
      </c>
      <c r="I1275">
        <f t="shared" si="22"/>
        <v>1</v>
      </c>
    </row>
    <row r="1276" spans="1:9" x14ac:dyDescent="0.3">
      <c r="A1276">
        <f>Sheet1!A1276</f>
        <v>2275</v>
      </c>
      <c r="B1276" t="str">
        <f>Sheet1!B1276</f>
        <v>2025-12-27</v>
      </c>
      <c r="C1276" t="str">
        <f>TEXT(Sheet1!B1276,"YYYY-MM")</f>
        <v>2025-12</v>
      </c>
      <c r="D1276" t="str">
        <f>Sheet1!D1276</f>
        <v>Bangalore</v>
      </c>
      <c r="E1276" t="str">
        <f>Sheet1!F1276</f>
        <v>Furniture</v>
      </c>
      <c r="F1276" t="str">
        <f>Sheet1!H1276</f>
        <v>Rahul</v>
      </c>
      <c r="G1276">
        <f>Sheet1!K1276</f>
        <v>45226.8</v>
      </c>
      <c r="H1276">
        <f>Sheet1!N1276</f>
        <v>7633.16</v>
      </c>
      <c r="I1276">
        <f t="shared" si="22"/>
        <v>1</v>
      </c>
    </row>
    <row r="1277" spans="1:9" x14ac:dyDescent="0.3">
      <c r="A1277">
        <f>Sheet1!A1277</f>
        <v>2276</v>
      </c>
      <c r="B1277" t="str">
        <f>Sheet1!B1277</f>
        <v>2025-12-28</v>
      </c>
      <c r="C1277" t="str">
        <f>TEXT(Sheet1!B1277,"YYYY-MM")</f>
        <v>2025-12</v>
      </c>
      <c r="D1277" t="str">
        <f>Sheet1!D1277</f>
        <v>Mumbai</v>
      </c>
      <c r="E1277" t="str">
        <f>Sheet1!F1277</f>
        <v>Electronics</v>
      </c>
      <c r="F1277" t="str">
        <f>Sheet1!H1277</f>
        <v>Ajay</v>
      </c>
      <c r="G1277">
        <f>Sheet1!K1277</f>
        <v>140691.6</v>
      </c>
      <c r="H1277">
        <f>Sheet1!N1277</f>
        <v>37303.99</v>
      </c>
      <c r="I1277">
        <f t="shared" si="22"/>
        <v>1</v>
      </c>
    </row>
    <row r="1278" spans="1:9" x14ac:dyDescent="0.3">
      <c r="A1278">
        <f>Sheet1!A1278</f>
        <v>2277</v>
      </c>
      <c r="B1278" t="str">
        <f>Sheet1!B1278</f>
        <v>2025-12-28</v>
      </c>
      <c r="C1278" t="str">
        <f>TEXT(Sheet1!B1278,"YYYY-MM")</f>
        <v>2025-12</v>
      </c>
      <c r="D1278" t="str">
        <f>Sheet1!D1278</f>
        <v>Hyderabad</v>
      </c>
      <c r="E1278" t="str">
        <f>Sheet1!F1278</f>
        <v>Clothing</v>
      </c>
      <c r="F1278" t="str">
        <f>Sheet1!H1278</f>
        <v>Ajay</v>
      </c>
      <c r="G1278">
        <f>Sheet1!K1278</f>
        <v>114817</v>
      </c>
      <c r="H1278">
        <f>Sheet1!N1278</f>
        <v>27711.4</v>
      </c>
      <c r="I1278">
        <f t="shared" si="22"/>
        <v>1</v>
      </c>
    </row>
    <row r="1279" spans="1:9" x14ac:dyDescent="0.3">
      <c r="A1279">
        <f>Sheet1!A1279</f>
        <v>2278</v>
      </c>
      <c r="B1279" t="str">
        <f>Sheet1!B1279</f>
        <v>2025-12-28</v>
      </c>
      <c r="C1279" t="str">
        <f>TEXT(Sheet1!B1279,"YYYY-MM")</f>
        <v>2025-12</v>
      </c>
      <c r="D1279" t="str">
        <f>Sheet1!D1279</f>
        <v>Delhi</v>
      </c>
      <c r="E1279" t="str">
        <f>Sheet1!F1279</f>
        <v>Electronics</v>
      </c>
      <c r="F1279" t="str">
        <f>Sheet1!H1279</f>
        <v>Sneha</v>
      </c>
      <c r="G1279">
        <f>Sheet1!K1279</f>
        <v>52581</v>
      </c>
      <c r="H1279">
        <f>Sheet1!N1279</f>
        <v>5366.85</v>
      </c>
      <c r="I1279">
        <f t="shared" si="22"/>
        <v>1</v>
      </c>
    </row>
    <row r="1280" spans="1:9" x14ac:dyDescent="0.3">
      <c r="A1280">
        <f>Sheet1!A1280</f>
        <v>2279</v>
      </c>
      <c r="B1280" t="str">
        <f>Sheet1!B1280</f>
        <v>2025-12-29</v>
      </c>
      <c r="C1280" t="str">
        <f>TEXT(Sheet1!B1280,"YYYY-MM")</f>
        <v>2025-12</v>
      </c>
      <c r="D1280" t="str">
        <f>Sheet1!D1280</f>
        <v>Bangalore</v>
      </c>
      <c r="E1280" t="str">
        <f>Sheet1!F1280</f>
        <v>Furniture</v>
      </c>
      <c r="F1280" t="str">
        <f>Sheet1!H1280</f>
        <v>Ajay</v>
      </c>
      <c r="G1280">
        <f>Sheet1!K1280</f>
        <v>116599.2</v>
      </c>
      <c r="H1280">
        <f>Sheet1!N1280</f>
        <v>19348.43</v>
      </c>
      <c r="I1280">
        <f t="shared" si="22"/>
        <v>1</v>
      </c>
    </row>
    <row r="1281" spans="1:9" x14ac:dyDescent="0.3">
      <c r="A1281">
        <f>Sheet1!A1281</f>
        <v>2280</v>
      </c>
      <c r="B1281" t="str">
        <f>Sheet1!B1281</f>
        <v>2025-12-29</v>
      </c>
      <c r="C1281" t="str">
        <f>TEXT(Sheet1!B1281,"YYYY-MM")</f>
        <v>2025-12</v>
      </c>
      <c r="D1281" t="str">
        <f>Sheet1!D1281</f>
        <v>Bangalore</v>
      </c>
      <c r="E1281" t="str">
        <f>Sheet1!F1281</f>
        <v>Furniture</v>
      </c>
      <c r="F1281" t="str">
        <f>Sheet1!H1281</f>
        <v>Rahul</v>
      </c>
      <c r="G1281">
        <f>Sheet1!K1281</f>
        <v>28552.35</v>
      </c>
      <c r="H1281">
        <f>Sheet1!N1281</f>
        <v>5081.7</v>
      </c>
      <c r="I1281">
        <f t="shared" si="22"/>
        <v>1</v>
      </c>
    </row>
    <row r="1282" spans="1:9" x14ac:dyDescent="0.3">
      <c r="A1282">
        <f>Sheet1!A1282</f>
        <v>2281</v>
      </c>
      <c r="B1282" t="str">
        <f>Sheet1!B1282</f>
        <v>2025-12-29</v>
      </c>
      <c r="C1282" t="str">
        <f>TEXT(Sheet1!B1282,"YYYY-MM")</f>
        <v>2025-12</v>
      </c>
      <c r="D1282" t="str">
        <f>Sheet1!D1282</f>
        <v>Pune</v>
      </c>
      <c r="E1282" t="str">
        <f>Sheet1!F1282</f>
        <v>Furniture</v>
      </c>
      <c r="F1282" t="str">
        <f>Sheet1!H1282</f>
        <v>Rahul</v>
      </c>
      <c r="G1282">
        <f>Sheet1!K1282</f>
        <v>83453</v>
      </c>
      <c r="H1282">
        <f>Sheet1!N1282</f>
        <v>16215.37</v>
      </c>
      <c r="I1282">
        <f t="shared" ref="I1282:I1288" si="23">IF(AND(OR(FilterCity="All",D1282=FilterCity),OR(FilterCategory="All",E1282=FilterCategory),OR(FilterRep="All",F1282=FilterRep),C1282&gt;=FilterMonthFrom,C1282&lt;=FilterMonthTo),1,0)</f>
        <v>1</v>
      </c>
    </row>
    <row r="1283" spans="1:9" x14ac:dyDescent="0.3">
      <c r="A1283">
        <f>Sheet1!A1283</f>
        <v>2282</v>
      </c>
      <c r="B1283" t="str">
        <f>Sheet1!B1283</f>
        <v>2025-12-30</v>
      </c>
      <c r="C1283" t="str">
        <f>TEXT(Sheet1!B1283,"YYYY-MM")</f>
        <v>2025-12</v>
      </c>
      <c r="D1283" t="str">
        <f>Sheet1!D1283</f>
        <v>Pune</v>
      </c>
      <c r="E1283" t="str">
        <f>Sheet1!F1283</f>
        <v>Electronics</v>
      </c>
      <c r="F1283" t="str">
        <f>Sheet1!H1283</f>
        <v>Sneha</v>
      </c>
      <c r="G1283">
        <f>Sheet1!K1283</f>
        <v>53958</v>
      </c>
      <c r="H1283">
        <f>Sheet1!N1283</f>
        <v>10034.58</v>
      </c>
      <c r="I1283">
        <f t="shared" si="23"/>
        <v>1</v>
      </c>
    </row>
    <row r="1284" spans="1:9" x14ac:dyDescent="0.3">
      <c r="A1284">
        <f>Sheet1!A1284</f>
        <v>2283</v>
      </c>
      <c r="B1284" t="str">
        <f>Sheet1!B1284</f>
        <v>2025-12-30</v>
      </c>
      <c r="C1284" t="str">
        <f>TEXT(Sheet1!B1284,"YYYY-MM")</f>
        <v>2025-12</v>
      </c>
      <c r="D1284" t="str">
        <f>Sheet1!D1284</f>
        <v>Pune</v>
      </c>
      <c r="E1284" t="str">
        <f>Sheet1!F1284</f>
        <v>Electronics</v>
      </c>
      <c r="F1284" t="str">
        <f>Sheet1!H1284</f>
        <v>Ajay</v>
      </c>
      <c r="G1284">
        <f>Sheet1!K1284</f>
        <v>73852</v>
      </c>
      <c r="H1284">
        <f>Sheet1!N1284</f>
        <v>14000.34</v>
      </c>
      <c r="I1284">
        <f t="shared" si="23"/>
        <v>1</v>
      </c>
    </row>
    <row r="1285" spans="1:9" x14ac:dyDescent="0.3">
      <c r="A1285">
        <f>Sheet1!A1285</f>
        <v>2284</v>
      </c>
      <c r="B1285" t="str">
        <f>Sheet1!B1285</f>
        <v>2025-12-31</v>
      </c>
      <c r="C1285" t="str">
        <f>TEXT(Sheet1!B1285,"YYYY-MM")</f>
        <v>2025-12</v>
      </c>
      <c r="D1285" t="str">
        <f>Sheet1!D1285</f>
        <v>Bangalore</v>
      </c>
      <c r="E1285" t="str">
        <f>Sheet1!F1285</f>
        <v>Furniture</v>
      </c>
      <c r="F1285" t="str">
        <f>Sheet1!H1285</f>
        <v>Rahul</v>
      </c>
      <c r="G1285">
        <f>Sheet1!K1285</f>
        <v>147055.5</v>
      </c>
      <c r="H1285">
        <f>Sheet1!N1285</f>
        <v>24359.56</v>
      </c>
      <c r="I1285">
        <f t="shared" si="23"/>
        <v>1</v>
      </c>
    </row>
    <row r="1286" spans="1:9" x14ac:dyDescent="0.3">
      <c r="A1286">
        <f>Sheet1!A1286</f>
        <v>2285</v>
      </c>
      <c r="B1286" t="str">
        <f>Sheet1!B1286</f>
        <v>2025-12-31</v>
      </c>
      <c r="C1286" t="str">
        <f>TEXT(Sheet1!B1286,"YYYY-MM")</f>
        <v>2025-12</v>
      </c>
      <c r="D1286" t="str">
        <f>Sheet1!D1286</f>
        <v>Pune</v>
      </c>
      <c r="E1286" t="str">
        <f>Sheet1!F1286</f>
        <v>Furniture</v>
      </c>
      <c r="F1286" t="str">
        <f>Sheet1!H1286</f>
        <v>Sneha</v>
      </c>
      <c r="G1286">
        <f>Sheet1!K1286</f>
        <v>34582</v>
      </c>
      <c r="H1286">
        <f>Sheet1!N1286</f>
        <v>10143.77</v>
      </c>
      <c r="I1286">
        <f t="shared" si="23"/>
        <v>1</v>
      </c>
    </row>
    <row r="1287" spans="1:9" x14ac:dyDescent="0.3">
      <c r="A1287">
        <f>Sheet1!A1287</f>
        <v>2286</v>
      </c>
      <c r="B1287" t="str">
        <f>Sheet1!B1287</f>
        <v>2025-12-31</v>
      </c>
      <c r="C1287" t="str">
        <f>TEXT(Sheet1!B1287,"YYYY-MM")</f>
        <v>2025-12</v>
      </c>
      <c r="D1287" t="str">
        <f>Sheet1!D1287</f>
        <v>Delhi</v>
      </c>
      <c r="E1287" t="str">
        <f>Sheet1!F1287</f>
        <v>Clothing</v>
      </c>
      <c r="F1287" t="str">
        <f>Sheet1!H1287</f>
        <v>Sneha</v>
      </c>
      <c r="G1287">
        <f>Sheet1!K1287</f>
        <v>109881</v>
      </c>
      <c r="H1287">
        <f>Sheet1!N1287</f>
        <v>18524.650000000001</v>
      </c>
      <c r="I1287">
        <f t="shared" si="23"/>
        <v>1</v>
      </c>
    </row>
    <row r="1288" spans="1:9" x14ac:dyDescent="0.3">
      <c r="A1288">
        <f>Sheet1!A1288</f>
        <v>2287</v>
      </c>
      <c r="B1288" t="str">
        <f>Sheet1!B1288</f>
        <v>2025-12-31</v>
      </c>
      <c r="C1288" t="str">
        <f>TEXT(Sheet1!B1288,"YYYY-MM")</f>
        <v>2025-12</v>
      </c>
      <c r="D1288" t="str">
        <f>Sheet1!D1288</f>
        <v>Bangalore</v>
      </c>
      <c r="E1288" t="str">
        <f>Sheet1!F1288</f>
        <v>Electronics</v>
      </c>
      <c r="F1288" t="str">
        <f>Sheet1!H1288</f>
        <v>Pooja</v>
      </c>
      <c r="G1288">
        <f>Sheet1!K1288</f>
        <v>68656.5</v>
      </c>
      <c r="H1288">
        <f>Sheet1!N1288</f>
        <v>19918.22</v>
      </c>
      <c r="I1288">
        <f t="shared" si="23"/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Dashboard</vt:lpstr>
      <vt:lpstr>Sheet1</vt:lpstr>
      <vt:lpstr>Sales_Report</vt:lpstr>
      <vt:lpstr>Dashboard_Data</vt:lpstr>
      <vt:lpstr>FilterCategory</vt:lpstr>
      <vt:lpstr>FilterCity</vt:lpstr>
      <vt:lpstr>FilterMonthFrom</vt:lpstr>
      <vt:lpstr>FilterMonthTo</vt:lpstr>
      <vt:lpstr>FilterRep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dc:description/>
  <cp:lastModifiedBy>2027</cp:lastModifiedBy>
  <cp:revision>4</cp:revision>
  <dcterms:created xsi:type="dcterms:W3CDTF">2026-04-25T01:14:48Z</dcterms:created>
  <dcterms:modified xsi:type="dcterms:W3CDTF">2026-08-22T20:01:30Z</dcterms:modified>
  <dc:language>en-US</dc:language>
</cp:coreProperties>
</file>